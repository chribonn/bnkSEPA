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showInkAnnotation="0" backupFile="1" codeName="ThisWorkbook"/>
  <mc:AlternateContent xmlns:mc="http://schemas.openxmlformats.org/markup-compatibility/2006">
    <mc:Choice Requires="x15">
      <x15ac:absPath xmlns:x15ac="http://schemas.microsoft.com/office/spreadsheetml/2010/11/ac" url="C:\Users\Syncovery\Documents\bnkSEPA\xl\"/>
    </mc:Choice>
  </mc:AlternateContent>
  <xr:revisionPtr revIDLastSave="0" documentId="13_ncr:1_{CA14D393-2AC3-465F-A621-06A6D0B1788B}" xr6:coauthVersionLast="47" xr6:coauthVersionMax="47" xr10:uidLastSave="{00000000-0000-0000-0000-000000000000}"/>
  <workbookProtection workbookAlgorithmName="SHA-512" workbookHashValue="v4/ckBggqfCQuuGh+amEzXie2BJiUgchPVHkrjqJdH+3rv6LET5X4SyS7Fzz7vOO77l2fqaBpc7IJPE6Rz3rYg==" workbookSaltValue="k69td4Yk3zM22dr9IOICjw==" workbookSpinCount="100000" lockStructure="1"/>
  <bookViews>
    <workbookView xWindow="-120" yWindow="-120" windowWidth="29040" windowHeight="15720" tabRatio="508" firstSheet="1" activeTab="2" xr2:uid="{00000000-000D-0000-FFFF-FFFF00000000}"/>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Data'!$A$2:$K$9999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6" i="4" l="1"/>
  <c r="E104" i="4"/>
  <c r="E102" i="4"/>
  <c r="E100" i="4"/>
  <c r="E98" i="4"/>
  <c r="E96" i="4"/>
  <c r="E94" i="4"/>
  <c r="E92" i="4"/>
  <c r="E90" i="4"/>
  <c r="E88" i="4"/>
  <c r="E86" i="4"/>
  <c r="E84" i="4"/>
  <c r="E82" i="4"/>
  <c r="E80" i="4"/>
  <c r="E78" i="4"/>
  <c r="E76" i="4"/>
  <c r="E74" i="4"/>
  <c r="E72" i="4"/>
  <c r="E70" i="4"/>
  <c r="E68" i="4"/>
  <c r="E66" i="4"/>
  <c r="E64" i="4"/>
  <c r="E62" i="4"/>
  <c r="E60" i="4"/>
  <c r="E58" i="4"/>
  <c r="E56" i="4"/>
  <c r="E54" i="4"/>
  <c r="E52" i="4"/>
  <c r="E50" i="4"/>
  <c r="E48" i="4"/>
  <c r="E46" i="4"/>
  <c r="E44" i="4"/>
  <c r="E42" i="4"/>
  <c r="E40" i="4"/>
  <c r="E38" i="4"/>
  <c r="E36" i="4"/>
  <c r="E34" i="4"/>
  <c r="E32" i="4"/>
  <c r="E30" i="4"/>
  <c r="E28" i="4"/>
  <c r="E26" i="4"/>
  <c r="E24" i="4"/>
  <c r="E22" i="4"/>
  <c r="E20" i="4"/>
  <c r="E18" i="4"/>
  <c r="E16" i="4"/>
  <c r="E14" i="4"/>
  <c r="E12" i="4"/>
  <c r="E10" i="4"/>
  <c r="E8" i="4"/>
  <c r="E6" i="4"/>
  <c r="A6" i="4"/>
  <c r="L6" i="4"/>
  <c r="C14" i="3"/>
  <c r="B14" i="3"/>
  <c r="L106" i="4"/>
  <c r="L104" i="4"/>
  <c r="L102" i="4"/>
  <c r="L100" i="4"/>
  <c r="L98" i="4"/>
  <c r="L96" i="4"/>
  <c r="L94" i="4"/>
  <c r="L92" i="4"/>
  <c r="L90" i="4"/>
  <c r="L88" i="4"/>
  <c r="L86" i="4"/>
  <c r="L84" i="4"/>
  <c r="L82" i="4"/>
  <c r="L80" i="4"/>
  <c r="L78" i="4"/>
  <c r="L76" i="4"/>
  <c r="L74" i="4"/>
  <c r="L72" i="4"/>
  <c r="L70" i="4"/>
  <c r="L68" i="4"/>
  <c r="L66" i="4"/>
  <c r="L64" i="4"/>
  <c r="L62" i="4"/>
  <c r="L60" i="4"/>
  <c r="L58" i="4"/>
  <c r="L56" i="4"/>
  <c r="L54" i="4"/>
  <c r="L52" i="4"/>
  <c r="L50" i="4"/>
  <c r="L48" i="4"/>
  <c r="L46" i="4"/>
  <c r="L44" i="4"/>
  <c r="L42" i="4"/>
  <c r="L40" i="4"/>
  <c r="L38" i="4"/>
  <c r="L36" i="4"/>
  <c r="L34" i="4"/>
  <c r="L32" i="4"/>
  <c r="L30" i="4"/>
  <c r="L28" i="4"/>
  <c r="L26" i="4"/>
  <c r="L24" i="4"/>
  <c r="L22" i="4"/>
  <c r="L20" i="4"/>
  <c r="L18" i="4"/>
  <c r="L16" i="4"/>
  <c r="L14" i="4"/>
  <c r="L12" i="4"/>
  <c r="L10" i="4"/>
  <c r="L8" i="4"/>
  <c r="K106" i="4"/>
  <c r="K104" i="4"/>
  <c r="K102" i="4"/>
  <c r="K100" i="4"/>
  <c r="K98" i="4"/>
  <c r="K96" i="4"/>
  <c r="K94" i="4"/>
  <c r="K92" i="4"/>
  <c r="K90" i="4"/>
  <c r="K88" i="4"/>
  <c r="K86" i="4"/>
  <c r="K84" i="4"/>
  <c r="K82" i="4"/>
  <c r="K80" i="4"/>
  <c r="K78" i="4"/>
  <c r="K76" i="4"/>
  <c r="K74" i="4"/>
  <c r="K72" i="4"/>
  <c r="K70" i="4"/>
  <c r="K68" i="4"/>
  <c r="K66" i="4"/>
  <c r="K64" i="4"/>
  <c r="K62" i="4"/>
  <c r="K60" i="4"/>
  <c r="K58" i="4"/>
  <c r="K56" i="4"/>
  <c r="K54" i="4"/>
  <c r="K52" i="4"/>
  <c r="K50" i="4"/>
  <c r="K48" i="4"/>
  <c r="K46" i="4"/>
  <c r="K44" i="4"/>
  <c r="K42" i="4"/>
  <c r="K40" i="4"/>
  <c r="K38" i="4"/>
  <c r="K36" i="4"/>
  <c r="K34" i="4"/>
  <c r="K32" i="4"/>
  <c r="K30" i="4"/>
  <c r="K28" i="4"/>
  <c r="K26" i="4"/>
  <c r="K24" i="4"/>
  <c r="K22" i="4"/>
  <c r="K20" i="4"/>
  <c r="K18" i="4"/>
  <c r="K16" i="4"/>
  <c r="K14" i="4"/>
  <c r="K12" i="4"/>
  <c r="K10" i="4"/>
  <c r="K8" i="4"/>
  <c r="K6" i="4"/>
  <c r="J106" i="4"/>
  <c r="J104" i="4"/>
  <c r="J102" i="4"/>
  <c r="J100" i="4"/>
  <c r="J98" i="4"/>
  <c r="J96" i="4"/>
  <c r="J94" i="4"/>
  <c r="J92" i="4"/>
  <c r="J90" i="4"/>
  <c r="J88" i="4"/>
  <c r="J86" i="4"/>
  <c r="J84" i="4"/>
  <c r="J82" i="4"/>
  <c r="J80" i="4"/>
  <c r="J78" i="4"/>
  <c r="J76" i="4"/>
  <c r="J74" i="4"/>
  <c r="J72" i="4"/>
  <c r="J70" i="4"/>
  <c r="J68" i="4"/>
  <c r="J66" i="4"/>
  <c r="J64" i="4"/>
  <c r="J62" i="4"/>
  <c r="J60" i="4"/>
  <c r="J58" i="4"/>
  <c r="J56" i="4"/>
  <c r="J54" i="4"/>
  <c r="J52" i="4"/>
  <c r="J50" i="4"/>
  <c r="J48" i="4"/>
  <c r="J46" i="4"/>
  <c r="J44" i="4"/>
  <c r="J42" i="4"/>
  <c r="J40" i="4"/>
  <c r="J38" i="4"/>
  <c r="J36" i="4"/>
  <c r="J34" i="4"/>
  <c r="J32" i="4"/>
  <c r="J30" i="4"/>
  <c r="J28" i="4"/>
  <c r="J26" i="4"/>
  <c r="J24" i="4"/>
  <c r="J22" i="4"/>
  <c r="J20" i="4"/>
  <c r="J18" i="4"/>
  <c r="J16" i="4"/>
  <c r="J14" i="4"/>
  <c r="J12" i="4"/>
  <c r="J10" i="4"/>
  <c r="J8" i="4"/>
  <c r="H8" i="4"/>
  <c r="H6" i="4"/>
  <c r="J6" i="4"/>
  <c r="I106" i="4"/>
  <c r="I104" i="4"/>
  <c r="I102" i="4"/>
  <c r="I100" i="4"/>
  <c r="I98" i="4"/>
  <c r="I96" i="4"/>
  <c r="I94" i="4"/>
  <c r="I92" i="4"/>
  <c r="I90" i="4"/>
  <c r="I88" i="4"/>
  <c r="I86" i="4"/>
  <c r="I84" i="4"/>
  <c r="I82" i="4"/>
  <c r="I80" i="4"/>
  <c r="I78" i="4"/>
  <c r="I76" i="4"/>
  <c r="I74" i="4"/>
  <c r="I72" i="4"/>
  <c r="I70" i="4"/>
  <c r="I68" i="4"/>
  <c r="I66" i="4"/>
  <c r="I64" i="4"/>
  <c r="I62" i="4"/>
  <c r="I60" i="4"/>
  <c r="I58" i="4"/>
  <c r="I56" i="4"/>
  <c r="I54" i="4"/>
  <c r="I52" i="4"/>
  <c r="I50" i="4"/>
  <c r="I48" i="4"/>
  <c r="I46" i="4"/>
  <c r="I44" i="4"/>
  <c r="I42" i="4"/>
  <c r="I40" i="4"/>
  <c r="I38" i="4"/>
  <c r="I36" i="4"/>
  <c r="I34" i="4"/>
  <c r="I32" i="4"/>
  <c r="I30" i="4"/>
  <c r="I28" i="4"/>
  <c r="I26" i="4"/>
  <c r="I24" i="4"/>
  <c r="I22" i="4"/>
  <c r="I20" i="4"/>
  <c r="I18" i="4"/>
  <c r="I16" i="4"/>
  <c r="I14" i="4"/>
  <c r="I12" i="4"/>
  <c r="I10" i="4"/>
  <c r="I8" i="4"/>
  <c r="I6" i="4"/>
  <c r="H106" i="4"/>
  <c r="H104" i="4"/>
  <c r="H102" i="4"/>
  <c r="H100" i="4"/>
  <c r="H98" i="4"/>
  <c r="H96" i="4"/>
  <c r="H94" i="4"/>
  <c r="H92" i="4"/>
  <c r="H90" i="4"/>
  <c r="H88" i="4"/>
  <c r="H86" i="4"/>
  <c r="H84" i="4"/>
  <c r="H82" i="4"/>
  <c r="H80" i="4"/>
  <c r="H78" i="4"/>
  <c r="H76" i="4"/>
  <c r="H74" i="4"/>
  <c r="H72" i="4"/>
  <c r="H70" i="4"/>
  <c r="H68" i="4"/>
  <c r="H66" i="4"/>
  <c r="H64" i="4"/>
  <c r="H62" i="4"/>
  <c r="H60" i="4"/>
  <c r="H58" i="4"/>
  <c r="H56" i="4"/>
  <c r="H54" i="4"/>
  <c r="H52" i="4"/>
  <c r="H50" i="4"/>
  <c r="H48" i="4"/>
  <c r="H46" i="4"/>
  <c r="H44" i="4"/>
  <c r="H42" i="4"/>
  <c r="H40" i="4"/>
  <c r="H38" i="4"/>
  <c r="H36" i="4"/>
  <c r="H34" i="4"/>
  <c r="H32" i="4"/>
  <c r="H30" i="4"/>
  <c r="H28" i="4"/>
  <c r="H26" i="4"/>
  <c r="H24" i="4"/>
  <c r="H22" i="4"/>
  <c r="H20" i="4"/>
  <c r="H18" i="4"/>
  <c r="H16" i="4"/>
  <c r="H14" i="4"/>
  <c r="H12" i="4"/>
  <c r="H10" i="4"/>
  <c r="D5" i="2" l="1"/>
  <c r="E5" i="2"/>
  <c r="I6" i="2" l="1"/>
  <c r="A2" i="5"/>
  <c r="C5" i="1"/>
  <c r="D5" i="1"/>
  <c r="B5" i="5" s="1"/>
  <c r="E52" i="5"/>
  <c r="F52" i="5"/>
  <c r="G52" i="5"/>
  <c r="H52" i="5"/>
  <c r="I52" i="5"/>
  <c r="J52" i="5"/>
  <c r="K52" i="5"/>
  <c r="L52" i="5"/>
  <c r="M52" i="5"/>
  <c r="P52" i="5" s="1"/>
  <c r="N52" i="5"/>
  <c r="O52" i="5"/>
  <c r="O106" i="4"/>
  <c r="N106" i="4"/>
  <c r="M106" i="4"/>
  <c r="G106" i="4"/>
  <c r="F106" i="4"/>
  <c r="D106" i="4"/>
  <c r="B106" i="4"/>
  <c r="A106" i="4"/>
  <c r="O104" i="4"/>
  <c r="N104" i="4"/>
  <c r="M104" i="4"/>
  <c r="G104" i="4"/>
  <c r="F104" i="4"/>
  <c r="D104" i="4"/>
  <c r="B104" i="4"/>
  <c r="A104" i="4"/>
  <c r="O102" i="4"/>
  <c r="N102" i="4"/>
  <c r="M102" i="4"/>
  <c r="G102" i="4"/>
  <c r="F102" i="4"/>
  <c r="D102" i="4"/>
  <c r="B102" i="4"/>
  <c r="A102" i="4"/>
  <c r="O100" i="4"/>
  <c r="N100" i="4"/>
  <c r="M100" i="4"/>
  <c r="G100" i="4"/>
  <c r="F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O98" i="4"/>
  <c r="N98" i="4"/>
  <c r="M98" i="4"/>
  <c r="G98" i="4"/>
  <c r="F98" i="4"/>
  <c r="D98" i="4"/>
  <c r="B98" i="4"/>
  <c r="A98" i="4"/>
  <c r="O96" i="4"/>
  <c r="N96" i="4"/>
  <c r="M96" i="4"/>
  <c r="G96" i="4"/>
  <c r="F96" i="4"/>
  <c r="D96" i="4"/>
  <c r="B96" i="4"/>
  <c r="A96" i="4"/>
  <c r="O94" i="4"/>
  <c r="N94" i="4"/>
  <c r="M94" i="4"/>
  <c r="G94" i="4"/>
  <c r="F94" i="4"/>
  <c r="D94" i="4"/>
  <c r="B94" i="4"/>
  <c r="A94" i="4"/>
  <c r="O92" i="4"/>
  <c r="N92" i="4"/>
  <c r="M92" i="4"/>
  <c r="G92" i="4"/>
  <c r="F92" i="4"/>
  <c r="D92" i="4"/>
  <c r="B92" i="4"/>
  <c r="A92" i="4"/>
  <c r="O90" i="4"/>
  <c r="N90" i="4"/>
  <c r="M90" i="4"/>
  <c r="G90" i="4"/>
  <c r="F90" i="4"/>
  <c r="D90" i="4"/>
  <c r="B90" i="4"/>
  <c r="A90" i="4"/>
  <c r="O88" i="4"/>
  <c r="N88" i="4"/>
  <c r="M88" i="4"/>
  <c r="G88" i="4"/>
  <c r="F88" i="4"/>
  <c r="D88" i="4"/>
  <c r="B88" i="4"/>
  <c r="A88" i="4"/>
  <c r="O86" i="4"/>
  <c r="N86" i="4"/>
  <c r="M86" i="4"/>
  <c r="G86" i="4"/>
  <c r="F86" i="4"/>
  <c r="D86" i="4"/>
  <c r="B86" i="4"/>
  <c r="A86" i="4"/>
  <c r="O84" i="4"/>
  <c r="N84" i="4"/>
  <c r="M84" i="4"/>
  <c r="G84" i="4"/>
  <c r="F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O82" i="4"/>
  <c r="N82" i="4"/>
  <c r="M82" i="4"/>
  <c r="G82" i="4"/>
  <c r="F82" i="4"/>
  <c r="D82" i="4"/>
  <c r="B82" i="4"/>
  <c r="A82" i="4"/>
  <c r="O80" i="4"/>
  <c r="N80" i="4"/>
  <c r="M80" i="4"/>
  <c r="G80" i="4"/>
  <c r="F80" i="4"/>
  <c r="D80" i="4"/>
  <c r="B80" i="4"/>
  <c r="A80" i="4"/>
  <c r="O78" i="4"/>
  <c r="N78" i="4"/>
  <c r="M78" i="4"/>
  <c r="G78" i="4"/>
  <c r="F78" i="4"/>
  <c r="D78" i="4"/>
  <c r="B78" i="4"/>
  <c r="A78" i="4"/>
  <c r="O76" i="4"/>
  <c r="N76" i="4"/>
  <c r="M76" i="4"/>
  <c r="G76" i="4"/>
  <c r="F76" i="4"/>
  <c r="D76" i="4"/>
  <c r="B76" i="4"/>
  <c r="A76" i="4"/>
  <c r="O74" i="4"/>
  <c r="N74" i="4"/>
  <c r="M74" i="4"/>
  <c r="G74" i="4"/>
  <c r="F74" i="4"/>
  <c r="D74" i="4"/>
  <c r="B74" i="4"/>
  <c r="A74" i="4"/>
  <c r="O72" i="4"/>
  <c r="N72" i="4"/>
  <c r="M72" i="4"/>
  <c r="G72" i="4"/>
  <c r="F72" i="4"/>
  <c r="D72" i="4"/>
  <c r="B72" i="4"/>
  <c r="A72" i="4"/>
  <c r="O70" i="4"/>
  <c r="N70" i="4"/>
  <c r="M70" i="4"/>
  <c r="G70" i="4"/>
  <c r="F70" i="4"/>
  <c r="D70" i="4"/>
  <c r="B70" i="4"/>
  <c r="A70" i="4"/>
  <c r="N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H2" i="5"/>
  <c r="G2" i="5"/>
  <c r="F2" i="5"/>
  <c r="E2" i="5"/>
  <c r="O1" i="5"/>
  <c r="N1" i="5"/>
  <c r="M1" i="5"/>
  <c r="L1" i="5"/>
  <c r="K1" i="5"/>
  <c r="J1" i="5"/>
  <c r="I1" i="5"/>
  <c r="H1" i="5"/>
  <c r="G1" i="5"/>
  <c r="F1" i="5"/>
  <c r="E1" i="5"/>
  <c r="B5" i="1" l="1"/>
  <c r="A6" i="2" l="1"/>
  <c r="B16" i="3"/>
  <c r="B20" i="3" s="1"/>
  <c r="A6" i="1"/>
  <c r="B18" i="3" l="1"/>
  <c r="G7" i="2"/>
  <c r="G6" i="2"/>
  <c r="H6" i="2"/>
  <c r="E5" i="1" l="1"/>
  <c r="A3" i="5" l="1"/>
  <c r="B2" i="5" l="1"/>
  <c r="N68" i="4" l="1"/>
  <c r="N66" i="4"/>
  <c r="N64" i="4"/>
  <c r="N62" i="4"/>
  <c r="N60" i="4"/>
  <c r="N58" i="4"/>
  <c r="N56" i="4"/>
  <c r="N54" i="4"/>
  <c r="N52" i="4"/>
  <c r="N50" i="4"/>
  <c r="N48" i="4"/>
  <c r="N46" i="4"/>
  <c r="N44" i="4"/>
  <c r="N42" i="4"/>
  <c r="N40" i="4"/>
  <c r="N36" i="4"/>
  <c r="N34" i="4"/>
  <c r="N32" i="4"/>
  <c r="N30" i="4"/>
  <c r="N28" i="4"/>
  <c r="N26" i="4"/>
  <c r="N24" i="4"/>
  <c r="N22" i="4"/>
  <c r="N20" i="4"/>
  <c r="N18" i="4"/>
  <c r="N16" i="4"/>
  <c r="N14" i="4"/>
  <c r="N12" i="4"/>
  <c r="N10" i="4"/>
  <c r="N8" i="4"/>
  <c r="N6" i="4"/>
  <c r="A5" i="5" l="1"/>
  <c r="A8" i="4"/>
  <c r="O68" i="4" l="1"/>
  <c r="M68" i="4"/>
  <c r="G68" i="4"/>
  <c r="F68" i="4"/>
  <c r="D68" i="4"/>
  <c r="B68" i="4"/>
  <c r="A68" i="4"/>
  <c r="O66" i="4"/>
  <c r="M66" i="4"/>
  <c r="G66" i="4"/>
  <c r="F66" i="4"/>
  <c r="D66" i="4"/>
  <c r="B66" i="4"/>
  <c r="A66" i="4"/>
  <c r="O64" i="4"/>
  <c r="M64" i="4"/>
  <c r="G64" i="4"/>
  <c r="F64" i="4"/>
  <c r="D64" i="4"/>
  <c r="B64" i="4"/>
  <c r="A64" i="4"/>
  <c r="O62" i="4"/>
  <c r="M62" i="4"/>
  <c r="G62" i="4"/>
  <c r="F62" i="4"/>
  <c r="D62" i="4"/>
  <c r="B62" i="4"/>
  <c r="A62" i="4"/>
  <c r="O60" i="4"/>
  <c r="M60" i="4"/>
  <c r="G60" i="4"/>
  <c r="F60" i="4"/>
  <c r="D60" i="4"/>
  <c r="B60" i="4"/>
  <c r="A60" i="4"/>
  <c r="O58" i="4"/>
  <c r="M58" i="4"/>
  <c r="G58" i="4"/>
  <c r="F58" i="4"/>
  <c r="D58" i="4"/>
  <c r="B58" i="4"/>
  <c r="A58" i="4"/>
  <c r="O56" i="4"/>
  <c r="M56" i="4"/>
  <c r="G56" i="4"/>
  <c r="F56" i="4"/>
  <c r="D56" i="4"/>
  <c r="B56" i="4"/>
  <c r="A56" i="4"/>
  <c r="O54" i="4"/>
  <c r="M54" i="4"/>
  <c r="G54" i="4"/>
  <c r="F54" i="4"/>
  <c r="D54" i="4"/>
  <c r="B54" i="4"/>
  <c r="A54" i="4"/>
  <c r="O52" i="4"/>
  <c r="M52" i="4"/>
  <c r="G52" i="4"/>
  <c r="F52" i="4"/>
  <c r="D52" i="4"/>
  <c r="B52" i="4"/>
  <c r="A52" i="4"/>
  <c r="O50" i="4"/>
  <c r="M50" i="4"/>
  <c r="G50" i="4"/>
  <c r="F50" i="4"/>
  <c r="D50" i="4"/>
  <c r="B50" i="4"/>
  <c r="A50" i="4"/>
  <c r="O48" i="4"/>
  <c r="M48" i="4"/>
  <c r="G48" i="4"/>
  <c r="F48" i="4"/>
  <c r="D48" i="4"/>
  <c r="B48" i="4"/>
  <c r="A48" i="4"/>
  <c r="O46" i="4"/>
  <c r="M46" i="4"/>
  <c r="G46" i="4"/>
  <c r="F46" i="4"/>
  <c r="D46" i="4"/>
  <c r="B46" i="4"/>
  <c r="A46" i="4"/>
  <c r="O44" i="4"/>
  <c r="M44" i="4"/>
  <c r="G44" i="4"/>
  <c r="F44" i="4"/>
  <c r="D44" i="4"/>
  <c r="B44" i="4"/>
  <c r="A44" i="4"/>
  <c r="O42" i="4"/>
  <c r="M42" i="4"/>
  <c r="G42" i="4"/>
  <c r="F42" i="4"/>
  <c r="D42" i="4"/>
  <c r="B42" i="4"/>
  <c r="A42" i="4"/>
  <c r="O40" i="4"/>
  <c r="M40" i="4"/>
  <c r="G40" i="4"/>
  <c r="F40" i="4"/>
  <c r="D40" i="4"/>
  <c r="B40" i="4"/>
  <c r="A40" i="4"/>
  <c r="O38" i="4"/>
  <c r="M38" i="4"/>
  <c r="G38" i="4"/>
  <c r="F38" i="4"/>
  <c r="D38" i="4"/>
  <c r="B38" i="4"/>
  <c r="A38" i="4"/>
  <c r="O36" i="4"/>
  <c r="M36" i="4"/>
  <c r="G36" i="4"/>
  <c r="F36" i="4"/>
  <c r="D36" i="4"/>
  <c r="B36" i="4"/>
  <c r="A36" i="4"/>
  <c r="O34" i="4"/>
  <c r="M34" i="4"/>
  <c r="G34" i="4"/>
  <c r="F34" i="4"/>
  <c r="D34" i="4"/>
  <c r="B34" i="4"/>
  <c r="A34" i="4"/>
  <c r="O32" i="4"/>
  <c r="M32" i="4"/>
  <c r="G32" i="4"/>
  <c r="F32" i="4"/>
  <c r="D32" i="4"/>
  <c r="B32" i="4"/>
  <c r="A32" i="4"/>
  <c r="O30" i="4"/>
  <c r="M30" i="4"/>
  <c r="G30" i="4"/>
  <c r="F30" i="4"/>
  <c r="D30" i="4"/>
  <c r="B30" i="4"/>
  <c r="A30" i="4"/>
  <c r="O28" i="4"/>
  <c r="M28" i="4"/>
  <c r="G28" i="4"/>
  <c r="F28" i="4"/>
  <c r="D28" i="4"/>
  <c r="B28" i="4"/>
  <c r="A28" i="4"/>
  <c r="O26" i="4"/>
  <c r="M26" i="4"/>
  <c r="G26" i="4"/>
  <c r="F26" i="4"/>
  <c r="D26" i="4"/>
  <c r="B26" i="4"/>
  <c r="A26" i="4"/>
  <c r="O24" i="4"/>
  <c r="M24" i="4"/>
  <c r="G24" i="4"/>
  <c r="F24" i="4"/>
  <c r="D24" i="4"/>
  <c r="B24" i="4"/>
  <c r="A24" i="4"/>
  <c r="O22" i="4"/>
  <c r="M22" i="4"/>
  <c r="G22" i="4"/>
  <c r="F22" i="4"/>
  <c r="D22" i="4"/>
  <c r="B22" i="4"/>
  <c r="A22" i="4"/>
  <c r="O20" i="4"/>
  <c r="M20" i="4"/>
  <c r="G20" i="4"/>
  <c r="F20" i="4"/>
  <c r="D20" i="4"/>
  <c r="B20" i="4"/>
  <c r="A20" i="4"/>
  <c r="O18" i="4"/>
  <c r="M18" i="4"/>
  <c r="G18" i="4"/>
  <c r="F18" i="4"/>
  <c r="D18" i="4"/>
  <c r="B18" i="4"/>
  <c r="A18" i="4"/>
  <c r="O16" i="4"/>
  <c r="M16" i="4"/>
  <c r="G16" i="4"/>
  <c r="F16" i="4"/>
  <c r="D16" i="4"/>
  <c r="B16" i="4"/>
  <c r="A16" i="4"/>
  <c r="O14" i="4"/>
  <c r="M14" i="4"/>
  <c r="G14" i="4"/>
  <c r="F14" i="4"/>
  <c r="D14" i="4"/>
  <c r="B14" i="4"/>
  <c r="A14" i="4"/>
  <c r="O12" i="4"/>
  <c r="M12" i="4"/>
  <c r="G12" i="4"/>
  <c r="F12" i="4"/>
  <c r="D12" i="4"/>
  <c r="B12" i="4"/>
  <c r="A12" i="4"/>
  <c r="O10" i="4"/>
  <c r="M10" i="4"/>
  <c r="G10" i="4"/>
  <c r="F10" i="4"/>
  <c r="D10" i="4"/>
  <c r="B10" i="4"/>
  <c r="A10" i="4"/>
  <c r="O8" i="4"/>
  <c r="M8" i="4"/>
  <c r="G8" i="4"/>
  <c r="F8" i="4"/>
  <c r="D8" i="4"/>
  <c r="B8" i="4"/>
  <c r="O6" i="4"/>
  <c r="M6" i="4"/>
  <c r="G6" i="4"/>
  <c r="D6" i="4"/>
  <c r="B6" i="4"/>
  <c r="M6" i="2" l="1"/>
  <c r="K6" i="2"/>
  <c r="J6" i="2"/>
  <c r="C6" i="2"/>
  <c r="E6" i="1"/>
  <c r="B6" i="1"/>
  <c r="F6" i="1" l="1"/>
  <c r="F6" i="4"/>
  <c r="J2" i="5"/>
  <c r="I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Syncovery</author>
  </authors>
  <commentList>
    <comment ref="I1" authorId="0" shapeId="0" xr:uid="{C0880860-9208-4F96-A847-1457FE8A0432}">
      <text>
        <r>
          <rPr>
            <b/>
            <sz val="9"/>
            <color indexed="81"/>
            <rFont val="Tahoma"/>
            <charset val="1"/>
          </rPr>
          <t>Ignored in SEPA Credit Transfers file layout Pain.001.001.03 - 202503</t>
        </r>
      </text>
    </comment>
    <comment ref="J1" authorId="0" shapeId="0" xr:uid="{3B944C10-5AEE-417E-9F35-9EF21D38A0B5}">
      <text>
        <r>
          <rPr>
            <b/>
            <sz val="9"/>
            <color indexed="81"/>
            <rFont val="Tahoma"/>
            <charset val="1"/>
          </rPr>
          <t>Ignored in SEPA Credit Transfers file layout Pain.001.001.03 - 202503</t>
        </r>
      </text>
    </comment>
    <comment ref="L1" authorId="0" shapeId="0" xr:uid="{718B0FB9-D575-4A8D-B33F-53B87CB137F8}">
      <text>
        <r>
          <rPr>
            <b/>
            <sz val="9"/>
            <color indexed="81"/>
            <rFont val="Tahoma"/>
            <charset val="1"/>
          </rPr>
          <t>Ignored in SEPA Credit Transfers file layout Pain.001.001.03 - 202503</t>
        </r>
      </text>
    </comment>
  </commentList>
</comments>
</file>

<file path=xl/sharedStrings.xml><?xml version="1.0" encoding="utf-8"?>
<sst xmlns="http://schemas.openxmlformats.org/spreadsheetml/2006/main" count="1047" uniqueCount="839">
  <si>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</si>
  <si>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</si>
  <si>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</si>
  <si>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</si>
  <si>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</si>
  <si>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</si>
  <si>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</si>
  <si>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</si>
  <si>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</si>
  <si>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</si>
  <si>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</si>
  <si>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</si>
  <si>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</si>
  <si>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</si>
  <si>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</si>
  <si>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</si>
  <si>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</si>
  <si>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</si>
  <si>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</si>
  <si>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</si>
  <si>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</si>
  <si>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</si>
  <si>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</si>
  <si>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</si>
  <si>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</si>
  <si>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</si>
  <si>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</si>
  <si>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</si>
  <si>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</si>
  <si>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</si>
  <si>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</si>
  <si>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</si>
  <si>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</si>
  <si>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</si>
  <si>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</si>
  <si>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</si>
  <si>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</si>
  <si>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</si>
  <si>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</si>
  <si>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</si>
  <si>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</si>
  <si>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</si>
  <si>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</si>
  <si>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</si>
  <si>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</si>
  <si>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</si>
  <si>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</si>
  <si>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</si>
  <si>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</si>
  <si>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</si>
  <si>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</si>
  <si>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</si>
  <si>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</si>
  <si>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</si>
  <si>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</si>
  <si>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</si>
  <si>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</si>
  <si>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</si>
  <si>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</si>
  <si>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</si>
  <si>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</si>
  <si>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</si>
  <si>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</si>
  <si>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</si>
  <si>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</si>
  <si>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</si>
  <si>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</si>
  <si>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</si>
  <si>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</si>
  <si>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</si>
  <si>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</si>
  <si>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</si>
  <si>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</si>
  <si>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</si>
  <si>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</si>
  <si>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</si>
  <si>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</si>
  <si>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</si>
  <si>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</si>
  <si>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</si>
  <si>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</si>
  <si>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</si>
  <si>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</si>
  <si>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</si>
  <si>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</si>
  <si>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</si>
  <si>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</si>
  <si>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Document Name</t>
  </si>
  <si>
    <t>Version</t>
  </si>
  <si>
    <t>7.0</t>
  </si>
  <si>
    <t xml:space="preserve">Last updated: </t>
  </si>
  <si>
    <t xml:space="preserve"> Version</t>
  </si>
  <si>
    <t>This Excel SpreadSheet</t>
  </si>
  <si>
    <t>©</t>
  </si>
  <si>
    <t>Number of transactions</t>
  </si>
  <si>
    <t>FileName</t>
  </si>
  <si>
    <t>GUID</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</si>
  <si>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</si>
  <si>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</si>
  <si>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</si>
  <si>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</si>
  <si>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</si>
  <si>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</si>
  <si>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Unreferenced: Notes</t>
  </si>
  <si>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</si>
  <si>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</si>
  <si>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</si>
  <si>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</si>
  <si>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</si>
  <si>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</si>
  <si>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</si>
  <si>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</si>
  <si>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</si>
  <si>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</si>
  <si>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</si>
  <si>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</si>
  <si>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</si>
  <si>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</si>
  <si>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</si>
  <si>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</si>
  <si>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A001</t>
  </si>
  <si>
    <t>VALLMTXX</t>
  </si>
  <si>
    <t>Test Company Ltd</t>
  </si>
  <si>
    <t>BNK</t>
  </si>
  <si>
    <t>MT99TEST999990000000499999999</t>
  </si>
  <si>
    <t>PAYEE NAME</t>
  </si>
  <si>
    <t>MT00VALL00000000000012345678901</t>
  </si>
  <si>
    <t>XXX000</t>
  </si>
  <si>
    <t>1.20.00</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</si>
  <si>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</si>
  <si>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</si>
  <si>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</si>
  <si>
    <t>1.35.00</t>
  </si>
  <si>
    <t>(All)</t>
  </si>
  <si>
    <t xml:space="preserve">  * The passwords that are used to open the zipped file and to encrypt the SCTE file can now be passed as parameters. If they are absent the code will default to entries in **secrets.py**.
  * The name of the xlsm file that is within the zipped archive is a parameter rather than being hard coded into the code.  The default name is **BnkSEPA.xlsm**. This adds another layer of security in an embedded solution.
  * The VBA code to update the PivotTable in the Control worksheet has been updated. This is because the PivotTable was not always updating. The behaviour is described in https://techcommunity.microsoft.com/t5/excel/pivot-table-won-t-refresh-after-data-refresh/m-p/2937032 </t>
  </si>
  <si>
    <t>Address Line 1</t>
  </si>
  <si>
    <t>Length: 1-70
Content: ([A-Za-z0-9]|[+|\?|/|\-|:|\(|\)|\.|,|'|\s]){0,70}</t>
  </si>
  <si>
    <t>ADDRESS 1</t>
  </si>
  <si>
    <t>1.37.00</t>
  </si>
  <si>
    <t>Documention</t>
  </si>
  <si>
    <t>* Applied changes defined in the SEPA Credit Transfers file layout document dated 2022-03
* Added the button call the macro that blanked the CIR Worksheet</t>
  </si>
  <si>
    <t>1.37.01</t>
  </si>
  <si>
    <t>* Increased row count</t>
  </si>
  <si>
    <t>1.38.01</t>
  </si>
  <si>
    <t>Sept 2023</t>
  </si>
  <si>
    <t>PstlAdr:StrtNm</t>
  </si>
  <si>
    <t>Street Name  (Optional)</t>
  </si>
  <si>
    <t>PstlAdr:BldgNb</t>
  </si>
  <si>
    <t>Building Number (Optional)</t>
  </si>
  <si>
    <r>
      <t xml:space="preserve">Length: 0-70
Content: ([A-Za-z0-9]|[+|\?|/|\-|:|\(|\)|\.|,|'|\s]){0,70}
</t>
    </r>
    <r>
      <rPr>
        <sz val="11"/>
        <color theme="4" tint="-0.499984740745262"/>
        <rFont val="Calibri"/>
        <family val="2"/>
        <scheme val="minor"/>
      </rPr>
      <t xml:space="preserve">Enter Street Name or 
import from Client Payee Data
</t>
    </r>
    <r>
      <rPr>
        <b/>
        <sz val="11"/>
        <color theme="4" tint="-0.499984740745262"/>
        <rFont val="Calibri"/>
        <family val="2"/>
        <scheme val="minor"/>
      </rPr>
      <t>=VLOOKUP("A/C",Payee,4,FALSE)</t>
    </r>
  </si>
  <si>
    <t>PstlAdr:BldgNm</t>
  </si>
  <si>
    <r>
      <t xml:space="preserve">Length: 1-16 (Optional)
Content: ([A-Za-z0-9]|[+|\?|/|\-|:|\(|\)|\.|,|'|\s]){1,16}
</t>
    </r>
    <r>
      <rPr>
        <sz val="11"/>
        <color theme="4" tint="-0.499984740745262"/>
        <rFont val="Calibri"/>
        <family val="2"/>
        <scheme val="minor"/>
      </rPr>
      <t xml:space="preserve">Enter Building Number or 
import from Client Payee Data
</t>
    </r>
    <r>
      <rPr>
        <b/>
        <sz val="11"/>
        <color theme="4" tint="-0.499984740745262"/>
        <rFont val="Calibri"/>
        <family val="2"/>
        <scheme val="minor"/>
      </rPr>
      <t>=VLOOKUP("A/C",Payee,5,FALSE)</t>
    </r>
  </si>
  <si>
    <t>Building Name (Optional)</t>
  </si>
  <si>
    <r>
      <t xml:space="preserve">Length: 1-35 (Optional)
Content: ([A-Za-z0-9]|[+|\?|/|\-|:|\(|\)|\.|,|'|\s]){1,35}
</t>
    </r>
    <r>
      <rPr>
        <sz val="11"/>
        <color theme="4" tint="-0.499984740745262"/>
        <rFont val="Calibri"/>
        <family val="2"/>
        <scheme val="minor"/>
      </rPr>
      <t xml:space="preserve">Enter Building Name or 
import from Client Payee Data
</t>
    </r>
    <r>
      <rPr>
        <b/>
        <sz val="11"/>
        <color theme="4" tint="-0.499984740745262"/>
        <rFont val="Calibri"/>
        <family val="2"/>
        <scheme val="minor"/>
      </rPr>
      <t>=VLOOKUP("A/C",Payee,6,FALSE)</t>
    </r>
  </si>
  <si>
    <t>PstlAdr:PstCd</t>
  </si>
  <si>
    <t>Postal Code (Optional)</t>
  </si>
  <si>
    <r>
      <t xml:space="preserve">Length: 1-16 (Optional)
Content: ([A-Za-z0-9]|[+|\?|/|\-|:|\(|\)|\.|,|'|\s]){1,16}
</t>
    </r>
    <r>
      <rPr>
        <sz val="11"/>
        <color theme="4" tint="-0.499984740745262"/>
        <rFont val="Calibri"/>
        <family val="2"/>
        <scheme val="minor"/>
      </rPr>
      <t xml:space="preserve">Enter Postal Code or 
import from Client Payee Data
</t>
    </r>
    <r>
      <rPr>
        <b/>
        <sz val="11"/>
        <color theme="4" tint="-0.499984740745262"/>
        <rFont val="Calibri"/>
        <family val="2"/>
        <scheme val="minor"/>
      </rPr>
      <t>=VLOOKUP("A/C",Payee,7,FALSE)</t>
    </r>
  </si>
  <si>
    <t>PstlAdr:TwnNm</t>
  </si>
  <si>
    <t>Town Name (Mandatory)</t>
  </si>
  <si>
    <r>
      <t xml:space="preserve">Length: 1-35 (Optional)
Content: ([A-Za-z0-9]|[+|\?|/|\-|:|\(|\)|\.|,|'|\s]){1,35}
</t>
    </r>
    <r>
      <rPr>
        <sz val="11"/>
        <color theme="4" tint="-0.499984740745262"/>
        <rFont val="Calibri"/>
        <family val="2"/>
        <scheme val="minor"/>
      </rPr>
      <t xml:space="preserve">Enter Town Name or 
import from Client Payee Data
</t>
    </r>
    <r>
      <rPr>
        <b/>
        <sz val="11"/>
        <color theme="4" tint="-0.499984740745262"/>
        <rFont val="Calibri"/>
        <family val="2"/>
        <scheme val="minor"/>
      </rPr>
      <t>=VLOOKUP("A/C",Payee,8,FALSE)</t>
    </r>
  </si>
  <si>
    <t>PstlAdr:Ctry</t>
  </si>
  <si>
    <t>Country Code (Mandatory)</t>
  </si>
  <si>
    <r>
      <t xml:space="preserve">Content: [A-Z]{2,2}]
</t>
    </r>
    <r>
      <rPr>
        <sz val="11"/>
        <color theme="4" tint="-0.499984740745262"/>
        <rFont val="Calibri"/>
        <family val="2"/>
        <scheme val="minor"/>
      </rPr>
      <t xml:space="preserve">Enter Country Code or 
import from Client Payee Data
</t>
    </r>
    <r>
      <rPr>
        <b/>
        <sz val="11"/>
        <color theme="4" tint="-0.499984740745262"/>
        <rFont val="Calibri"/>
        <family val="2"/>
        <scheme val="minor"/>
      </rPr>
      <t>=VLOOKUP("A/C",Payee,9,FALSE)</t>
    </r>
  </si>
  <si>
    <r>
      <t xml:space="preserve">Enter IBAN Code manually
or 
import from Client Payee Data
</t>
    </r>
    <r>
      <rPr>
        <b/>
        <sz val="11"/>
        <color theme="4" tint="-0.499984740745262"/>
        <rFont val="Calibri"/>
        <family val="2"/>
        <scheme val="minor"/>
      </rPr>
      <t>=VLOOKUP("A/C",Payee,10,FALSE)</t>
    </r>
  </si>
  <si>
    <t>Optional: Street Name</t>
  </si>
  <si>
    <t>Optional: Building Number</t>
  </si>
  <si>
    <t>Optional: Building Name</t>
  </si>
  <si>
    <t>Optional: Postal Code</t>
  </si>
  <si>
    <t>Town Name</t>
  </si>
  <si>
    <t>Country</t>
  </si>
  <si>
    <t>MT</t>
  </si>
  <si>
    <t>Valletta</t>
  </si>
  <si>
    <t>2.00.00</t>
  </si>
  <si>
    <t>ACB, 2020-2025</t>
  </si>
  <si>
    <t xml:space="preserve">Payments Business Electronic Banking Services 
SEPA Credit Transfers file layout
Pain.001.001.09 v 8.7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</si>
  <si>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 Updates as described by SEPA Credit Transfers file layout Pain.001.001.03 v 8.5 dated 01/09/2023</t>
  </si>
  <si>
    <t>* Updates as described by SEPA Credit Transfers file layout Pain.001.001.09 v 8.7 dated 23/01/2025
* Changes:
    * Payment Information Record worksheet (tag adjustments)
    * Credit Instruction Record worksheet (new tags added, tags renamed)
    * Client Payee Data worksheet (adjustment of tags to align with Credit Instruction Record worksheet
    * Control Data (Hidden) worksheet. Added the list of country codes
    * Control Data (Hidden) worksheet. Adjusted Transaction date range</t>
  </si>
  <si>
    <t>Name</t>
  </si>
  <si>
    <t>Code</t>
  </si>
  <si>
    <t>Afghanistan</t>
  </si>
  <si>
    <t>AF</t>
  </si>
  <si>
    <t>Ã…land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</si>
  <si>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</si>
  <si>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</si>
  <si>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</si>
  <si>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</si>
  <si>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</si>
  <si>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</si>
  <si>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</si>
  <si>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</si>
  <si>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</si>
  <si>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</si>
  <si>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</si>
  <si>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</si>
  <si>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</si>
  <si>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</si>
  <si>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</si>
  <si>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</si>
  <si>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</si>
  <si>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</si>
  <si>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</si>
  <si>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</si>
  <si>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</si>
  <si>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</si>
  <si>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</si>
  <si>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</si>
  <si>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</si>
  <si>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</si>
  <si>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</si>
  <si>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</si>
  <si>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</si>
  <si>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</si>
  <si>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</si>
  <si>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</si>
  <si>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</si>
  <si>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</si>
  <si>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</si>
  <si>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</si>
  <si>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</si>
  <si>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</si>
  <si>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</si>
  <si>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</si>
  <si>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</si>
  <si>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</si>
  <si>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</si>
  <si>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</si>
  <si>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</si>
  <si>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</si>
  <si>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</si>
  <si>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</si>
  <si>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</si>
  <si>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 Plurinational State of</t>
  </si>
  <si>
    <t>BO</t>
  </si>
  <si>
    <t>Bonaire, Sint Eustatius and Saba</t>
  </si>
  <si>
    <t>BQ</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</si>
  <si>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</si>
  <si>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</si>
  <si>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</si>
  <si>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</si>
  <si>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</si>
  <si>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</si>
  <si>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</si>
  <si>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</si>
  <si>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</si>
  <si>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</si>
  <si>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</si>
  <si>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</si>
  <si>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</si>
  <si>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</si>
  <si>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</si>
  <si>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</si>
  <si>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</si>
  <si>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</si>
  <si>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</si>
  <si>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</si>
  <si>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</si>
  <si>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</si>
  <si>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</si>
  <si>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</si>
  <si>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</si>
  <si>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</si>
  <si>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</si>
  <si>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</si>
  <si>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</si>
  <si>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</si>
  <si>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</si>
  <si>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</si>
  <si>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</si>
  <si>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</si>
  <si>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</si>
  <si>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</si>
  <si>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</si>
  <si>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</si>
  <si>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</si>
  <si>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</si>
  <si>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</si>
  <si>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</si>
  <si>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</si>
  <si>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</si>
  <si>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</si>
  <si>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</si>
  <si>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</si>
  <si>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</si>
  <si>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</si>
  <si>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</si>
  <si>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</si>
  <si>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</si>
  <si>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CÃ´te d'Ivoire</t>
  </si>
  <si>
    <t>CI</t>
  </si>
  <si>
    <t>Croatia</t>
  </si>
  <si>
    <t>HR</t>
  </si>
  <si>
    <t>Cuba</t>
  </si>
  <si>
    <t>CU</t>
  </si>
  <si>
    <t>CuraÃ§ao</t>
  </si>
  <si>
    <t>CW</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</si>
  <si>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</si>
  <si>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</si>
  <si>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</si>
  <si>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</si>
  <si>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</si>
  <si>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</si>
  <si>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</si>
  <si>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</si>
  <si>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</si>
  <si>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</si>
  <si>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</si>
  <si>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</si>
  <si>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</si>
  <si>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</si>
  <si>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</si>
  <si>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</si>
  <si>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</si>
  <si>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</si>
  <si>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</si>
  <si>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</si>
  <si>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</si>
  <si>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</si>
  <si>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</si>
  <si>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</si>
  <si>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</si>
  <si>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</si>
  <si>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</si>
  <si>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</si>
  <si>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</si>
  <si>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</si>
  <si>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</si>
  <si>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</si>
  <si>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</si>
  <si>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</si>
  <si>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</si>
  <si>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</si>
  <si>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</si>
  <si>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</si>
  <si>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</si>
  <si>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</si>
  <si>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</si>
  <si>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</si>
  <si>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</si>
  <si>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</si>
  <si>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</si>
  <si>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</si>
  <si>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</si>
  <si>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</si>
  <si>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</si>
  <si>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</si>
  <si>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</si>
  <si>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</si>
  <si>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</si>
  <si>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</si>
  <si>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</si>
  <si>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</si>
  <si>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</si>
  <si>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</si>
  <si>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</si>
  <si>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</si>
  <si>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</si>
  <si>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</si>
  <si>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</si>
  <si>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</si>
  <si>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</si>
  <si>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</si>
  <si>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</si>
  <si>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</si>
  <si>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</si>
  <si>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</si>
  <si>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</si>
  <si>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</si>
  <si>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</si>
  <si>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</si>
  <si>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</si>
  <si>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</si>
  <si>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</si>
  <si>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</si>
  <si>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</si>
  <si>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</si>
  <si>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</si>
  <si>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</si>
  <si>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</si>
  <si>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</si>
  <si>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</si>
  <si>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</si>
  <si>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</si>
  <si>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</si>
  <si>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</si>
  <si>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</si>
  <si>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</si>
  <si>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</si>
  <si>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</si>
  <si>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</si>
  <si>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</si>
  <si>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</si>
  <si>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</si>
  <si>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</si>
  <si>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</si>
  <si>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</si>
  <si>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</si>
  <si>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</si>
  <si>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</si>
  <si>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</si>
  <si>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</si>
  <si>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</si>
  <si>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</si>
  <si>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</si>
  <si>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</si>
  <si>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</si>
  <si>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</si>
  <si>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</si>
  <si>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</si>
  <si>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</si>
  <si>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</si>
  <si>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</si>
  <si>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</si>
  <si>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</si>
  <si>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</si>
  <si>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</si>
  <si>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</si>
  <si>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</si>
  <si>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</si>
  <si>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</si>
  <si>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</si>
  <si>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</si>
  <si>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</si>
  <si>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</si>
  <si>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</si>
  <si>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</si>
  <si>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</si>
  <si>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</si>
  <si>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</si>
  <si>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</si>
  <si>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</si>
  <si>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</si>
  <si>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</si>
  <si>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</si>
  <si>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</si>
  <si>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</si>
  <si>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</si>
  <si>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</si>
  <si>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</si>
  <si>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</si>
  <si>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</si>
  <si>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</si>
  <si>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</si>
  <si>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</si>
  <si>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</si>
  <si>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</si>
  <si>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</si>
  <si>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</si>
  <si>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</si>
  <si>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</si>
  <si>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</si>
  <si>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</si>
  <si>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</si>
  <si>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</si>
  <si>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</si>
  <si>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</si>
  <si>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</si>
  <si>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</si>
  <si>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</si>
  <si>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</si>
  <si>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</si>
  <si>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</si>
  <si>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</si>
  <si>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</si>
  <si>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</si>
  <si>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</si>
  <si>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</si>
  <si>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</si>
  <si>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</si>
  <si>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</si>
  <si>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</si>
  <si>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</si>
  <si>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</si>
  <si>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</si>
  <si>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</si>
  <si>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Montenegro</t>
  </si>
  <si>
    <t>ME</t>
  </si>
  <si>
    <t>Montserrat</t>
  </si>
  <si>
    <t>MS</t>
  </si>
  <si>
    <t>Morocco</t>
  </si>
  <si>
    <t>MA</t>
  </si>
  <si>
    <t>Mozambique</t>
  </si>
  <si>
    <t>MZ</t>
  </si>
  <si>
    <t>Myanmar</t>
  </si>
  <si>
    <t>MM</t>
  </si>
  <si>
    <t>Namibia</t>
  </si>
  <si>
    <t>NA</t>
  </si>
  <si>
    <t>Nauru</t>
  </si>
  <si>
    <t>NR</t>
  </si>
  <si>
    <t>Nepal</t>
  </si>
  <si>
    <t>NP</t>
  </si>
  <si>
    <t>Netherlands</t>
  </si>
  <si>
    <t>NL</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</si>
  <si>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</si>
  <si>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</si>
  <si>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</si>
  <si>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</si>
  <si>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</si>
  <si>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</si>
  <si>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</si>
  <si>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</si>
  <si>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</si>
  <si>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</si>
  <si>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</si>
  <si>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</si>
  <si>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</si>
  <si>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</si>
  <si>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</si>
  <si>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</si>
  <si>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</si>
  <si>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</si>
  <si>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</si>
  <si>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</si>
  <si>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</si>
  <si>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</si>
  <si>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</si>
  <si>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</si>
  <si>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Palestine, State of</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</si>
  <si>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</si>
  <si>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</si>
  <si>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</si>
  <si>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</si>
  <si>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</si>
  <si>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</si>
  <si>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</si>
  <si>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</si>
  <si>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</si>
  <si>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</si>
  <si>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</si>
  <si>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</si>
  <si>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</si>
  <si>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</si>
  <si>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</si>
  <si>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</si>
  <si>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</si>
  <si>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</si>
  <si>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</si>
  <si>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</si>
  <si>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</si>
  <si>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RÃ©union</t>
  </si>
  <si>
    <t>RE</t>
  </si>
  <si>
    <t>Romania</t>
  </si>
  <si>
    <t>RO</t>
  </si>
  <si>
    <t>Russian Federation</t>
  </si>
  <si>
    <t>RU</t>
  </si>
  <si>
    <t>Rwanda</t>
  </si>
  <si>
    <t>RW</t>
  </si>
  <si>
    <t>Saint BarthÃ©lemy</t>
  </si>
  <si>
    <t>BL</t>
  </si>
  <si>
    <t>Saint Helena, Ascension and Tristan da Cunha</t>
  </si>
  <si>
    <t>SH</t>
  </si>
  <si>
    <t>Saint Kitts and Nevis</t>
  </si>
  <si>
    <t>KN</t>
  </si>
  <si>
    <t>Saint Lucia</t>
  </si>
  <si>
    <t>LC</t>
  </si>
  <si>
    <t>Saint Martin (French part)</t>
  </si>
  <si>
    <t>MF</t>
  </si>
  <si>
    <t>Saint Pierre and Miquelon</t>
  </si>
  <si>
    <t>PM</t>
  </si>
  <si>
    <t>Saint Vincent and the Grenadines</t>
  </si>
  <si>
    <t>VC</t>
  </si>
  <si>
    <t>Samoa</t>
  </si>
  <si>
    <t>WS</t>
  </si>
  <si>
    <t>San Marino</t>
  </si>
  <si>
    <t>SM</t>
  </si>
  <si>
    <t>Sao Tome and Principe</t>
  </si>
  <si>
    <t>ST</t>
  </si>
  <si>
    <t>Saudi Arabia</t>
  </si>
  <si>
    <t>SA</t>
  </si>
  <si>
    <t>Senegal</t>
  </si>
  <si>
    <t>SN</t>
  </si>
  <si>
    <t>Serbia</t>
  </si>
  <si>
    <t>RS</t>
  </si>
  <si>
    <t>Seychelles</t>
  </si>
  <si>
    <t>SC</t>
  </si>
  <si>
    <t>Sierra Leone</t>
  </si>
  <si>
    <t>SL</t>
  </si>
  <si>
    <t>Singapore</t>
  </si>
  <si>
    <t>SG</t>
  </si>
  <si>
    <t>Sint Maarten (Dutch part)</t>
  </si>
  <si>
    <t>SX</t>
  </si>
  <si>
    <t>Slovakia</t>
  </si>
  <si>
    <t>SK</t>
  </si>
  <si>
    <t>Slovenia</t>
  </si>
  <si>
    <t>SI</t>
  </si>
  <si>
    <t>Solomon Islands</t>
  </si>
  <si>
    <t>SB</t>
  </si>
  <si>
    <t>Somalia</t>
  </si>
  <si>
    <t>SO</t>
  </si>
  <si>
    <t>South Africa</t>
  </si>
  <si>
    <t>ZA</t>
  </si>
  <si>
    <t>South Georgia and the South Sandwich Islands</t>
  </si>
  <si>
    <t>GS</t>
  </si>
  <si>
    <t>South Sudan</t>
  </si>
  <si>
    <t>SS</t>
  </si>
  <si>
    <t>Spain</t>
  </si>
  <si>
    <t>ES</t>
  </si>
  <si>
    <t>Sri Lanka</t>
  </si>
  <si>
    <t>LK</t>
  </si>
  <si>
    <t>Sudan</t>
  </si>
  <si>
    <t>SD</t>
  </si>
  <si>
    <t>Suriname</t>
  </si>
  <si>
    <t>SR</t>
  </si>
  <si>
    <t>Svalbard and Jan Mayen</t>
  </si>
  <si>
    <t>SJ</t>
  </si>
  <si>
    <t>Eswatini</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</si>
  <si>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</si>
  <si>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</si>
  <si>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</si>
  <si>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</si>
  <si>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</si>
  <si>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</si>
  <si>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</si>
  <si>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</si>
  <si>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</si>
  <si>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</si>
  <si>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</si>
  <si>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</si>
  <si>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</si>
  <si>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</si>
  <si>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</si>
  <si>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</si>
  <si>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</si>
  <si>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</si>
  <si>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</si>
  <si>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</si>
  <si>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</si>
  <si>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</si>
  <si>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</si>
  <si>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</si>
  <si>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</si>
  <si>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</si>
  <si>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</si>
  <si>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</si>
  <si>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</si>
  <si>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</si>
  <si>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</si>
  <si>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</si>
  <si>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</si>
  <si>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</si>
  <si>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</si>
  <si>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</si>
  <si>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</si>
  <si>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</si>
  <si>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</si>
  <si>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</si>
  <si>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</si>
  <si>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</si>
  <si>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</si>
  <si>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</si>
  <si>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</si>
  <si>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</si>
  <si>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</si>
  <si>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</si>
  <si>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</si>
  <si>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</si>
  <si>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</si>
  <si>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</si>
  <si>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</si>
  <si>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 Bolivarian Republic of</t>
  </si>
  <si>
    <t>VE</t>
  </si>
  <si>
    <t>Viet Nam</t>
  </si>
  <si>
    <t>VN</t>
  </si>
  <si>
    <t>Virgin Islands, British</t>
  </si>
  <si>
    <t>VG</t>
  </si>
  <si>
    <t>Virgin Islands, U.S.</t>
  </si>
  <si>
    <t>VI</t>
  </si>
  <si>
    <t>Wallis and Futuna</t>
  </si>
  <si>
    <t>WF</t>
  </si>
  <si>
    <t>Western Sahara</t>
  </si>
  <si>
    <t>EH</t>
  </si>
  <si>
    <t>Yemen</t>
  </si>
  <si>
    <t>YE</t>
  </si>
  <si>
    <t>Zambia</t>
  </si>
  <si>
    <t>ZM</t>
  </si>
  <si>
    <t>Zimbabwe</t>
  </si>
  <si>
    <t>ZW</t>
  </si>
  <si>
    <t>Source: https://www.centralbankmalta.org/iban  (2025-05-17)</t>
  </si>
  <si>
    <t>BIC Found in IBAN (4 Characters)</t>
  </si>
  <si>
    <t>Full BIC (8 Characters)</t>
  </si>
  <si>
    <t>Financial Institution Name</t>
  </si>
  <si>
    <t>ABNG</t>
  </si>
  <si>
    <t>ABNGMTMT</t>
  </si>
  <si>
    <t>Access Bank Malta Limited</t>
  </si>
  <si>
    <t>AGRK</t>
  </si>
  <si>
    <t>AGRKMTMT</t>
  </si>
  <si>
    <t>AgriBank plc.</t>
  </si>
  <si>
    <t>AKBK</t>
  </si>
  <si>
    <t>AKBKMTMT</t>
  </si>
  <si>
    <t>Akbank T.A.S.</t>
  </si>
  <si>
    <t>APAH</t>
  </si>
  <si>
    <t>APAHMTMT</t>
  </si>
  <si>
    <t>Alpha FX Europe Limited</t>
  </si>
  <si>
    <t>ALUN</t>
  </si>
  <si>
    <t>ALUNMTM2</t>
  </si>
  <si>
    <t>Alunafi Ltd</t>
  </si>
  <si>
    <t>ANFV</t>
  </si>
  <si>
    <t>ANFVMTMM</t>
  </si>
  <si>
    <t>Andaria Financial Services ltd.</t>
  </si>
  <si>
    <t>APSB</t>
  </si>
  <si>
    <t>APSBMTMT</t>
  </si>
  <si>
    <t>APS Bank ltd.</t>
  </si>
  <si>
    <t>VALL</t>
  </si>
  <si>
    <t>Bank of Valletta plc.</t>
  </si>
  <si>
    <t>BLLG</t>
  </si>
  <si>
    <t xml:space="preserve">BLLGMTMB </t>
  </si>
  <si>
    <t>Ballinger Group - Europe</t>
  </si>
  <si>
    <t>BLLGMTMT</t>
  </si>
  <si>
    <t>Ballinger Markets Ltd</t>
  </si>
  <si>
    <t>BNIF</t>
  </si>
  <si>
    <t>BNIFMTMT</t>
  </si>
  <si>
    <t>BNF Bank plc.</t>
  </si>
  <si>
    <t>MALT</t>
  </si>
  <si>
    <t>MALTMTMT</t>
  </si>
  <si>
    <t xml:space="preserve">Central Bank of Malta </t>
  </si>
  <si>
    <t>FBHL</t>
  </si>
  <si>
    <t>FBHLMTMT</t>
  </si>
  <si>
    <t>Credit Europe Bank N.V.</t>
  </si>
  <si>
    <t>CRXB</t>
  </si>
  <si>
    <t>CRXBMTMT</t>
  </si>
  <si>
    <t>Credorax Bank ltd.</t>
  </si>
  <si>
    <t>ECMB</t>
  </si>
  <si>
    <t>ECMBMTMT</t>
  </si>
  <si>
    <t>ECCM Bank plc.</t>
  </si>
  <si>
    <t>EMON</t>
  </si>
  <si>
    <t>EMONMTM2</t>
  </si>
  <si>
    <t>Emoney plc.</t>
  </si>
  <si>
    <t>EMSY</t>
  </si>
  <si>
    <t>EMSYMTM1</t>
  </si>
  <si>
    <t>EMP Systems ltd.</t>
  </si>
  <si>
    <t>FCMF</t>
  </si>
  <si>
    <t>FCMFMTMT</t>
  </si>
  <si>
    <t>FCM Bank ltd.</t>
  </si>
  <si>
    <t>FEMA</t>
  </si>
  <si>
    <t>FEMAMTMT</t>
  </si>
  <si>
    <t>Multitude Bank p.l.c</t>
  </si>
  <si>
    <t>FEMAMTMA</t>
  </si>
  <si>
    <t>FFSM</t>
  </si>
  <si>
    <t>FFSMMTM1</t>
  </si>
  <si>
    <t>Fexserv Financial Services ltd.</t>
  </si>
  <si>
    <t>FIMB</t>
  </si>
  <si>
    <t>FIMBMTM3</t>
  </si>
  <si>
    <t>Fimbank plc.</t>
  </si>
  <si>
    <t>PAUU</t>
  </si>
  <si>
    <t>PAUUMTM1</t>
  </si>
  <si>
    <t>FinXP ltd.</t>
  </si>
  <si>
    <t>PYMX</t>
  </si>
  <si>
    <t>PYMXMTMTXXX</t>
  </si>
  <si>
    <t>Finance Incorporated ltd.</t>
  </si>
  <si>
    <t>PYMXMTMTMAL</t>
  </si>
  <si>
    <t>FIND</t>
  </si>
  <si>
    <t>FINDMTMT</t>
  </si>
  <si>
    <t>Finductive ltd.</t>
  </si>
  <si>
    <t>MMEB</t>
  </si>
  <si>
    <t>MMEBMTMT</t>
  </si>
  <si>
    <t>HSBC Bank Malta plc.</t>
  </si>
  <si>
    <t>IIGB</t>
  </si>
  <si>
    <t>IIGBMTMT</t>
  </si>
  <si>
    <t>IIG Bank ltd.</t>
  </si>
  <si>
    <t>ICDR</t>
  </si>
  <si>
    <t>ICDRMTMT</t>
  </si>
  <si>
    <t>Insignia Cards Ltd.</t>
  </si>
  <si>
    <t>IZOL</t>
  </si>
  <si>
    <t>IZOLMTMT</t>
  </si>
  <si>
    <t>Izola Bank ltd.</t>
  </si>
  <si>
    <t>LBMA</t>
  </si>
  <si>
    <t>LBMAMTMT</t>
  </si>
  <si>
    <t>Lombard Bank Malta plc.</t>
  </si>
  <si>
    <t>MBWM</t>
  </si>
  <si>
    <t>MBWMMTMT</t>
  </si>
  <si>
    <t>MeDirect Bank (Malta) plc.</t>
  </si>
  <si>
    <t>MLLK</t>
  </si>
  <si>
    <t>MLLKMTM2</t>
  </si>
  <si>
    <t>Mellifera Kartiera Limited</t>
  </si>
  <si>
    <t>MLLKMTMT</t>
  </si>
  <si>
    <t>MFCB</t>
  </si>
  <si>
    <t>MFCBMTMS</t>
  </si>
  <si>
    <t>Merkanti Bank ltd.</t>
  </si>
  <si>
    <t>CCUH</t>
  </si>
  <si>
    <t>CCUHMTMT</t>
  </si>
  <si>
    <t>Moneybase ltd.</t>
  </si>
  <si>
    <t>CCUHMTMTMBB</t>
  </si>
  <si>
    <t>MCPI</t>
  </si>
  <si>
    <t>MCPIMTM1</t>
  </si>
  <si>
    <t>MoneyPlus Card Payment Institution ltd.</t>
  </si>
  <si>
    <t>MTCC</t>
  </si>
  <si>
    <t>MTCCMTMT</t>
  </si>
  <si>
    <t>MTACC ltd.</t>
  </si>
  <si>
    <t>FNNB</t>
  </si>
  <si>
    <t>FNNBMTMT</t>
  </si>
  <si>
    <t>NBG Bank Malta ltd.</t>
  </si>
  <si>
    <t>VOCB</t>
  </si>
  <si>
    <t>VOCBMTMT</t>
  </si>
  <si>
    <t>Novum Bank ltd.</t>
  </si>
  <si>
    <t>CFTE</t>
  </si>
  <si>
    <t>CFTEMTM1</t>
  </si>
  <si>
    <t>OpenPayd Financial Services Malta ltd.</t>
  </si>
  <si>
    <t>PAPY</t>
  </si>
  <si>
    <t>PAPYMTMT</t>
  </si>
  <si>
    <t>Papaya ltd.</t>
  </si>
  <si>
    <t>PHPY</t>
  </si>
  <si>
    <t>PHPYMTM1</t>
  </si>
  <si>
    <t>Phoenix Payments ltd.</t>
  </si>
  <si>
    <t>SBMT</t>
  </si>
  <si>
    <t>SBMTMTMT</t>
  </si>
  <si>
    <t>Sparkasse Bank Malta plc.</t>
  </si>
  <si>
    <t>SYPL</t>
  </si>
  <si>
    <t>SYPLMTM2XXX</t>
  </si>
  <si>
    <t>System Pay Services (Malta) Limited</t>
  </si>
  <si>
    <t>TPML</t>
  </si>
  <si>
    <t>TPMLMTMT</t>
  </si>
  <si>
    <t>Transact Payments Malta Ltd.</t>
  </si>
  <si>
    <t>TRPE</t>
  </si>
  <si>
    <t>TRPEMTM1</t>
  </si>
  <si>
    <t>Truevo Payments ltd.</t>
  </si>
  <si>
    <t>TRPEMTMT</t>
  </si>
  <si>
    <t>TRUM</t>
  </si>
  <si>
    <t>TRUMMTM2</t>
  </si>
  <si>
    <t xml:space="preserve">Trumia Limited </t>
  </si>
  <si>
    <t>APAY</t>
  </si>
  <si>
    <t>APAYMTMT</t>
  </si>
  <si>
    <t>Trust Payments (Malta) Ltd.</t>
  </si>
  <si>
    <t>TGBA</t>
  </si>
  <si>
    <t>TGBAMTMT</t>
  </si>
  <si>
    <t>Turkiye Garanti Bankasi AS</t>
  </si>
  <si>
    <t>UNOG</t>
  </si>
  <si>
    <t>UNOGMTM1</t>
  </si>
  <si>
    <t>UnionGoldenPay ltd.</t>
  </si>
  <si>
    <t>VPAY</t>
  </si>
  <si>
    <t>VPAYMTM2</t>
  </si>
  <si>
    <t>Viva Payment Services S.A.</t>
  </si>
  <si>
    <t>COPX</t>
  </si>
  <si>
    <t>COPXMTMT</t>
  </si>
  <si>
    <t>W and J Coppini and Co.</t>
  </si>
  <si>
    <t>TGBP</t>
  </si>
  <si>
    <t>TGBPMTMT</t>
  </si>
  <si>
    <t>Convera Malta Financial Limited</t>
  </si>
  <si>
    <t>YAPI</t>
  </si>
  <si>
    <t>YAPIMTMT</t>
  </si>
  <si>
    <t>Yapi Kredi Bank Malta ltd.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</si>
</sst>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Thh:mm:ss"/>
    <numFmt numFmtId="165" formatCode="yyyy\-mm\-dd"/>
  </numFmts>
  <fonts count="17">
    <font>
      <sz val="11"/>
      <color theme="1"/>
      <name val="Calibri"/>
      <family val="2"/>
      <charset val="1"/>
      <scheme val="minor"/>
    </font>
    <font>
      <sz val="11"/>
      <color theme="1"/>
      <name val="Calibri"/>
      <family val="2"/>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
      <b/>
      <sz val="9"/>
      <color indexed="81"/>
      <name val="Tahoma"/>
      <charset val="1"/>
    </font>
    <font>
      <b/>
      <sz val="8"/>
      <color theme="1"/>
      <name val="Tahoma"/>
      <family val="2"/>
    </font>
    <font>
      <sz val="8"/>
      <name val="Tahoma"/>
      <family val="2"/>
    </font>
  </fonts>
  <fills count="9">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EC6C6"/>
        <bgColor indexed="64"/>
      </patternFill>
    </fill>
    <fill>
      <patternFill patternType="solid">
        <fgColor theme="5" tint="0.59999389629810485"/>
        <bgColor indexed="64"/>
      </patternFill>
    </fill>
    <fill>
      <patternFill patternType="solid">
        <fgColor theme="2" tint="-0.749992370372631"/>
        <bgColor indexed="64"/>
      </patternFill>
    </fill>
    <fill>
      <patternFill patternType="solid">
        <fgColor theme="0" tint="-0.14999847407452621"/>
        <bgColor indexed="64"/>
      </patternFill>
    </fill>
  </fills>
  <borders count="4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medium">
        <color indexed="64"/>
      </left>
      <right style="thin">
        <color theme="0" tint="-0.34998626667073579"/>
      </right>
      <top/>
      <bottom style="medium">
        <color indexed="64"/>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bottom style="medium">
        <color indexed="64"/>
      </bottom>
      <diagonal/>
    </border>
    <border>
      <left style="thin">
        <color theme="0" tint="-0.34998626667073579"/>
      </left>
      <right style="medium">
        <color indexed="64"/>
      </right>
      <top style="medium">
        <color indexed="64"/>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medium">
        <color indexed="64"/>
      </right>
      <top style="thin">
        <color theme="0" tint="-0.34998626667073579"/>
      </top>
      <bottom/>
      <diagonal/>
    </border>
    <border>
      <left style="medium">
        <color indexed="64"/>
      </left>
      <right style="thin">
        <color theme="0" tint="-0.34998626667073579"/>
      </right>
      <top/>
      <bottom/>
      <diagonal/>
    </border>
    <border>
      <left style="thin">
        <color theme="0" tint="-0.34998626667073579"/>
      </left>
      <right style="thin">
        <color theme="0" tint="-0.34998626667073579"/>
      </right>
      <top/>
      <bottom/>
      <diagonal/>
    </border>
    <border>
      <left/>
      <right style="medium">
        <color indexed="64"/>
      </right>
      <top style="thin">
        <color theme="0" tint="-0.34998626667073579"/>
      </top>
      <bottom/>
      <diagonal/>
    </border>
  </borders>
  <cellStyleXfs count="2">
    <xf numFmtId="0" fontId="0" fillId="0" borderId="0"/>
    <xf numFmtId="0" fontId="2" fillId="0" borderId="0"/>
  </cellStyleXfs>
  <cellXfs count="140">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3" fillId="0" borderId="0" xfId="0" applyFont="1" applyAlignment="1">
      <alignment vertical="top" wrapText="1"/>
    </xf>
    <xf numFmtId="0" fontId="3" fillId="2" borderId="0" xfId="0" applyFont="1" applyFill="1" applyAlignment="1">
      <alignment vertical="top" wrapText="1"/>
    </xf>
    <xf numFmtId="0" fontId="3" fillId="0" borderId="0" xfId="0" applyFont="1" applyAlignment="1">
      <alignment vertical="top"/>
    </xf>
    <xf numFmtId="0" fontId="6" fillId="0" borderId="0" xfId="0" applyFont="1" applyAlignment="1">
      <alignment vertical="center"/>
    </xf>
    <xf numFmtId="0" fontId="4" fillId="0" borderId="0" xfId="0" applyFont="1"/>
    <xf numFmtId="0" fontId="4"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4" fillId="0" borderId="0" xfId="0" applyFont="1" applyAlignment="1">
      <alignment horizontal="center" vertical="center" wrapText="1"/>
    </xf>
    <xf numFmtId="49" fontId="0" fillId="2" borderId="3" xfId="0" applyNumberFormat="1" applyFill="1" applyBorder="1"/>
    <xf numFmtId="0" fontId="0" fillId="2" borderId="0" xfId="0" applyFill="1" applyAlignment="1">
      <alignment vertical="top"/>
    </xf>
    <xf numFmtId="3" fontId="0" fillId="2" borderId="2" xfId="0" applyNumberFormat="1" applyFill="1" applyBorder="1"/>
    <xf numFmtId="4" fontId="0" fillId="2" borderId="2" xfId="0" applyNumberFormat="1" applyFill="1" applyBorder="1"/>
    <xf numFmtId="49" fontId="0" fillId="2" borderId="2" xfId="0" applyNumberFormat="1" applyFill="1" applyBorder="1"/>
    <xf numFmtId="0" fontId="3" fillId="0" borderId="15" xfId="0" applyFont="1" applyBorder="1" applyAlignment="1">
      <alignment vertical="top" wrapText="1"/>
    </xf>
    <xf numFmtId="0" fontId="3" fillId="2" borderId="16" xfId="0" applyFont="1" applyFill="1" applyBorder="1" applyAlignment="1">
      <alignment vertical="top" wrapText="1"/>
    </xf>
    <xf numFmtId="0" fontId="3" fillId="0" borderId="16" xfId="0" applyFont="1" applyBorder="1" applyAlignment="1">
      <alignment vertical="top" wrapText="1"/>
    </xf>
    <xf numFmtId="0" fontId="3"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3" fillId="0" borderId="19" xfId="0" applyFont="1" applyBorder="1" applyAlignment="1">
      <alignment vertical="top" wrapText="1"/>
    </xf>
    <xf numFmtId="0" fontId="0" fillId="0" borderId="20" xfId="0" applyBorder="1" applyAlignment="1">
      <alignment vertical="top" wrapText="1"/>
    </xf>
    <xf numFmtId="0" fontId="0" fillId="3" borderId="1" xfId="0" applyFill="1" applyBorder="1" applyProtection="1">
      <protection locked="0"/>
    </xf>
    <xf numFmtId="0" fontId="0" fillId="0" borderId="1" xfId="0" applyBorder="1"/>
    <xf numFmtId="0" fontId="0" fillId="0" borderId="2" xfId="0" applyBorder="1"/>
    <xf numFmtId="0" fontId="0" fillId="0" borderId="3" xfId="0" applyBorder="1"/>
    <xf numFmtId="0" fontId="0" fillId="0" borderId="7" xfId="0" applyBorder="1" applyAlignment="1">
      <alignment vertical="top"/>
    </xf>
    <xf numFmtId="0" fontId="0" fillId="0" borderId="8" xfId="0" applyBorder="1" applyAlignment="1">
      <alignment vertical="top"/>
    </xf>
    <xf numFmtId="0" fontId="0" fillId="0" borderId="10" xfId="0" applyBorder="1"/>
    <xf numFmtId="0" fontId="0" fillId="0" borderId="12" xfId="0" applyBorder="1"/>
    <xf numFmtId="0" fontId="0" fillId="0" borderId="13" xfId="0" applyBorder="1"/>
    <xf numFmtId="0" fontId="0" fillId="0" borderId="2" xfId="0" applyBorder="1" applyAlignment="1">
      <alignment vertical="top" wrapText="1"/>
    </xf>
    <xf numFmtId="0" fontId="0" fillId="0" borderId="2" xfId="0" quotePrefix="1" applyBorder="1" applyAlignment="1">
      <alignment vertical="top" wrapText="1"/>
    </xf>
    <xf numFmtId="0" fontId="0" fillId="0" borderId="3" xfId="0" quotePrefix="1" applyBorder="1"/>
    <xf numFmtId="0" fontId="0" fillId="0" borderId="0" xfId="0" quotePrefix="1" applyAlignment="1">
      <alignment vertical="top" wrapText="1"/>
    </xf>
    <xf numFmtId="0" fontId="0" fillId="0" borderId="0" xfId="0" quotePrefix="1"/>
    <xf numFmtId="0" fontId="0" fillId="0" borderId="7" xfId="0" applyBorder="1"/>
    <xf numFmtId="0" fontId="0" fillId="0" borderId="8" xfId="0" applyBorder="1"/>
    <xf numFmtId="0" fontId="0" fillId="0" borderId="9" xfId="0" applyBorder="1"/>
    <xf numFmtId="0" fontId="0" fillId="0" borderId="14" xfId="0" applyBorder="1"/>
    <xf numFmtId="14" fontId="0" fillId="0" borderId="2" xfId="0" applyNumberFormat="1" applyBorder="1"/>
    <xf numFmtId="14" fontId="0" fillId="0" borderId="3" xfId="0" applyNumberFormat="1" applyBorder="1"/>
    <xf numFmtId="164" fontId="0" fillId="2" borderId="2" xfId="0" applyNumberFormat="1" applyFill="1" applyBorder="1"/>
    <xf numFmtId="0" fontId="0" fillId="0" borderId="0" xfId="0" applyProtection="1">
      <protection locked="0"/>
    </xf>
    <xf numFmtId="0" fontId="9" fillId="0" borderId="0" xfId="0" applyFont="1" applyAlignment="1">
      <alignment vertical="top" wrapText="1"/>
    </xf>
    <xf numFmtId="0" fontId="11" fillId="0" borderId="0" xfId="0" applyFont="1" applyAlignment="1">
      <alignment horizontal="center" vertical="center"/>
    </xf>
    <xf numFmtId="0" fontId="11" fillId="0" borderId="0" xfId="0" applyFont="1" applyAlignment="1" applyProtection="1">
      <alignment horizontal="center" vertical="center"/>
      <protection locked="0"/>
    </xf>
    <xf numFmtId="0" fontId="7" fillId="0" borderId="0" xfId="0" applyFont="1" applyProtection="1">
      <protection locked="0"/>
    </xf>
    <xf numFmtId="0" fontId="7" fillId="0" borderId="0" xfId="0" applyFont="1"/>
    <xf numFmtId="0" fontId="11" fillId="0" borderId="0" xfId="0" applyFont="1" applyAlignment="1" applyProtection="1">
      <alignment horizontal="center" vertical="center" wrapText="1"/>
      <protection locked="0"/>
    </xf>
    <xf numFmtId="4" fontId="0" fillId="0" borderId="0" xfId="0" applyNumberFormat="1"/>
    <xf numFmtId="49" fontId="0" fillId="2" borderId="5" xfId="0" applyNumberFormat="1" applyFill="1" applyBorder="1"/>
    <xf numFmtId="49" fontId="0" fillId="2" borderId="6" xfId="0" applyNumberFormat="1" applyFill="1" applyBorder="1"/>
    <xf numFmtId="0" fontId="3" fillId="0" borderId="0" xfId="0" applyFont="1"/>
    <xf numFmtId="3" fontId="0" fillId="0" borderId="0" xfId="0" applyNumberFormat="1"/>
    <xf numFmtId="0" fontId="0" fillId="0" borderId="0" xfId="0" applyAlignment="1">
      <alignment horizontal="center"/>
    </xf>
    <xf numFmtId="0" fontId="0" fillId="0" borderId="0" xfId="0" applyAlignment="1">
      <alignment horizontal="center" vertical="center"/>
    </xf>
    <xf numFmtId="0" fontId="0" fillId="0" borderId="11" xfId="0" applyBorder="1"/>
    <xf numFmtId="4" fontId="0" fillId="0" borderId="13" xfId="0" applyNumberFormat="1" applyBorder="1"/>
    <xf numFmtId="0" fontId="4" fillId="0" borderId="0" xfId="0" applyFont="1" applyAlignment="1">
      <alignment horizontal="center" vertical="center"/>
    </xf>
    <xf numFmtId="0" fontId="0" fillId="0" borderId="0" xfId="0" applyAlignment="1" applyProtection="1">
      <alignment horizontal="center"/>
      <protection hidden="1"/>
    </xf>
    <xf numFmtId="0" fontId="0" fillId="7" borderId="0" xfId="0" applyFill="1"/>
    <xf numFmtId="0" fontId="0" fillId="7" borderId="0" xfId="0" applyFill="1" applyAlignment="1">
      <alignment vertical="top" wrapText="1"/>
    </xf>
    <xf numFmtId="3" fontId="0" fillId="7" borderId="5" xfId="0" applyNumberFormat="1" applyFill="1" applyBorder="1"/>
    <xf numFmtId="0" fontId="3" fillId="7" borderId="16" xfId="0" applyFont="1" applyFill="1" applyBorder="1" applyAlignment="1">
      <alignment vertical="top" wrapText="1"/>
    </xf>
    <xf numFmtId="0" fontId="0" fillId="7" borderId="19" xfId="0" applyFill="1" applyBorder="1"/>
    <xf numFmtId="49" fontId="0" fillId="7" borderId="5" xfId="0" applyNumberFormat="1" applyFill="1" applyBorder="1" applyProtection="1">
      <protection locked="0"/>
    </xf>
    <xf numFmtId="0" fontId="0" fillId="7" borderId="19" xfId="0" applyFill="1" applyBorder="1" applyAlignment="1">
      <alignment vertical="top" wrapText="1"/>
    </xf>
    <xf numFmtId="49" fontId="16" fillId="0" borderId="22" xfId="1" applyNumberFormat="1" applyFont="1" applyBorder="1" applyAlignment="1">
      <alignment horizontal="center" vertical="center"/>
    </xf>
    <xf numFmtId="49" fontId="16" fillId="0" borderId="25" xfId="1" applyNumberFormat="1" applyFont="1" applyBorder="1" applyAlignment="1">
      <alignment horizontal="center" vertical="center"/>
    </xf>
    <xf numFmtId="0" fontId="2" fillId="0" borderId="30" xfId="1" applyBorder="1"/>
    <xf numFmtId="0" fontId="2" fillId="0" borderId="21" xfId="1" applyBorder="1"/>
    <xf numFmtId="0" fontId="2" fillId="0" borderId="11" xfId="1" applyBorder="1"/>
    <xf numFmtId="0" fontId="2" fillId="0" borderId="36" xfId="1" applyBorder="1"/>
    <xf numFmtId="0" fontId="15" fillId="0" borderId="23" xfId="1" applyFont="1" applyBorder="1" applyAlignment="1">
      <alignment horizontal="center"/>
    </xf>
    <xf numFmtId="49" fontId="16" fillId="0" borderId="27" xfId="1" applyNumberFormat="1" applyFont="1" applyBorder="1" applyAlignment="1">
      <alignment horizontal="center" vertical="center"/>
    </xf>
    <xf numFmtId="0" fontId="2" fillId="0" borderId="29" xfId="1" applyBorder="1"/>
    <xf numFmtId="0" fontId="15" fillId="0" borderId="31" xfId="1" applyFont="1" applyBorder="1" applyAlignment="1">
      <alignment horizontal="center"/>
    </xf>
    <xf numFmtId="0" fontId="15" fillId="0" borderId="24" xfId="1" applyFont="1" applyBorder="1" applyAlignment="1">
      <alignment horizontal="center"/>
    </xf>
    <xf numFmtId="0" fontId="2" fillId="0" borderId="37" xfId="1" applyBorder="1"/>
    <xf numFmtId="0" fontId="15" fillId="0" borderId="26" xfId="1" applyFont="1" applyBorder="1" applyAlignment="1">
      <alignment horizontal="center"/>
    </xf>
    <xf numFmtId="49" fontId="16" fillId="0" borderId="28" xfId="1" applyNumberFormat="1" applyFont="1" applyBorder="1" applyAlignment="1">
      <alignment horizontal="center" vertical="center"/>
    </xf>
    <xf numFmtId="0" fontId="2" fillId="0" borderId="14" xfId="1" applyBorder="1"/>
    <xf numFmtId="0" fontId="15" fillId="0" borderId="38" xfId="1" applyFont="1" applyBorder="1" applyAlignment="1">
      <alignment horizontal="center"/>
    </xf>
    <xf numFmtId="49" fontId="16" fillId="0" borderId="39" xfId="1" applyNumberFormat="1" applyFont="1" applyBorder="1" applyAlignment="1">
      <alignment horizontal="center" vertical="center"/>
    </xf>
    <xf numFmtId="0" fontId="2" fillId="0" borderId="40" xfId="1" applyBorder="1"/>
    <xf numFmtId="0" fontId="0" fillId="0" borderId="0" xfId="0" pivotButton="1"/>
    <xf numFmtId="0" fontId="0" fillId="0" borderId="0" xfId="0" applyAlignment="1">
      <alignment horizontal="left"/>
    </xf>
    <xf numFmtId="0" fontId="0" fillId="0" borderId="0" xfId="0" applyAlignment="1">
      <alignment horizontal="left" indent="1"/>
    </xf>
    <xf numFmtId="0" fontId="13" fillId="5" borderId="7"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Alignment="1">
      <alignment horizontal="center" vertical="center" wrapText="1"/>
    </xf>
    <xf numFmtId="0" fontId="0" fillId="5" borderId="11"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13"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8" fillId="4" borderId="10"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11" xfId="0" applyFont="1" applyFill="1" applyBorder="1" applyAlignment="1">
      <alignment horizontal="center" vertical="center" wrapText="1"/>
    </xf>
    <xf numFmtId="0" fontId="8" fillId="4" borderId="12" xfId="0" applyFont="1" applyFill="1" applyBorder="1" applyAlignment="1">
      <alignment horizontal="center" vertical="center" wrapText="1"/>
    </xf>
    <xf numFmtId="0" fontId="8" fillId="4" borderId="13" xfId="0" applyFont="1" applyFill="1" applyBorder="1" applyAlignment="1">
      <alignment horizontal="center" vertical="center" wrapText="1"/>
    </xf>
    <xf numFmtId="0" fontId="8" fillId="4" borderId="14" xfId="0" applyFont="1" applyFill="1" applyBorder="1" applyAlignment="1">
      <alignment horizontal="center" vertical="center" wrapText="1"/>
    </xf>
    <xf numFmtId="0" fontId="0" fillId="0" borderId="8" xfId="0" applyBorder="1" applyAlignment="1">
      <alignment horizontal="left" wrapText="1"/>
    </xf>
    <xf numFmtId="0" fontId="0" fillId="0" borderId="9" xfId="0" applyBorder="1" applyAlignment="1">
      <alignment horizontal="left" wrapText="1"/>
    </xf>
    <xf numFmtId="0" fontId="0" fillId="0" borderId="0" xfId="0" quotePrefix="1"/>
    <xf numFmtId="0" fontId="0" fillId="0" borderId="11" xfId="0" quotePrefix="1" applyBorder="1"/>
    <xf numFmtId="17" fontId="0" fillId="0" borderId="13" xfId="0" quotePrefix="1" applyNumberFormat="1" applyBorder="1" applyAlignment="1">
      <alignment horizontal="left"/>
    </xf>
    <xf numFmtId="17" fontId="0" fillId="0" borderId="14" xfId="0" quotePrefix="1" applyNumberFormat="1" applyBorder="1" applyAlignment="1">
      <alignment horizontal="left"/>
    </xf>
    <xf numFmtId="49" fontId="15" fillId="8" borderId="32" xfId="1" applyNumberFormat="1" applyFont="1" applyFill="1" applyBorder="1" applyAlignment="1">
      <alignment horizontal="center" vertical="center" wrapText="1"/>
    </xf>
    <xf numFmtId="49" fontId="15" fillId="8" borderId="33" xfId="1" applyNumberFormat="1" applyFont="1" applyFill="1" applyBorder="1" applyAlignment="1">
      <alignment horizontal="center" vertical="center" wrapText="1"/>
    </xf>
    <xf numFmtId="49" fontId="15" fillId="8" borderId="34" xfId="1" applyNumberFormat="1" applyFont="1" applyFill="1" applyBorder="1" applyAlignment="1">
      <alignment horizontal="center" vertical="center"/>
    </xf>
    <xf numFmtId="49" fontId="15" fillId="8" borderId="35" xfId="1" applyNumberFormat="1" applyFont="1" applyFill="1" applyBorder="1" applyAlignment="1">
      <alignment horizontal="center" vertical="center"/>
    </xf>
    <xf numFmtId="49" fontId="15" fillId="8" borderId="32" xfId="1" applyNumberFormat="1" applyFont="1" applyFill="1" applyBorder="1" applyAlignment="1">
      <alignment horizontal="center" vertical="center"/>
    </xf>
    <xf numFmtId="49" fontId="15" fillId="8" borderId="33" xfId="1" applyNumberFormat="1" applyFont="1" applyFill="1" applyBorder="1" applyAlignment="1">
      <alignment horizontal="center" vertical="center"/>
    </xf>
  </cellXfs>
  <cellStyles count="2">
    <cellStyle name="Normal" xfId="0" builtinId="0"/>
    <cellStyle name="Normal 2" xfId="1" xr:uid="{81DA2E27-A488-4FAE-B6FC-2820ACF13929}"/>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18</xdr:col>
      <xdr:colOff>226219</xdr:colOff>
      <xdr:row>2</xdr:row>
      <xdr:rowOff>500062</xdr:rowOff>
    </xdr:from>
    <xdr:to>
      <xdr:col>22</xdr:col>
      <xdr:colOff>154781</xdr:colOff>
      <xdr:row>2</xdr:row>
      <xdr:rowOff>1440656</xdr:rowOff>
    </xdr:to>
    <xdr:sp macro="[0]!Sheet3.ClearSheet" textlink="">
      <xdr:nvSpPr>
        <xdr:cNvPr id="2" name="Rectangle: Rounded Corners 1">
          <a:extLst>
            <a:ext uri="{FF2B5EF4-FFF2-40B4-BE49-F238E27FC236}">
              <a16:creationId xmlns:a16="http://schemas.microsoft.com/office/drawing/2014/main" id="{2923C0BA-9CA3-5A64-DDD4-E6EDA7D116AB}"/>
            </a:ext>
          </a:extLst>
        </xdr:cNvPr>
        <xdr:cNvSpPr/>
      </xdr:nvSpPr>
      <xdr:spPr>
        <a:xfrm>
          <a:off x="18514219" y="2214562"/>
          <a:ext cx="2357437" cy="9405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Blank Sheet</a:t>
          </a:r>
          <a:endParaRPr lang="aa-ET" sz="3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B" refreshedDate="45794.45406261574" createdVersion="5" refreshedVersion="8" minRefreshableVersion="3" recordCount="51" xr:uid="{00000000-000A-0000-FFFF-FFFF00000000}">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1">
        <s v=""/>
      </sharedItems>
    </cacheField>
    <cacheField name="PstlAdr:StrtNm" numFmtId="0">
      <sharedItems/>
    </cacheField>
    <cacheField name="PstlAdr:BldgNb" numFmtId="0">
      <sharedItems/>
    </cacheField>
    <cacheField name="IBAN" numFmtId="0">
      <sharedItems count="1">
        <s v=""/>
      </sharedItems>
    </cacheField>
    <cacheField name="Cd" numFmtId="0">
      <sharedItems/>
    </cacheField>
    <cacheField name="Ustrd" numFmtId="0">
      <sharedItems/>
    </cacheField>
    <cacheField name="Blank" numFmtId="0">
      <sharedItems count="1">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n v="1"/>
    <s v=""/>
    <s v=""/>
    <s v="EUR"/>
    <s v=""/>
    <s v=""/>
    <x v="0"/>
    <s v=""/>
    <s v=""/>
    <x v="0"/>
    <s v=""/>
    <s v=""/>
    <x v="0"/>
  </r>
  <r>
    <n v="2"/>
    <s v=""/>
    <s v=""/>
    <s v="EUR"/>
    <s v=""/>
    <s v=""/>
    <x v="0"/>
    <s v=""/>
    <s v=""/>
    <x v="0"/>
    <s v=""/>
    <s v=""/>
    <x v="0"/>
  </r>
  <r>
    <n v="3"/>
    <s v=""/>
    <s v=""/>
    <s v="EUR"/>
    <s v=""/>
    <s v=""/>
    <x v="0"/>
    <s v=""/>
    <s v=""/>
    <x v="0"/>
    <s v=""/>
    <s v=""/>
    <x v="0"/>
  </r>
  <r>
    <n v="4"/>
    <s v=""/>
    <s v=""/>
    <s v="EUR"/>
    <s v=""/>
    <s v=""/>
    <x v="0"/>
    <s v=""/>
    <s v=""/>
    <x v="0"/>
    <s v=""/>
    <s v=""/>
    <x v="0"/>
  </r>
  <r>
    <n v="5"/>
    <s v=""/>
    <s v=""/>
    <s v="EUR"/>
    <s v=""/>
    <s v=""/>
    <x v="0"/>
    <s v=""/>
    <s v=""/>
    <x v="0"/>
    <s v=""/>
    <s v=""/>
    <x v="0"/>
  </r>
  <r>
    <n v="6"/>
    <s v=""/>
    <s v=""/>
    <s v="EUR"/>
    <s v=""/>
    <s v=""/>
    <x v="0"/>
    <s v=""/>
    <s v=""/>
    <x v="0"/>
    <s v=""/>
    <s v=""/>
    <x v="0"/>
  </r>
  <r>
    <n v="7"/>
    <s v=""/>
    <s v=""/>
    <s v="EUR"/>
    <s v=""/>
    <s v=""/>
    <x v="0"/>
    <s v=""/>
    <s v=""/>
    <x v="0"/>
    <s v=""/>
    <s v=""/>
    <x v="0"/>
  </r>
  <r>
    <n v="8"/>
    <s v=""/>
    <s v=""/>
    <s v="EUR"/>
    <s v=""/>
    <s v=""/>
    <x v="0"/>
    <s v=""/>
    <s v=""/>
    <x v="0"/>
    <s v=""/>
    <s v=""/>
    <x v="0"/>
  </r>
  <r>
    <n v="9"/>
    <s v=""/>
    <s v=""/>
    <s v="EUR"/>
    <s v=""/>
    <s v=""/>
    <x v="0"/>
    <s v=""/>
    <s v=""/>
    <x v="0"/>
    <s v=""/>
    <s v=""/>
    <x v="0"/>
  </r>
  <r>
    <n v="10"/>
    <s v=""/>
    <s v=""/>
    <s v="EUR"/>
    <s v=""/>
    <s v=""/>
    <x v="0"/>
    <s v=""/>
    <s v=""/>
    <x v="0"/>
    <s v=""/>
    <s v=""/>
    <x v="0"/>
  </r>
  <r>
    <n v="11"/>
    <s v=""/>
    <s v=""/>
    <s v="EUR"/>
    <s v=""/>
    <s v=""/>
    <x v="0"/>
    <s v=""/>
    <s v=""/>
    <x v="0"/>
    <s v=""/>
    <s v=""/>
    <x v="0"/>
  </r>
  <r>
    <n v="12"/>
    <s v=""/>
    <s v=""/>
    <s v="EUR"/>
    <s v=""/>
    <s v=""/>
    <x v="0"/>
    <s v=""/>
    <s v=""/>
    <x v="0"/>
    <s v=""/>
    <s v=""/>
    <x v="0"/>
  </r>
  <r>
    <n v="13"/>
    <s v=""/>
    <s v=""/>
    <s v="EUR"/>
    <s v=""/>
    <s v=""/>
    <x v="0"/>
    <s v=""/>
    <s v=""/>
    <x v="0"/>
    <s v=""/>
    <s v=""/>
    <x v="0"/>
  </r>
  <r>
    <n v="14"/>
    <s v=""/>
    <s v=""/>
    <s v="EUR"/>
    <s v=""/>
    <s v=""/>
    <x v="0"/>
    <s v=""/>
    <s v=""/>
    <x v="0"/>
    <s v=""/>
    <s v=""/>
    <x v="0"/>
  </r>
  <r>
    <n v="15"/>
    <s v=""/>
    <s v=""/>
    <s v="EUR"/>
    <s v=""/>
    <s v=""/>
    <x v="0"/>
    <s v=""/>
    <s v=""/>
    <x v="0"/>
    <s v=""/>
    <s v=""/>
    <x v="0"/>
  </r>
  <r>
    <n v="16"/>
    <s v=""/>
    <s v=""/>
    <s v="EUR"/>
    <s v=""/>
    <s v=""/>
    <x v="0"/>
    <s v=""/>
    <s v=""/>
    <x v="0"/>
    <s v=""/>
    <s v=""/>
    <x v="0"/>
  </r>
  <r>
    <n v="17"/>
    <s v=""/>
    <s v=""/>
    <s v="EUR"/>
    <s v=""/>
    <s v=""/>
    <x v="0"/>
    <s v=""/>
    <s v=""/>
    <x v="0"/>
    <s v=""/>
    <s v=""/>
    <x v="0"/>
  </r>
  <r>
    <n v="18"/>
    <s v=""/>
    <s v=""/>
    <s v="EUR"/>
    <s v=""/>
    <s v=""/>
    <x v="0"/>
    <s v=""/>
    <s v=""/>
    <x v="0"/>
    <s v=""/>
    <s v=""/>
    <x v="0"/>
  </r>
  <r>
    <n v="19"/>
    <s v=""/>
    <s v=""/>
    <s v="EUR"/>
    <s v=""/>
    <s v=""/>
    <x v="0"/>
    <s v=""/>
    <s v=""/>
    <x v="0"/>
    <s v=""/>
    <s v=""/>
    <x v="0"/>
  </r>
  <r>
    <n v="20"/>
    <s v=""/>
    <s v=""/>
    <s v="EUR"/>
    <s v=""/>
    <s v=""/>
    <x v="0"/>
    <s v=""/>
    <s v=""/>
    <x v="0"/>
    <s v=""/>
    <s v=""/>
    <x v="0"/>
  </r>
  <r>
    <n v="21"/>
    <s v=""/>
    <s v=""/>
    <s v="EUR"/>
    <s v=""/>
    <s v=""/>
    <x v="0"/>
    <s v=""/>
    <s v=""/>
    <x v="0"/>
    <s v=""/>
    <s v=""/>
    <x v="0"/>
  </r>
  <r>
    <n v="22"/>
    <s v=""/>
    <s v=""/>
    <s v="EUR"/>
    <s v=""/>
    <s v=""/>
    <x v="0"/>
    <s v=""/>
    <s v=""/>
    <x v="0"/>
    <s v=""/>
    <s v=""/>
    <x v="0"/>
  </r>
  <r>
    <n v="23"/>
    <s v=""/>
    <s v=""/>
    <s v="EUR"/>
    <s v=""/>
    <s v=""/>
    <x v="0"/>
    <s v=""/>
    <s v=""/>
    <x v="0"/>
    <s v=""/>
    <s v=""/>
    <x v="0"/>
  </r>
  <r>
    <n v="24"/>
    <s v=""/>
    <s v=""/>
    <s v="EUR"/>
    <s v=""/>
    <s v=""/>
    <x v="0"/>
    <s v=""/>
    <s v=""/>
    <x v="0"/>
    <s v=""/>
    <s v=""/>
    <x v="0"/>
  </r>
  <r>
    <n v="25"/>
    <s v=""/>
    <s v=""/>
    <s v="EUR"/>
    <s v=""/>
    <s v=""/>
    <x v="0"/>
    <s v=""/>
    <s v=""/>
    <x v="0"/>
    <s v=""/>
    <s v=""/>
    <x v="0"/>
  </r>
  <r>
    <n v="26"/>
    <s v=""/>
    <s v=""/>
    <s v="EUR"/>
    <s v=""/>
    <s v=""/>
    <x v="0"/>
    <s v=""/>
    <s v=""/>
    <x v="0"/>
    <s v=""/>
    <s v=""/>
    <x v="0"/>
  </r>
  <r>
    <n v="27"/>
    <s v=""/>
    <s v=""/>
    <s v="EUR"/>
    <s v=""/>
    <s v=""/>
    <x v="0"/>
    <s v=""/>
    <s v=""/>
    <x v="0"/>
    <s v=""/>
    <s v=""/>
    <x v="0"/>
  </r>
  <r>
    <n v="28"/>
    <s v=""/>
    <s v=""/>
    <s v="EUR"/>
    <s v=""/>
    <s v=""/>
    <x v="0"/>
    <s v=""/>
    <s v=""/>
    <x v="0"/>
    <s v=""/>
    <s v=""/>
    <x v="0"/>
  </r>
  <r>
    <n v="29"/>
    <s v=""/>
    <s v=""/>
    <s v="EUR"/>
    <s v=""/>
    <s v=""/>
    <x v="0"/>
    <s v=""/>
    <s v=""/>
    <x v="0"/>
    <s v=""/>
    <s v=""/>
    <x v="0"/>
  </r>
  <r>
    <n v="30"/>
    <s v=""/>
    <s v=""/>
    <s v="EUR"/>
    <s v=""/>
    <s v=""/>
    <x v="0"/>
    <s v=""/>
    <s v=""/>
    <x v="0"/>
    <s v=""/>
    <s v=""/>
    <x v="0"/>
  </r>
  <r>
    <n v="31"/>
    <s v=""/>
    <s v=""/>
    <s v="EUR"/>
    <s v=""/>
    <s v=""/>
    <x v="0"/>
    <s v=""/>
    <s v=""/>
    <x v="0"/>
    <s v=""/>
    <s v=""/>
    <x v="0"/>
  </r>
  <r>
    <n v="32"/>
    <s v=""/>
    <s v=""/>
    <s v="EUR"/>
    <s v=""/>
    <s v=""/>
    <x v="0"/>
    <s v=""/>
    <s v=""/>
    <x v="0"/>
    <s v=""/>
    <s v=""/>
    <x v="0"/>
  </r>
  <r>
    <n v="33"/>
    <s v=""/>
    <s v=""/>
    <s v="EUR"/>
    <s v=""/>
    <s v=""/>
    <x v="0"/>
    <s v=""/>
    <s v=""/>
    <x v="0"/>
    <s v=""/>
    <s v=""/>
    <x v="0"/>
  </r>
  <r>
    <n v="34"/>
    <s v=""/>
    <s v=""/>
    <s v="EUR"/>
    <s v=""/>
    <s v=""/>
    <x v="0"/>
    <s v=""/>
    <s v=""/>
    <x v="0"/>
    <s v=""/>
    <s v=""/>
    <x v="0"/>
  </r>
  <r>
    <n v="35"/>
    <s v=""/>
    <s v=""/>
    <s v="EUR"/>
    <s v=""/>
    <s v=""/>
    <x v="0"/>
    <s v=""/>
    <s v=""/>
    <x v="0"/>
    <s v=""/>
    <s v=""/>
    <x v="0"/>
  </r>
  <r>
    <n v="36"/>
    <s v=""/>
    <s v=""/>
    <s v="EUR"/>
    <s v=""/>
    <s v=""/>
    <x v="0"/>
    <s v=""/>
    <s v=""/>
    <x v="0"/>
    <s v=""/>
    <s v=""/>
    <x v="0"/>
  </r>
  <r>
    <n v="37"/>
    <s v=""/>
    <s v=""/>
    <s v="EUR"/>
    <s v=""/>
    <s v=""/>
    <x v="0"/>
    <s v=""/>
    <s v=""/>
    <x v="0"/>
    <s v=""/>
    <s v=""/>
    <x v="0"/>
  </r>
  <r>
    <n v="38"/>
    <s v=""/>
    <s v=""/>
    <s v="EUR"/>
    <s v=""/>
    <s v=""/>
    <x v="0"/>
    <s v=""/>
    <s v=""/>
    <x v="0"/>
    <s v=""/>
    <s v=""/>
    <x v="0"/>
  </r>
  <r>
    <n v="39"/>
    <s v=""/>
    <s v=""/>
    <s v="EUR"/>
    <s v=""/>
    <s v=""/>
    <x v="0"/>
    <s v=""/>
    <s v=""/>
    <x v="0"/>
    <s v=""/>
    <s v=""/>
    <x v="0"/>
  </r>
  <r>
    <n v="40"/>
    <s v=""/>
    <s v=""/>
    <s v="EUR"/>
    <s v=""/>
    <s v=""/>
    <x v="0"/>
    <s v=""/>
    <s v=""/>
    <x v="0"/>
    <s v=""/>
    <s v=""/>
    <x v="0"/>
  </r>
  <r>
    <n v="41"/>
    <s v=""/>
    <s v=""/>
    <s v="EUR"/>
    <s v=""/>
    <s v=""/>
    <x v="0"/>
    <s v=""/>
    <s v=""/>
    <x v="0"/>
    <s v=""/>
    <s v=""/>
    <x v="0"/>
  </r>
  <r>
    <n v="42"/>
    <s v=""/>
    <s v=""/>
    <s v="EUR"/>
    <s v=""/>
    <s v=""/>
    <x v="0"/>
    <s v=""/>
    <s v=""/>
    <x v="0"/>
    <s v=""/>
    <s v=""/>
    <x v="0"/>
  </r>
  <r>
    <n v="43"/>
    <s v=""/>
    <s v=""/>
    <s v="EUR"/>
    <s v=""/>
    <s v=""/>
    <x v="0"/>
    <s v=""/>
    <s v=""/>
    <x v="0"/>
    <s v=""/>
    <s v=""/>
    <x v="0"/>
  </r>
  <r>
    <n v="44"/>
    <s v=""/>
    <s v=""/>
    <s v="EUR"/>
    <s v=""/>
    <s v=""/>
    <x v="0"/>
    <s v=""/>
    <s v=""/>
    <x v="0"/>
    <s v=""/>
    <s v=""/>
    <x v="0"/>
  </r>
  <r>
    <n v="45"/>
    <s v=""/>
    <s v=""/>
    <s v="EUR"/>
    <s v=""/>
    <s v=""/>
    <x v="0"/>
    <s v=""/>
    <s v=""/>
    <x v="0"/>
    <s v=""/>
    <s v=""/>
    <x v="0"/>
  </r>
  <r>
    <n v="46"/>
    <s v=""/>
    <s v=""/>
    <s v="EUR"/>
    <s v=""/>
    <s v=""/>
    <x v="0"/>
    <s v=""/>
    <s v=""/>
    <x v="0"/>
    <s v=""/>
    <s v=""/>
    <x v="0"/>
  </r>
  <r>
    <n v="47"/>
    <s v=""/>
    <s v=""/>
    <s v="EUR"/>
    <s v=""/>
    <s v=""/>
    <x v="0"/>
    <s v=""/>
    <s v=""/>
    <x v="0"/>
    <s v=""/>
    <s v=""/>
    <x v="0"/>
  </r>
  <r>
    <n v="48"/>
    <s v=""/>
    <s v=""/>
    <s v="EUR"/>
    <s v=""/>
    <s v=""/>
    <x v="0"/>
    <s v=""/>
    <s v=""/>
    <x v="0"/>
    <s v=""/>
    <s v=""/>
    <x v="0"/>
  </r>
  <r>
    <n v="49"/>
    <s v=""/>
    <s v=""/>
    <s v="EUR"/>
    <s v=""/>
    <s v=""/>
    <x v="0"/>
    <s v=""/>
    <s v=""/>
    <x v="0"/>
    <s v=""/>
    <s v=""/>
    <x v="0"/>
  </r>
  <r>
    <n v="50"/>
    <s v=""/>
    <s v=""/>
    <s v="EUR"/>
    <s v=""/>
    <s v=""/>
    <x v="0"/>
    <s v=""/>
    <s v=""/>
    <x v="0"/>
    <s v=""/>
    <s v=""/>
    <x v="0"/>
  </r>
  <r>
    <n v="51"/>
    <s v=""/>
    <s v=""/>
    <s v="EUR"/>
    <s v=""/>
    <s v=""/>
    <x v="0"/>
    <s v=""/>
    <s v=""/>
    <x v="0"/>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1">
        <item x="0"/>
      </items>
    </pivotField>
    <pivotField showAll="0"/>
    <pivotField showAll="0"/>
    <pivotField axis="axisRow" showAll="0">
      <items count="2">
        <item x="0"/>
        <item t="default"/>
      </items>
    </pivotField>
    <pivotField showAll="0"/>
    <pivotField showAll="0"/>
    <pivotField axis="axisPage" showAll="0">
      <items count="2">
        <item x="0"/>
        <item t="default"/>
      </items>
    </pivotField>
  </pivotFields>
  <rowFields count="2">
    <field x="6"/>
    <field x="9"/>
  </rowFields>
  <rowItems count="3">
    <i>
      <x/>
    </i>
    <i r="1">
      <x/>
    </i>
    <i t="grand">
      <x/>
    </i>
  </rowItems>
  <colItems count="1">
    <i/>
  </colItems>
  <pageFields count="1">
    <pageField fld="12"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C6C6"/>
  </sheetPr>
  <dimension ref="A1:H9"/>
  <sheetViews>
    <sheetView workbookViewId="0">
      <selection activeCell="A5" sqref="A5"/>
    </sheetView>
  </sheetViews>
  <sheetFormatPr defaultRowHeight="15"/>
  <cols>
    <col min="1" max="1" width="37" customWidth="1"/>
    <col min="2" max="2" width="34.28515625" customWidth="1"/>
    <col min="3" max="3" width="32" style="3" hidden="1" customWidth="1"/>
    <col min="4" max="4" width="29.28515625" style="3" hidden="1" customWidth="1"/>
    <col min="5" max="5" width="33.7109375" style="3" hidden="1" customWidth="1"/>
    <col min="6" max="6" width="36.5703125" customWidth="1"/>
  </cols>
  <sheetData>
    <row r="1" spans="1:8" s="11" customFormat="1">
      <c r="A1" s="11" t="s">
        <v>0</v>
      </c>
      <c r="B1" s="11" t="s">
        <v>1</v>
      </c>
      <c r="C1" s="12" t="s">
        <v>2</v>
      </c>
      <c r="D1" s="12" t="s">
        <v>4</v>
      </c>
      <c r="E1" s="12" t="s">
        <v>6</v>
      </c>
      <c r="F1" s="11" t="s">
        <v>8</v>
      </c>
      <c r="H1" s="11" t="s">
        <v>10</v>
      </c>
    </row>
    <row r="2" spans="1:8" s="2" customFormat="1" ht="180">
      <c r="A2" s="1" t="s">
        <v>98</v>
      </c>
      <c r="B2" s="1" t="s">
        <v>14</v>
      </c>
      <c r="C2" s="4" t="s">
        <v>3</v>
      </c>
      <c r="D2" s="4" t="s">
        <v>5</v>
      </c>
      <c r="E2" s="4" t="s">
        <v>7</v>
      </c>
      <c r="F2" s="1" t="s">
        <v>9</v>
      </c>
      <c r="H2" s="2" t="s">
        <v>11</v>
      </c>
    </row>
    <row r="3" spans="1:8" s="2" customFormat="1" ht="45">
      <c r="A3" s="1" t="s">
        <v>17</v>
      </c>
      <c r="B3" s="1" t="s">
        <v>16</v>
      </c>
      <c r="C3" s="4" t="s">
        <v>18</v>
      </c>
      <c r="D3" s="4" t="s">
        <v>19</v>
      </c>
      <c r="E3" s="4" t="s">
        <v>20</v>
      </c>
      <c r="F3" s="1" t="s">
        <v>72</v>
      </c>
      <c r="H3" s="2" t="s">
        <v>65</v>
      </c>
    </row>
    <row r="4" spans="1:8" s="2" customFormat="1" ht="15.75" thickBot="1">
      <c r="A4" s="2" t="s">
        <v>67</v>
      </c>
      <c r="C4" s="3"/>
      <c r="D4" s="3"/>
      <c r="E4" s="21" t="s">
        <v>71</v>
      </c>
      <c r="F4" s="2" t="s">
        <v>73</v>
      </c>
      <c r="H4" s="2" t="s">
        <v>68</v>
      </c>
    </row>
    <row r="5" spans="1:8" s="5" customFormat="1" ht="15.75" thickBot="1">
      <c r="A5" s="34"/>
      <c r="B5" s="54">
        <f ca="1">NOW()</f>
        <v>45794.482105787036</v>
      </c>
      <c r="C5" s="22">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23">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24" t="str">
        <f>'Payment Information Record'!H5</f>
        <v>PAYEE NAME</v>
      </c>
      <c r="F5" s="20" t="s">
        <v>127</v>
      </c>
      <c r="H5" s="5" t="s">
        <v>12</v>
      </c>
    </row>
    <row r="6" spans="1:8" s="1" customFormat="1">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c r="B7" s="7"/>
    </row>
    <row r="9" spans="1:8">
      <c r="B9" s="6"/>
    </row>
  </sheetData>
  <sheetProtection algorithmName="SHA-512" hashValue="s0SzwNn6aTtBcXtjriociKrG6MVSFCbZNzXbATr5DIughq5rYETLJjSrRAIu4fkClqHaY7miLRc2j6AcjgJrCA==" saltValue="9cyDtuxMd47OeZiRYG8UjA==" spinCount="100000" sheet="1" objects="1" scenarios="1" formatColumns="0" selectLockedCells="1"/>
  <dataValidations count="3">
    <dataValidation type="textLength" operator="lessThan" allowBlank="1" showInputMessage="1" showErrorMessage="1" errorTitle="Header Record: MsgId" error="The value of this field can be between 1 and 35 characters in length_x000a_" sqref="A5" xr:uid="{00000000-0002-0000-0000-000000000000}">
      <formula1>36</formula1>
    </dataValidation>
    <dataValidation type="textLength" allowBlank="1" showInputMessage="1" showErrorMessage="1" errorTitle="Header Record: Nm" error="The value must be between 1 and 70 characters in length_x000a_" sqref="E5" xr:uid="{00000000-0002-0000-0000-000001000000}">
      <formula1>1</formula1>
      <formula2>70</formula2>
    </dataValidation>
    <dataValidation type="textLength" showInputMessage="1" showErrorMessage="1" errorTitle="Header Record: Id" error="This value is provide by the bank" sqref="F5" xr:uid="{00000000-0002-0000-0000-000002000000}">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O22"/>
  <sheetViews>
    <sheetView workbookViewId="0">
      <selection activeCell="A5" sqref="A5"/>
    </sheetView>
  </sheetViews>
  <sheetFormatPr defaultRowHeight="1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33.140625" style="73" hidden="1" customWidth="1"/>
    <col min="10" max="10" width="19.28515625" style="73" hidden="1" customWidth="1"/>
    <col min="11" max="11" width="13" customWidth="1"/>
    <col min="12" max="12" width="11.7109375" style="73" hidden="1" customWidth="1"/>
    <col min="13" max="13" width="10.42578125" customWidth="1"/>
  </cols>
  <sheetData>
    <row r="1" spans="1:15" s="1" customFormat="1">
      <c r="A1" s="1" t="s">
        <v>15</v>
      </c>
      <c r="B1" s="3" t="s">
        <v>77</v>
      </c>
      <c r="C1" s="1" t="s">
        <v>21</v>
      </c>
      <c r="D1" s="3" t="s">
        <v>2</v>
      </c>
      <c r="E1" s="3" t="s">
        <v>4</v>
      </c>
      <c r="F1" s="3" t="s">
        <v>38</v>
      </c>
      <c r="G1" s="1" t="s">
        <v>27</v>
      </c>
      <c r="H1" s="1" t="s">
        <v>6</v>
      </c>
      <c r="I1" s="74" t="s">
        <v>30</v>
      </c>
      <c r="J1" s="74" t="s">
        <v>30</v>
      </c>
      <c r="K1" s="1" t="s">
        <v>33</v>
      </c>
      <c r="L1" s="73" t="s">
        <v>82</v>
      </c>
      <c r="M1" s="1" t="s">
        <v>35</v>
      </c>
      <c r="O1" t="s">
        <v>10</v>
      </c>
    </row>
    <row r="2" spans="1:15" s="1" customFormat="1" ht="120">
      <c r="A2" s="1" t="s">
        <v>99</v>
      </c>
      <c r="B2" s="4" t="s">
        <v>78</v>
      </c>
      <c r="C2" s="1" t="s">
        <v>22</v>
      </c>
      <c r="D2" s="4" t="s">
        <v>3</v>
      </c>
      <c r="E2" s="4" t="s">
        <v>5</v>
      </c>
      <c r="F2" s="4" t="s">
        <v>78</v>
      </c>
      <c r="G2" s="1" t="s">
        <v>28</v>
      </c>
      <c r="H2" s="1" t="s">
        <v>7</v>
      </c>
      <c r="I2" s="74" t="s">
        <v>135</v>
      </c>
      <c r="J2" s="74" t="s">
        <v>31</v>
      </c>
      <c r="K2" s="1" t="s">
        <v>34</v>
      </c>
      <c r="L2" s="74" t="s">
        <v>78</v>
      </c>
      <c r="M2" s="1" t="s">
        <v>36</v>
      </c>
      <c r="O2" s="2" t="s">
        <v>11</v>
      </c>
    </row>
    <row r="3" spans="1:15" s="1" customFormat="1" ht="75">
      <c r="A3" s="1" t="s">
        <v>74</v>
      </c>
      <c r="B3" s="4"/>
      <c r="C3" s="1" t="s">
        <v>23</v>
      </c>
      <c r="D3" s="4" t="s">
        <v>76</v>
      </c>
      <c r="E3" s="4" t="s">
        <v>19</v>
      </c>
      <c r="F3" s="4"/>
      <c r="G3" s="1" t="s">
        <v>29</v>
      </c>
      <c r="H3" s="1" t="s">
        <v>20</v>
      </c>
      <c r="I3" s="74" t="s">
        <v>136</v>
      </c>
      <c r="J3" s="74" t="s">
        <v>32</v>
      </c>
      <c r="L3" s="74"/>
      <c r="O3" s="2" t="s">
        <v>65</v>
      </c>
    </row>
    <row r="4" spans="1:15" s="1" customFormat="1">
      <c r="A4" s="1" t="s">
        <v>75</v>
      </c>
      <c r="B4" s="4"/>
      <c r="C4" s="1" t="s">
        <v>69</v>
      </c>
      <c r="D4" s="4" t="s">
        <v>70</v>
      </c>
      <c r="E4" s="4"/>
      <c r="F4" s="4"/>
      <c r="I4" s="74"/>
      <c r="J4" s="74"/>
      <c r="L4" s="74"/>
      <c r="O4" s="1" t="s">
        <v>68</v>
      </c>
    </row>
    <row r="5" spans="1:15" s="1" customFormat="1">
      <c r="A5" s="13"/>
      <c r="B5" s="16" t="s">
        <v>79</v>
      </c>
      <c r="C5" s="14" t="s">
        <v>25</v>
      </c>
      <c r="D5" s="16">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E5" s="15">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F5" s="16" t="s">
        <v>80</v>
      </c>
      <c r="G5" s="17">
        <v>44742</v>
      </c>
      <c r="H5" s="14" t="s">
        <v>125</v>
      </c>
      <c r="I5" s="78" t="s">
        <v>137</v>
      </c>
      <c r="J5" s="78"/>
      <c r="K5" s="63" t="s">
        <v>126</v>
      </c>
      <c r="L5" s="75" t="s">
        <v>83</v>
      </c>
      <c r="M5" s="64" t="s">
        <v>84</v>
      </c>
      <c r="O5" s="5" t="s">
        <v>12</v>
      </c>
    </row>
    <row r="6" spans="1:15" s="9" customFormat="1">
      <c r="A6" s="25" t="str">
        <f>IF(LEN(A5)&gt;35,"Payment Information Group Identifier must be between 1 and 35 characters long","")</f>
        <v/>
      </c>
      <c r="B6" s="26"/>
      <c r="C6" s="27" t="str">
        <f>IF(NOT(ISNUMBER(MATCH(C5,'Control Data (Hidden)'!D9:E9,0))),"Batch booking should be true or false","")</f>
        <v/>
      </c>
      <c r="D6" s="26"/>
      <c r="E6" s="26"/>
      <c r="F6" s="26"/>
      <c r="G6" s="27" t="str">
        <f>IF(ISBLANK(G5),"Cannot be left blank",IF(OR(ISERROR(YEAR(G5)),ISERROR(MONTH(G5)),ISERROR(DAY(G5))),"Required Execution date is not valid",IF(OR(WEEKDAY(G5)=1,WEEKDAY(G5)=7),"Requested execution date must be between Monday to Friday","")))</f>
        <v/>
      </c>
      <c r="H6" s="27" t="str">
        <f>IF(OR(LEN(H5)&lt;1,LEN(H5)&gt;70),"Name must be between 1 and 70 characters long","")</f>
        <v/>
      </c>
      <c r="I6" s="76" t="str">
        <f>IF(OR(LEN(I5)&lt;1,LEN(I5)&gt;70),"Address must be between 1 and 70 characters long","")</f>
        <v/>
      </c>
      <c r="J6" s="76" t="str">
        <f>IF(LEN(J5)&gt;70,"Address cannot be longer than 70 characters","")</f>
        <v/>
      </c>
      <c r="K6" s="27" t="str">
        <f>IF(OR(LEN(K5)&lt;10,LEN(K5)&gt;34),"IBAN may be up to 34 characters long","")</f>
        <v/>
      </c>
      <c r="L6" s="76"/>
      <c r="M6" s="28" t="str">
        <f>IF(AND(LEN(M5)&lt;&gt;8,LEN(M5)&lt;&gt;11),"BIC must be 8 or 11 characters long","")</f>
        <v/>
      </c>
      <c r="N6" s="7"/>
      <c r="O6" s="1" t="s">
        <v>13</v>
      </c>
    </row>
    <row r="7" spans="1:15" s="1" customFormat="1">
      <c r="A7" s="29"/>
      <c r="B7" s="30"/>
      <c r="C7" s="31"/>
      <c r="D7" s="30"/>
      <c r="E7" s="30"/>
      <c r="F7" s="30"/>
      <c r="G7" s="32" t="str">
        <f ca="1">IF(G5=TODAY(),"Files must be submitted before 11:30am to be processed on the same day. Files submitted after 2:30pm will incur additional charges","")</f>
        <v/>
      </c>
      <c r="H7" s="31"/>
      <c r="I7" s="79"/>
      <c r="J7" s="79"/>
      <c r="K7" s="31"/>
      <c r="L7" s="77"/>
      <c r="M7" s="33"/>
    </row>
    <row r="8" spans="1:15" s="1" customFormat="1">
      <c r="B8" s="3"/>
      <c r="D8" s="3"/>
      <c r="E8" s="3"/>
      <c r="F8" s="3"/>
      <c r="I8" s="74"/>
      <c r="J8" s="74"/>
      <c r="L8" s="73"/>
    </row>
    <row r="9" spans="1:15" s="1" customFormat="1">
      <c r="B9" s="3"/>
      <c r="D9" s="3"/>
      <c r="E9" s="3"/>
      <c r="F9" s="3"/>
      <c r="I9" s="74"/>
      <c r="J9" s="74"/>
      <c r="L9" s="73"/>
    </row>
    <row r="10" spans="1:15" s="1" customFormat="1">
      <c r="B10" s="3"/>
      <c r="D10" s="3"/>
      <c r="E10" s="3"/>
      <c r="F10" s="3"/>
      <c r="I10" s="74"/>
      <c r="J10" s="74"/>
      <c r="L10" s="73"/>
    </row>
    <row r="11" spans="1:15" s="1" customFormat="1">
      <c r="B11" s="3"/>
      <c r="D11" s="3"/>
      <c r="E11" s="3"/>
      <c r="F11" s="3"/>
      <c r="I11" s="74"/>
      <c r="J11" s="74"/>
      <c r="L11" s="73"/>
    </row>
    <row r="12" spans="1:15" s="1" customFormat="1">
      <c r="B12" s="3"/>
      <c r="D12" s="3"/>
      <c r="E12" s="3"/>
      <c r="F12" s="3"/>
      <c r="I12" s="74"/>
      <c r="J12" s="74"/>
      <c r="L12" s="73"/>
    </row>
    <row r="13" spans="1:15" s="1" customFormat="1">
      <c r="B13" s="3"/>
      <c r="D13" s="3"/>
      <c r="E13" s="3"/>
      <c r="F13" s="3"/>
      <c r="I13" s="74"/>
      <c r="J13" s="74"/>
      <c r="L13" s="73"/>
    </row>
    <row r="14" spans="1:15" s="1" customFormat="1">
      <c r="B14" s="3"/>
      <c r="D14" s="3"/>
      <c r="E14" s="3"/>
      <c r="F14" s="3"/>
      <c r="I14" s="74"/>
      <c r="J14" s="74"/>
      <c r="L14" s="73"/>
    </row>
    <row r="15" spans="1:15" s="1" customFormat="1">
      <c r="B15" s="3"/>
      <c r="D15" s="3"/>
      <c r="E15" s="3"/>
      <c r="F15" s="3"/>
      <c r="I15" s="74"/>
      <c r="J15" s="74"/>
      <c r="L15" s="73"/>
    </row>
    <row r="16" spans="1:15" s="1" customFormat="1">
      <c r="B16" s="3"/>
      <c r="D16" s="3"/>
      <c r="E16" s="3"/>
      <c r="F16" s="3"/>
      <c r="I16" s="74"/>
      <c r="J16" s="74"/>
      <c r="L16" s="73"/>
    </row>
    <row r="17" spans="2:12" s="1" customFormat="1">
      <c r="B17" s="3"/>
      <c r="D17" s="3"/>
      <c r="E17" s="3"/>
      <c r="F17" s="3"/>
      <c r="I17" s="74"/>
      <c r="J17" s="74"/>
      <c r="L17" s="73"/>
    </row>
    <row r="18" spans="2:12" s="1" customFormat="1">
      <c r="B18" s="3"/>
      <c r="D18" s="3"/>
      <c r="E18" s="3"/>
      <c r="F18" s="3"/>
      <c r="I18" s="74"/>
      <c r="J18" s="74"/>
      <c r="L18" s="73"/>
    </row>
    <row r="19" spans="2:12" s="1" customFormat="1">
      <c r="B19" s="3"/>
      <c r="D19" s="3"/>
      <c r="E19" s="3"/>
      <c r="F19" s="3"/>
      <c r="I19" s="74"/>
      <c r="J19" s="74"/>
      <c r="L19" s="73"/>
    </row>
    <row r="20" spans="2:12" s="1" customFormat="1">
      <c r="B20" s="3"/>
      <c r="D20" s="3"/>
      <c r="E20" s="3"/>
      <c r="F20" s="3"/>
      <c r="I20" s="74"/>
      <c r="J20" s="74"/>
      <c r="L20" s="73"/>
    </row>
    <row r="21" spans="2:12" s="1" customFormat="1">
      <c r="B21" s="3"/>
      <c r="D21" s="3"/>
      <c r="E21" s="3"/>
      <c r="F21" s="3"/>
      <c r="I21" s="74"/>
      <c r="J21" s="74"/>
      <c r="L21" s="73"/>
    </row>
    <row r="22" spans="2:12" s="1" customFormat="1">
      <c r="B22" s="3"/>
      <c r="D22" s="3"/>
      <c r="E22" s="3"/>
      <c r="F22" s="3"/>
      <c r="I22" s="74"/>
      <c r="J22" s="74"/>
      <c r="L22" s="73"/>
    </row>
  </sheetData>
  <sheetProtection algorithmName="SHA-512" hashValue="UgidVolOQG+RJNTMPeG9aEDaaSU+6hsDD4NgSEXqdV6gjnClGDylxD6m1VIVd4xwRamapD7XhinAavjPPxqdNQ==" saltValue="5tPPxC/7XNdvtNad5kxHfQ==" spinCount="100000" sheet="1" objects="1" scenarios="1" formatColumns="0" selectLockedCells="1"/>
  <dataValidations count="7">
    <dataValidation type="textLength" showInputMessage="1" showErrorMessage="1" errorTitle="Pay Info Rec: PmtInfId" error="Thie length of this item must be between 1 and 35 characters long_x000a_" sqref="B5 F5 L5" xr:uid="{00000000-0002-0000-0100-000000000000}">
      <formula1>1</formula1>
      <formula2>35</formula2>
    </dataValidation>
    <dataValidation type="textLength" showInputMessage="1" showErrorMessage="1" errorTitle="Pay Info Rec: Nm" error="Name must be between 1 and 70 characters long." sqref="H5" xr:uid="{00000000-0002-0000-0100-000001000000}">
      <formula1>1</formula1>
      <formula2>70</formula2>
    </dataValidation>
    <dataValidation type="textLength" operator="lessThanOrEqual" allowBlank="1" showInputMessage="1" showErrorMessage="1" errorTitle="Pay Info Rec: PstlAdr:AdrLine" error="This item cannot be longer than 70 characters" sqref="J5" xr:uid="{00000000-0002-0000-0100-000002000000}">
      <formula1>70</formula1>
    </dataValidation>
    <dataValidation type="textLength" showInputMessage="1" showErrorMessage="1" errorTitle="Pay Info Rec: IBAN" error="This must be up to 34 characters in length_x000a_" sqref="K5" xr:uid="{00000000-0002-0000-0100-000003000000}">
      <formula1>4</formula1>
      <formula2>34</formula2>
    </dataValidation>
    <dataValidation type="textLength" showInputMessage="1" showErrorMessage="1" errorTitle="Pay Info Rec: BIC" error="BIC should be either 8 or 11 characters in length" sqref="M5" xr:uid="{00000000-0002-0000-0100-000004000000}">
      <formula1>8</formula1>
      <formula2>11</formula2>
    </dataValidation>
    <dataValidation type="textLength" operator="lessThan" showInputMessage="1" showErrorMessage="1" errorTitle="Pay Info Rec: PmtInfId" error="Thie length of this item must be between 1 and 35 characters long_x000a_" sqref="A5" xr:uid="{00000000-0002-0000-0100-000005000000}">
      <formula1>36</formula1>
    </dataValidation>
    <dataValidation type="textLength" showInputMessage="1" showErrorMessage="1" errorTitle="Pay Info Rec: AdrLine" error="Address Line 1 must be between 1 and 70 characters long." sqref="I5" xr:uid="{00000000-0002-0000-0100-000006000000}">
      <formula1>1</formula1>
      <formula2>70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r:uid="{00000000-0002-0000-0100-000007000000}">
          <x14:formula1>
            <xm:f>'Control Data (Hidden)'!$D$9:$E$9</xm:f>
          </x14:formula1>
          <xm:sqref>C5</xm:sqref>
        </x14:dataValidation>
        <x14:dataValidation type="date" allowBlank="1" showInputMessage="1" showErrorMessage="1" errorTitle="Pay Info Rec: ReqdExctnDt" error="The date is invalid" xr:uid="{00000000-0002-0000-0100-000008000000}">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39997558519241921"/>
  </sheetPr>
  <dimension ref="A1:Q107"/>
  <sheetViews>
    <sheetView tabSelected="1" zoomScaleNormal="100" workbookViewId="0">
      <pane ySplit="4" topLeftCell="A5" activePane="bottomLeft" state="frozen"/>
      <selection activeCell="A5" sqref="A5"/>
      <selection pane="bottomLeft" activeCell="L105" sqref="L105"/>
    </sheetView>
  </sheetViews>
  <sheetFormatPr defaultRowHeight="15"/>
  <cols>
    <col min="1" max="1" width="39.28515625" customWidth="1"/>
    <col min="2" max="2" width="25.28515625" customWidth="1"/>
    <col min="3" max="3" width="13.28515625" style="3" hidden="1" customWidth="1"/>
    <col min="4" max="4" width="21.28515625" customWidth="1"/>
    <col min="5" max="5" width="19.7109375" customWidth="1"/>
    <col min="6" max="6" width="32.7109375" customWidth="1"/>
    <col min="7" max="7" width="17.28515625" customWidth="1"/>
    <col min="8" max="12" width="19.28515625" customWidth="1"/>
    <col min="13" max="13" width="33.28515625" customWidth="1"/>
    <col min="14" max="14" width="9.7109375" customWidth="1"/>
    <col min="15" max="15" width="29.28515625" customWidth="1"/>
  </cols>
  <sheetData>
    <row r="1" spans="1:17" s="1" customFormat="1">
      <c r="A1" s="1" t="s">
        <v>53</v>
      </c>
      <c r="B1" s="1" t="s">
        <v>55</v>
      </c>
      <c r="C1" s="3" t="s">
        <v>82</v>
      </c>
      <c r="D1" s="1" t="s">
        <v>57</v>
      </c>
      <c r="E1" s="1" t="s">
        <v>35</v>
      </c>
      <c r="F1" s="1" t="s">
        <v>6</v>
      </c>
      <c r="G1" s="1" t="s">
        <v>145</v>
      </c>
      <c r="H1" s="1" t="s">
        <v>147</v>
      </c>
      <c r="I1" s="1" t="s">
        <v>150</v>
      </c>
      <c r="J1" s="1" t="s">
        <v>154</v>
      </c>
      <c r="K1" s="1" t="s">
        <v>157</v>
      </c>
      <c r="L1" s="1" t="s">
        <v>160</v>
      </c>
      <c r="M1" s="1" t="s">
        <v>33</v>
      </c>
      <c r="N1" s="1" t="s">
        <v>38</v>
      </c>
      <c r="O1" s="1" t="s">
        <v>62</v>
      </c>
      <c r="Q1" t="s">
        <v>10</v>
      </c>
    </row>
    <row r="2" spans="1:17" s="1" customFormat="1" ht="120">
      <c r="A2" s="1" t="s">
        <v>54</v>
      </c>
      <c r="B2" s="1" t="s">
        <v>56</v>
      </c>
      <c r="C2" s="4" t="s">
        <v>78</v>
      </c>
      <c r="D2" s="1" t="s">
        <v>58</v>
      </c>
      <c r="E2" s="1" t="s">
        <v>59</v>
      </c>
      <c r="F2" s="1" t="s">
        <v>60</v>
      </c>
      <c r="G2" s="1" t="s">
        <v>146</v>
      </c>
      <c r="H2" s="1" t="s">
        <v>148</v>
      </c>
      <c r="I2" s="1" t="s">
        <v>152</v>
      </c>
      <c r="J2" s="1" t="s">
        <v>155</v>
      </c>
      <c r="K2" s="1" t="s">
        <v>158</v>
      </c>
      <c r="L2" s="1" t="s">
        <v>161</v>
      </c>
      <c r="M2" s="1" t="s">
        <v>61</v>
      </c>
      <c r="N2" s="1" t="s">
        <v>85</v>
      </c>
      <c r="O2" s="1" t="s">
        <v>63</v>
      </c>
      <c r="Q2" s="2" t="s">
        <v>11</v>
      </c>
    </row>
    <row r="3" spans="1:17" s="1" customFormat="1" ht="225">
      <c r="A3" s="1" t="s">
        <v>17</v>
      </c>
      <c r="B3" s="1" t="s">
        <v>17</v>
      </c>
      <c r="C3" s="4"/>
      <c r="D3" s="1" t="s">
        <v>19</v>
      </c>
      <c r="E3" s="56" t="s">
        <v>104</v>
      </c>
      <c r="F3" s="1" t="s">
        <v>102</v>
      </c>
      <c r="G3" s="1" t="s">
        <v>149</v>
      </c>
      <c r="H3" s="1" t="s">
        <v>151</v>
      </c>
      <c r="I3" s="1" t="s">
        <v>153</v>
      </c>
      <c r="J3" s="1" t="s">
        <v>156</v>
      </c>
      <c r="K3" s="1" t="s">
        <v>159</v>
      </c>
      <c r="L3" s="1" t="s">
        <v>162</v>
      </c>
      <c r="M3" s="56" t="s">
        <v>163</v>
      </c>
      <c r="O3" s="1" t="s">
        <v>64</v>
      </c>
      <c r="Q3" s="2" t="s">
        <v>65</v>
      </c>
    </row>
    <row r="4" spans="1:17" s="1" customFormat="1">
      <c r="A4" s="1" t="s">
        <v>67</v>
      </c>
      <c r="B4" s="1" t="s">
        <v>67</v>
      </c>
      <c r="C4" s="4"/>
      <c r="D4" s="10" t="s">
        <v>66</v>
      </c>
      <c r="Q4" s="1" t="s">
        <v>68</v>
      </c>
    </row>
    <row r="5" spans="1:17">
      <c r="A5" s="55"/>
      <c r="B5" s="55"/>
      <c r="C5" s="55" t="s">
        <v>83</v>
      </c>
      <c r="D5" s="55"/>
      <c r="E5" s="55"/>
      <c r="F5" s="55"/>
      <c r="G5" s="55"/>
      <c r="H5" s="55"/>
      <c r="I5" s="55"/>
      <c r="J5" s="55"/>
      <c r="K5" s="55"/>
      <c r="L5" s="55"/>
      <c r="M5" s="55"/>
      <c r="N5" s="55"/>
      <c r="O5" s="55"/>
      <c r="Q5" s="5" t="s">
        <v>12</v>
      </c>
    </row>
    <row r="6" spans="1:17" ht="45">
      <c r="A6" s="7" t="str">
        <f>IF(OR(LEN(A5)&lt;1,LEN(A5)&gt;35), "Transaction Identification must be between 1 and 35 characters long", "")</f>
        <v>Transaction Identification must be between 1 and 35 characters long</v>
      </c>
      <c r="B6" s="7" t="str">
        <f>IF(OR(LEN(B5)&lt;1,LEN(B5)&gt;35),"Uniqie Identification must be between 1 and 35 characters long","")</f>
        <v>Uniqie Identification must be between 1 and 35 characters long</v>
      </c>
      <c r="C6" s="8"/>
      <c r="D6" s="7" t="str">
        <f>IF(OR(D5&lt;0.01,D5&gt;9999999999999990),"Transaction Amount is not valid","")</f>
        <v>Transaction Amount is not valid</v>
      </c>
      <c r="E6" s="7" t="str">
        <f>IF(AND(LEN(E5)&lt;&gt;8,LEN(E5)&lt;&gt;11),
    "BIC must be 8 or 11 characters long",
    IF(COUNTIF('Control Data (Hidden)'!$B$279:$B$335,E5)=0,
        "Warning: Is IBAN Valid?",
        ""
    )
)</f>
        <v>BIC must be 8 or 11 characters long</v>
      </c>
      <c r="F6" s="7" t="str">
        <f>IF(OR(LEN(F5)&lt;1,LEN(F5)&gt;70),"Creditor's Name must be between 1 and 70 characters long","")</f>
        <v>Creditor's Name must be between 1 and 70 characters long</v>
      </c>
      <c r="G6" s="7" t="str">
        <f>IF(LEN(G5)&gt;70,"Address cannot be longer than 70 characters","")</f>
        <v/>
      </c>
      <c r="H6" s="7" t="str">
        <f>IF(LEN(H5)&gt;16,"Building Number cannot be longer than 16 characters","")</f>
        <v/>
      </c>
      <c r="I6" s="7" t="str">
        <f>IF(LEN(I5)&gt;35,"Building Name cannot be longer than 35 characters","")</f>
        <v/>
      </c>
      <c r="J6" s="7" t="str">
        <f>IF(LEN(J5)&gt;16,"Postal Code cannot be longer than 16 characters","")</f>
        <v/>
      </c>
      <c r="K6" s="7" t="str">
        <f>IF(OR(LEN(K5)&lt;1,LEN(K5)&gt;35),"Town Name must be between 1 and 35 characters long","")</f>
        <v>Town Name must be between 1 and 35 characters long</v>
      </c>
      <c r="L6" s="7" t="str">
        <f>IF(NOT(LEN(L5)=2),"Country Code must be 2 characters long","")</f>
        <v>Country Code must be 2 characters long</v>
      </c>
      <c r="M6" s="7" t="str">
        <f>IF(OR(LEN(M5)&lt;10,LEN(M5)&gt;34),"IBAN may be up to 34 characters long","")</f>
        <v>IBAN may be up to 34 characters long</v>
      </c>
      <c r="N6" s="7" t="str">
        <f>IF(ISBLANK(N5),"Code cannot be left blank","")</f>
        <v>Code cannot be left blank</v>
      </c>
      <c r="O6" s="7" t="str">
        <f>IF(OR(LEN(O5)&lt;1,LEN(O5)&gt;140),"Transaction Details must be between 1 and 140 characters long","")</f>
        <v>Transaction Details must be between 1 and 140 characters long</v>
      </c>
      <c r="Q6" s="1" t="s">
        <v>13</v>
      </c>
    </row>
    <row r="7" spans="1:17">
      <c r="A7" s="55"/>
      <c r="B7" s="55"/>
      <c r="C7" s="55" t="s">
        <v>83</v>
      </c>
      <c r="D7" s="55"/>
      <c r="E7" s="55"/>
      <c r="F7" s="55"/>
      <c r="G7" s="55"/>
      <c r="H7" s="55"/>
      <c r="I7" s="55"/>
      <c r="J7" s="55"/>
      <c r="K7" s="55"/>
      <c r="L7" s="55"/>
      <c r="M7" s="55"/>
      <c r="N7" s="55"/>
      <c r="O7" s="55"/>
      <c r="Q7" s="5" t="s">
        <v>12</v>
      </c>
    </row>
    <row r="8" spans="1:17" ht="45">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
    "BIC must be 8 or 11 characters long",
    IF(COUNTIF('Control Data (Hidden)'!$B$279:$B$335,E7)=0,
        "Warning: Is IBAN Valid?",
        ""
    )
)</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IF(LEN(H7)&gt;16,"Building Number cannot be longer than 16 characters","")</f>
        <v/>
      </c>
      <c r="I8" s="7" t="str">
        <f>IF(LEN(I7)&gt;35,"Building Name cannot be longer than 35 characters","")</f>
        <v/>
      </c>
      <c r="J8" s="7" t="str">
        <f>IF(LEN(J7)&gt;16,"Postal Code cannot be longer than 16 characters","")</f>
        <v/>
      </c>
      <c r="K8" s="7" t="str">
        <f>IF(OR(LEN(K7)&lt;1,LEN(K7)&gt;35),"Town Name must be between 1 and 35 characters long","")</f>
        <v>Town Name must be between 1 and 35 characters long</v>
      </c>
      <c r="L8" s="7" t="str">
        <f>IF(NOT(LEN(L7)=2),"Country Code must be 2 characters long","")</f>
        <v>Country Code must be 2 characters long</v>
      </c>
      <c r="M8" s="7" t="str">
        <f>IF(OR(LEN(M7)&lt;10,LEN(M7)&gt;34),"IBAN may be up to 34 characters long","")</f>
        <v>IBAN may be up to 34 characters long</v>
      </c>
      <c r="N8" s="7" t="str">
        <f>IF(ISBLANK(N7),"Code cannot be left blank","")</f>
        <v>Code cannot be left blank</v>
      </c>
      <c r="O8" s="7" t="str">
        <f>IF(OR(LEN(O7)&lt;1,LEN(O7)&gt;140),"Transaction Details must be between 1 and 140 characters long","")</f>
        <v>Transaction Details must be between 1 and 140 characters long</v>
      </c>
      <c r="Q8" s="1" t="s">
        <v>13</v>
      </c>
    </row>
    <row r="9" spans="1:17">
      <c r="A9" s="55"/>
      <c r="B9" s="55"/>
      <c r="C9" s="55" t="s">
        <v>83</v>
      </c>
      <c r="D9" s="55"/>
      <c r="E9" s="55"/>
      <c r="F9" s="55"/>
      <c r="G9" s="55"/>
      <c r="H9" s="55"/>
      <c r="I9" s="55"/>
      <c r="J9" s="55"/>
      <c r="K9" s="55"/>
      <c r="L9" s="55"/>
      <c r="M9" s="55"/>
      <c r="N9" s="55"/>
      <c r="O9" s="55"/>
      <c r="Q9" s="5" t="s">
        <v>12</v>
      </c>
    </row>
    <row r="10" spans="1:17" ht="45">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
    "BIC must be 8 or 11 characters long",
    IF(COUNTIF('Control Data (Hidden)'!$B$279:$B$335,E9)=0,
        "Warning: Is IBAN Valid?",
        ""
    )
)</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IF(LEN(H9)&gt;16,"Building Number cannot be longer than 16 characters","")</f>
        <v/>
      </c>
      <c r="I10" s="7" t="str">
        <f>IF(LEN(I9)&gt;35,"Building Name cannot be longer than 35 characters","")</f>
        <v/>
      </c>
      <c r="J10" s="7" t="str">
        <f>IF(LEN(J9)&gt;16,"Postal Code cannot be longer than 16 characters","")</f>
        <v/>
      </c>
      <c r="K10" s="7" t="str">
        <f>IF(OR(LEN(K9)&lt;1,LEN(K9)&gt;35),"Town Name must be between 1 and 35 characters long","")</f>
        <v>Town Name must be between 1 and 35 characters long</v>
      </c>
      <c r="L10" s="7" t="str">
        <f>IF(NOT(LEN(L9)=2),"Country Code must be 2 characters long","")</f>
        <v>Country Code must be 2 characters long</v>
      </c>
      <c r="M10" s="7" t="str">
        <f>IF(OR(LEN(M9)&lt;10,LEN(M9)&gt;34),"IBAN may be up to 34 characters long","")</f>
        <v>IBAN may be up to 34 characters long</v>
      </c>
      <c r="N10" s="7" t="str">
        <f>IF(ISBLANK(N9),"Code cannot be left blank","")</f>
        <v>Code cannot be left blank</v>
      </c>
      <c r="O10" s="7" t="str">
        <f>IF(OR(LEN(O9)&lt;1,LEN(O9)&gt;140),"Transaction Details must be between 1 and 140 characters long","")</f>
        <v>Transaction Details must be between 1 and 140 characters long</v>
      </c>
      <c r="Q10" s="1" t="s">
        <v>13</v>
      </c>
    </row>
    <row r="11" spans="1:17">
      <c r="A11" s="55"/>
      <c r="B11" s="55"/>
      <c r="C11" s="55" t="s">
        <v>83</v>
      </c>
      <c r="D11" s="55"/>
      <c r="E11" s="55"/>
      <c r="F11" s="55"/>
      <c r="G11" s="55"/>
      <c r="H11" s="55"/>
      <c r="I11" s="55"/>
      <c r="J11" s="55"/>
      <c r="K11" s="55"/>
      <c r="L11" s="55"/>
      <c r="M11" s="55"/>
      <c r="N11" s="55"/>
      <c r="O11" s="55"/>
      <c r="Q11" s="5" t="s">
        <v>12</v>
      </c>
    </row>
    <row r="12" spans="1:17" ht="45">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
    "BIC must be 8 or 11 characters long",
    IF(COUNTIF('Control Data (Hidden)'!$B$279:$B$335,E11)=0,
        "Warning: Is IBAN Valid?",
        ""
    )
)</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IF(LEN(H11)&gt;16,"Building Number cannot be longer than 16 characters","")</f>
        <v/>
      </c>
      <c r="I12" s="7" t="str">
        <f>IF(LEN(I11)&gt;35,"Building Name cannot be longer than 35 characters","")</f>
        <v/>
      </c>
      <c r="J12" s="7" t="str">
        <f>IF(LEN(J11)&gt;16,"Postal Code cannot be longer than 16 characters","")</f>
        <v/>
      </c>
      <c r="K12" s="7" t="str">
        <f>IF(OR(LEN(K11)&lt;1,LEN(K11)&gt;35),"Town Name must be between 1 and 35 characters long","")</f>
        <v>Town Name must be between 1 and 35 characters long</v>
      </c>
      <c r="L12" s="7" t="str">
        <f>IF(NOT(LEN(L11)=2),"Country Code must be 2 characters long","")</f>
        <v>Country Code must be 2 characters long</v>
      </c>
      <c r="M12" s="7" t="str">
        <f>IF(OR(LEN(M11)&lt;10,LEN(M11)&gt;34),"IBAN may be up to 34 characters long","")</f>
        <v>IBAN may be up to 34 characters long</v>
      </c>
      <c r="N12" s="7" t="str">
        <f>IF(ISBLANK(N11),"Code cannot be left blank","")</f>
        <v>Code cannot be left blank</v>
      </c>
      <c r="O12" s="7" t="str">
        <f>IF(OR(LEN(O11)&lt;1,LEN(O11)&gt;140),"Transaction Details must be between 1 and 140 characters long","")</f>
        <v>Transaction Details must be between 1 and 140 characters long</v>
      </c>
      <c r="Q12" s="1" t="s">
        <v>13</v>
      </c>
    </row>
    <row r="13" spans="1:17">
      <c r="A13" s="55"/>
      <c r="B13" s="55"/>
      <c r="C13" s="55" t="s">
        <v>83</v>
      </c>
      <c r="D13" s="55"/>
      <c r="E13" s="55"/>
      <c r="F13" s="55"/>
      <c r="G13" s="55"/>
      <c r="H13" s="55"/>
      <c r="I13" s="55"/>
      <c r="J13" s="55"/>
      <c r="K13" s="55"/>
      <c r="L13" s="55"/>
      <c r="M13" s="55"/>
      <c r="N13" s="55"/>
      <c r="O13" s="55"/>
      <c r="Q13" s="5" t="s">
        <v>12</v>
      </c>
    </row>
    <row r="14" spans="1:17" ht="45">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
    "BIC must be 8 or 11 characters long",
    IF(COUNTIF('Control Data (Hidden)'!$B$279:$B$335,E13)=0,
        "Warning: Is IBAN Valid?",
        ""
    )
)</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IF(LEN(H13)&gt;16,"Building Number cannot be longer than 16 characters","")</f>
        <v/>
      </c>
      <c r="I14" s="7" t="str">
        <f>IF(LEN(I13)&gt;35,"Building Name cannot be longer than 35 characters","")</f>
        <v/>
      </c>
      <c r="J14" s="7" t="str">
        <f>IF(LEN(J13)&gt;16,"Postal Code cannot be longer than 16 characters","")</f>
        <v/>
      </c>
      <c r="K14" s="7" t="str">
        <f>IF(OR(LEN(K13)&lt;1,LEN(K13)&gt;35),"Town Name must be between 1 and 35 characters long","")</f>
        <v>Town Name must be between 1 and 35 characters long</v>
      </c>
      <c r="L14" s="7" t="str">
        <f>IF(NOT(LEN(L13)=2),"Country Code must be 2 characters long","")</f>
        <v>Country Code must be 2 characters long</v>
      </c>
      <c r="M14" s="7" t="str">
        <f>IF(OR(LEN(M13)&lt;10,LEN(M13)&gt;34),"IBAN may be up to 34 characters long","")</f>
        <v>IBAN may be up to 34 characters long</v>
      </c>
      <c r="N14" s="7" t="str">
        <f>IF(ISBLANK(N13),"Code cannot be left blank","")</f>
        <v>Code cannot be left blank</v>
      </c>
      <c r="O14" s="7" t="str">
        <f>IF(OR(LEN(O13)&lt;1,LEN(O13)&gt;140),"Transaction Details must be between 1 and 140 characters long","")</f>
        <v>Transaction Details must be between 1 and 140 characters long</v>
      </c>
      <c r="Q14" s="1" t="s">
        <v>13</v>
      </c>
    </row>
    <row r="15" spans="1:17">
      <c r="A15" s="55"/>
      <c r="B15" s="55"/>
      <c r="C15" s="55" t="s">
        <v>83</v>
      </c>
      <c r="D15" s="55"/>
      <c r="E15" s="55"/>
      <c r="F15" s="55"/>
      <c r="G15" s="55"/>
      <c r="H15" s="55"/>
      <c r="I15" s="55"/>
      <c r="J15" s="55"/>
      <c r="K15" s="55"/>
      <c r="L15" s="55"/>
      <c r="M15" s="55"/>
      <c r="N15" s="55"/>
      <c r="O15" s="55"/>
      <c r="Q15" s="5" t="s">
        <v>12</v>
      </c>
    </row>
    <row r="16" spans="1:17" ht="45">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
    "BIC must be 8 or 11 characters long",
    IF(COUNTIF('Control Data (Hidden)'!$B$279:$B$335,E15)=0,
        "Warning: Is IBAN Valid?",
        ""
    )
)</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IF(LEN(H15)&gt;16,"Building Number cannot be longer than 16 characters","")</f>
        <v/>
      </c>
      <c r="I16" s="7" t="str">
        <f>IF(LEN(I15)&gt;35,"Building Name cannot be longer than 35 characters","")</f>
        <v/>
      </c>
      <c r="J16" s="7" t="str">
        <f>IF(LEN(J15)&gt;16,"Postal Code cannot be longer than 16 characters","")</f>
        <v/>
      </c>
      <c r="K16" s="7" t="str">
        <f>IF(OR(LEN(K15)&lt;1,LEN(K15)&gt;35),"Town Name must be between 1 and 35 characters long","")</f>
        <v>Town Name must be between 1 and 35 characters long</v>
      </c>
      <c r="L16" s="7" t="str">
        <f>IF(NOT(LEN(L15)=2),"Country Code must be 2 characters long","")</f>
        <v>Country Code must be 2 characters long</v>
      </c>
      <c r="M16" s="7" t="str">
        <f>IF(OR(LEN(M15)&lt;10,LEN(M15)&gt;34),"IBAN may be up to 34 characters long","")</f>
        <v>IBAN may be up to 34 characters long</v>
      </c>
      <c r="N16" s="7" t="str">
        <f>IF(ISBLANK(N15),"Code cannot be left blank","")</f>
        <v>Code cannot be left blank</v>
      </c>
      <c r="O16" s="7" t="str">
        <f>IF(OR(LEN(O15)&lt;1,LEN(O15)&gt;140),"Transaction Details must be between 1 and 140 characters long","")</f>
        <v>Transaction Details must be between 1 and 140 characters long</v>
      </c>
      <c r="Q16" s="1" t="s">
        <v>13</v>
      </c>
    </row>
    <row r="17" spans="1:17">
      <c r="A17" s="55"/>
      <c r="B17" s="55"/>
      <c r="C17" s="55" t="s">
        <v>83</v>
      </c>
      <c r="D17" s="55"/>
      <c r="E17" s="55"/>
      <c r="F17" s="55"/>
      <c r="G17" s="55"/>
      <c r="H17" s="55"/>
      <c r="I17" s="55"/>
      <c r="J17" s="55"/>
      <c r="K17" s="55"/>
      <c r="L17" s="55"/>
      <c r="M17" s="55"/>
      <c r="N17" s="55"/>
      <c r="O17" s="55"/>
      <c r="Q17" s="5" t="s">
        <v>12</v>
      </c>
    </row>
    <row r="18" spans="1:17" ht="45">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
    "BIC must be 8 or 11 characters long",
    IF(COUNTIF('Control Data (Hidden)'!$B$279:$B$335,E17)=0,
        "Warning: Is IBAN Valid?",
        ""
    )
)</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IF(LEN(H17)&gt;16,"Building Number cannot be longer than 16 characters","")</f>
        <v/>
      </c>
      <c r="I18" s="7" t="str">
        <f>IF(LEN(I17)&gt;35,"Building Name cannot be longer than 35 characters","")</f>
        <v/>
      </c>
      <c r="J18" s="7" t="str">
        <f>IF(LEN(J17)&gt;16,"Postal Code cannot be longer than 16 characters","")</f>
        <v/>
      </c>
      <c r="K18" s="7" t="str">
        <f>IF(OR(LEN(K17)&lt;1,LEN(K17)&gt;35),"Town Name must be between 1 and 35 characters long","")</f>
        <v>Town Name must be between 1 and 35 characters long</v>
      </c>
      <c r="L18" s="7" t="str">
        <f>IF(NOT(LEN(L17)=2),"Country Code must be 2 characters long","")</f>
        <v>Country Code must be 2 characters long</v>
      </c>
      <c r="M18" s="7" t="str">
        <f>IF(OR(LEN(M17)&lt;10,LEN(M17)&gt;34),"IBAN may be up to 34 characters long","")</f>
        <v>IBAN may be up to 34 characters long</v>
      </c>
      <c r="N18" s="7" t="str">
        <f>IF(ISBLANK(N17),"Code cannot be left blank","")</f>
        <v>Code cannot be left blank</v>
      </c>
      <c r="O18" s="7" t="str">
        <f>IF(OR(LEN(O17)&lt;1,LEN(O17)&gt;140),"Transaction Details must be between 1 and 140 characters long","")</f>
        <v>Transaction Details must be between 1 and 140 characters long</v>
      </c>
      <c r="Q18" s="1" t="s">
        <v>13</v>
      </c>
    </row>
    <row r="19" spans="1:17">
      <c r="A19" s="55"/>
      <c r="B19" s="55"/>
      <c r="C19" s="55" t="s">
        <v>83</v>
      </c>
      <c r="D19" s="55"/>
      <c r="E19" s="55"/>
      <c r="F19" s="55"/>
      <c r="G19" s="55"/>
      <c r="H19" s="55"/>
      <c r="I19" s="55"/>
      <c r="J19" s="55"/>
      <c r="K19" s="55"/>
      <c r="L19" s="55"/>
      <c r="M19" s="55"/>
      <c r="N19" s="55"/>
      <c r="O19" s="55"/>
      <c r="Q19" s="5" t="s">
        <v>12</v>
      </c>
    </row>
    <row r="20" spans="1:17" ht="45">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
    "BIC must be 8 or 11 characters long",
    IF(COUNTIF('Control Data (Hidden)'!$B$279:$B$335,E19)=0,
        "Warning: Is IBAN Valid?",
        ""
    )
)</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IF(LEN(H19)&gt;16,"Building Number cannot be longer than 16 characters","")</f>
        <v/>
      </c>
      <c r="I20" s="7" t="str">
        <f>IF(LEN(I19)&gt;35,"Building Name cannot be longer than 35 characters","")</f>
        <v/>
      </c>
      <c r="J20" s="7" t="str">
        <f>IF(LEN(J19)&gt;16,"Postal Code cannot be longer than 16 characters","")</f>
        <v/>
      </c>
      <c r="K20" s="7" t="str">
        <f>IF(OR(LEN(K19)&lt;1,LEN(K19)&gt;35),"Town Name must be between 1 and 35 characters long","")</f>
        <v>Town Name must be between 1 and 35 characters long</v>
      </c>
      <c r="L20" s="7" t="str">
        <f>IF(NOT(LEN(L19)=2),"Country Code must be 2 characters long","")</f>
        <v>Country Code must be 2 characters long</v>
      </c>
      <c r="M20" s="7" t="str">
        <f>IF(OR(LEN(M19)&lt;10,LEN(M19)&gt;34),"IBAN may be up to 34 characters long","")</f>
        <v>IBAN may be up to 34 characters long</v>
      </c>
      <c r="N20" s="7" t="str">
        <f>IF(ISBLANK(N19),"Code cannot be left blank","")</f>
        <v>Code cannot be left blank</v>
      </c>
      <c r="O20" s="7" t="str">
        <f>IF(OR(LEN(O19)&lt;1,LEN(O19)&gt;140),"Transaction Details must be between 1 and 140 characters long","")</f>
        <v>Transaction Details must be between 1 and 140 characters long</v>
      </c>
      <c r="Q20" s="1" t="s">
        <v>13</v>
      </c>
    </row>
    <row r="21" spans="1:17">
      <c r="A21" s="55"/>
      <c r="B21" s="55"/>
      <c r="C21" s="55" t="s">
        <v>83</v>
      </c>
      <c r="D21" s="55"/>
      <c r="E21" s="55"/>
      <c r="F21" s="55"/>
      <c r="G21" s="55"/>
      <c r="H21" s="55"/>
      <c r="I21" s="55"/>
      <c r="J21" s="55"/>
      <c r="K21" s="55"/>
      <c r="L21" s="55"/>
      <c r="M21" s="55"/>
      <c r="N21" s="55"/>
      <c r="O21" s="55"/>
      <c r="Q21" s="5" t="s">
        <v>12</v>
      </c>
    </row>
    <row r="22" spans="1:17" ht="45">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
    "BIC must be 8 or 11 characters long",
    IF(COUNTIF('Control Data (Hidden)'!$B$279:$B$335,E21)=0,
        "Warning: Is IBAN Valid?",
        ""
    )
)</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IF(LEN(H21)&gt;16,"Building Number cannot be longer than 16 characters","")</f>
        <v/>
      </c>
      <c r="I22" s="7" t="str">
        <f>IF(LEN(I21)&gt;35,"Building Name cannot be longer than 35 characters","")</f>
        <v/>
      </c>
      <c r="J22" s="7" t="str">
        <f>IF(LEN(J21)&gt;16,"Postal Code cannot be longer than 16 characters","")</f>
        <v/>
      </c>
      <c r="K22" s="7" t="str">
        <f>IF(OR(LEN(K21)&lt;1,LEN(K21)&gt;35),"Town Name must be between 1 and 35 characters long","")</f>
        <v>Town Name must be between 1 and 35 characters long</v>
      </c>
      <c r="L22" s="7" t="str">
        <f>IF(NOT(LEN(L21)=2),"Country Code must be 2 characters long","")</f>
        <v>Country Code must be 2 characters long</v>
      </c>
      <c r="M22" s="7" t="str">
        <f>IF(OR(LEN(M21)&lt;10,LEN(M21)&gt;34),"IBAN may be up to 34 characters long","")</f>
        <v>IBAN may be up to 34 characters long</v>
      </c>
      <c r="N22" s="7" t="str">
        <f>IF(ISBLANK(N21),"Code cannot be left blank","")</f>
        <v>Code cannot be left blank</v>
      </c>
      <c r="O22" s="7" t="str">
        <f>IF(OR(LEN(O21)&lt;1,LEN(O21)&gt;140),"Transaction Details must be between 1 and 140 characters long","")</f>
        <v>Transaction Details must be between 1 and 140 characters long</v>
      </c>
      <c r="Q22" s="1" t="s">
        <v>13</v>
      </c>
    </row>
    <row r="23" spans="1:17">
      <c r="A23" s="55"/>
      <c r="B23" s="55"/>
      <c r="C23" s="55" t="s">
        <v>83</v>
      </c>
      <c r="D23" s="55"/>
      <c r="E23" s="55"/>
      <c r="F23" s="55"/>
      <c r="G23" s="55"/>
      <c r="H23" s="55"/>
      <c r="I23" s="55"/>
      <c r="J23" s="55"/>
      <c r="K23" s="55"/>
      <c r="L23" s="55"/>
      <c r="M23" s="55"/>
      <c r="N23" s="55"/>
      <c r="O23" s="55"/>
      <c r="Q23" s="5" t="s">
        <v>12</v>
      </c>
    </row>
    <row r="24" spans="1:17" ht="45">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
    "BIC must be 8 or 11 characters long",
    IF(COUNTIF('Control Data (Hidden)'!$B$279:$B$335,E23)=0,
        "Warning: Is IBAN Valid?",
        ""
    )
)</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IF(LEN(H23)&gt;16,"Building Number cannot be longer than 16 characters","")</f>
        <v/>
      </c>
      <c r="I24" s="7" t="str">
        <f>IF(LEN(I23)&gt;35,"Building Name cannot be longer than 35 characters","")</f>
        <v/>
      </c>
      <c r="J24" s="7" t="str">
        <f>IF(LEN(J23)&gt;16,"Postal Code cannot be longer than 16 characters","")</f>
        <v/>
      </c>
      <c r="K24" s="7" t="str">
        <f>IF(OR(LEN(K23)&lt;1,LEN(K23)&gt;35),"Town Name must be between 1 and 35 characters long","")</f>
        <v>Town Name must be between 1 and 35 characters long</v>
      </c>
      <c r="L24" s="7" t="str">
        <f>IF(NOT(LEN(L23)=2),"Country Code must be 2 characters long","")</f>
        <v>Country Code must be 2 characters long</v>
      </c>
      <c r="M24" s="7" t="str">
        <f>IF(OR(LEN(M23)&lt;10,LEN(M23)&gt;34),"IBAN may be up to 34 characters long","")</f>
        <v>IBAN may be up to 34 characters long</v>
      </c>
      <c r="N24" s="7" t="str">
        <f>IF(ISBLANK(N23),"Code cannot be left blank","")</f>
        <v>Code cannot be left blank</v>
      </c>
      <c r="O24" s="7" t="str">
        <f>IF(OR(LEN(O23)&lt;1,LEN(O23)&gt;140),"Transaction Details must be between 1 and 140 characters long","")</f>
        <v>Transaction Details must be between 1 and 140 characters long</v>
      </c>
      <c r="Q24" s="1" t="s">
        <v>13</v>
      </c>
    </row>
    <row r="25" spans="1:17">
      <c r="A25" s="55"/>
      <c r="B25" s="55"/>
      <c r="C25" s="55" t="s">
        <v>83</v>
      </c>
      <c r="D25" s="55"/>
      <c r="E25" s="55"/>
      <c r="F25" s="55"/>
      <c r="G25" s="55"/>
      <c r="H25" s="55"/>
      <c r="I25" s="55"/>
      <c r="J25" s="55"/>
      <c r="K25" s="55"/>
      <c r="L25" s="55"/>
      <c r="M25" s="55"/>
      <c r="N25" s="55"/>
      <c r="O25" s="55"/>
      <c r="Q25" s="5" t="s">
        <v>12</v>
      </c>
    </row>
    <row r="26" spans="1:17" ht="45">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
    "BIC must be 8 or 11 characters long",
    IF(COUNTIF('Control Data (Hidden)'!$B$279:$B$335,E25)=0,
        "Warning: Is IBAN Valid?",
        ""
    )
)</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IF(LEN(H25)&gt;16,"Building Number cannot be longer than 16 characters","")</f>
        <v/>
      </c>
      <c r="I26" s="7" t="str">
        <f>IF(LEN(I25)&gt;35,"Building Name cannot be longer than 35 characters","")</f>
        <v/>
      </c>
      <c r="J26" s="7" t="str">
        <f>IF(LEN(J25)&gt;16,"Postal Code cannot be longer than 16 characters","")</f>
        <v/>
      </c>
      <c r="K26" s="7" t="str">
        <f>IF(OR(LEN(K25)&lt;1,LEN(K25)&gt;35),"Town Name must be between 1 and 35 characters long","")</f>
        <v>Town Name must be between 1 and 35 characters long</v>
      </c>
      <c r="L26" s="7" t="str">
        <f>IF(NOT(LEN(L25)=2),"Country Code must be 2 characters long","")</f>
        <v>Country Code must be 2 characters long</v>
      </c>
      <c r="M26" s="7" t="str">
        <f>IF(OR(LEN(M25)&lt;10,LEN(M25)&gt;34),"IBAN may be up to 34 characters long","")</f>
        <v>IBAN may be up to 34 characters long</v>
      </c>
      <c r="N26" s="7" t="str">
        <f>IF(ISBLANK(N25),"Code cannot be left blank","")</f>
        <v>Code cannot be left blank</v>
      </c>
      <c r="O26" s="7" t="str">
        <f>IF(OR(LEN(O25)&lt;1,LEN(O25)&gt;140),"Transaction Details must be between 1 and 140 characters long","")</f>
        <v>Transaction Details must be between 1 and 140 characters long</v>
      </c>
      <c r="Q26" s="1" t="s">
        <v>13</v>
      </c>
    </row>
    <row r="27" spans="1:17">
      <c r="A27" s="55"/>
      <c r="B27" s="55"/>
      <c r="C27" s="55" t="s">
        <v>83</v>
      </c>
      <c r="D27" s="55"/>
      <c r="E27" s="55"/>
      <c r="F27" s="55"/>
      <c r="G27" s="55"/>
      <c r="H27" s="55"/>
      <c r="I27" s="55"/>
      <c r="J27" s="55"/>
      <c r="K27" s="55"/>
      <c r="L27" s="55"/>
      <c r="M27" s="55"/>
      <c r="N27" s="55"/>
      <c r="O27" s="55"/>
      <c r="Q27" s="5" t="s">
        <v>12</v>
      </c>
    </row>
    <row r="28" spans="1:17" ht="45">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
    "BIC must be 8 or 11 characters long",
    IF(COUNTIF('Control Data (Hidden)'!$B$279:$B$335,E27)=0,
        "Warning: Is IBAN Valid?",
        ""
    )
)</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IF(LEN(H27)&gt;16,"Building Number cannot be longer than 16 characters","")</f>
        <v/>
      </c>
      <c r="I28" s="7" t="str">
        <f>IF(LEN(I27)&gt;35,"Building Name cannot be longer than 35 characters","")</f>
        <v/>
      </c>
      <c r="J28" s="7" t="str">
        <f>IF(LEN(J27)&gt;16,"Postal Code cannot be longer than 16 characters","")</f>
        <v/>
      </c>
      <c r="K28" s="7" t="str">
        <f>IF(OR(LEN(K27)&lt;1,LEN(K27)&gt;35),"Town Name must be between 1 and 35 characters long","")</f>
        <v>Town Name must be between 1 and 35 characters long</v>
      </c>
      <c r="L28" s="7" t="str">
        <f>IF(NOT(LEN(L27)=2),"Country Code must be 2 characters long","")</f>
        <v>Country Code must be 2 characters long</v>
      </c>
      <c r="M28" s="7" t="str">
        <f>IF(OR(LEN(M27)&lt;10,LEN(M27)&gt;34),"IBAN may be up to 34 characters long","")</f>
        <v>IBAN may be up to 34 characters long</v>
      </c>
      <c r="N28" s="7" t="str">
        <f>IF(ISBLANK(N27),"Code cannot be left blank","")</f>
        <v>Code cannot be left blank</v>
      </c>
      <c r="O28" s="7" t="str">
        <f>IF(OR(LEN(O27)&lt;1,LEN(O27)&gt;140),"Transaction Details must be between 1 and 140 characters long","")</f>
        <v>Transaction Details must be between 1 and 140 characters long</v>
      </c>
      <c r="Q28" s="1" t="s">
        <v>13</v>
      </c>
    </row>
    <row r="29" spans="1:17">
      <c r="A29" s="55"/>
      <c r="B29" s="55"/>
      <c r="C29" s="55" t="s">
        <v>83</v>
      </c>
      <c r="D29" s="55"/>
      <c r="E29" s="55"/>
      <c r="F29" s="55"/>
      <c r="G29" s="55"/>
      <c r="H29" s="55"/>
      <c r="I29" s="55"/>
      <c r="J29" s="55"/>
      <c r="K29" s="55"/>
      <c r="L29" s="55"/>
      <c r="M29" s="55"/>
      <c r="N29" s="55"/>
      <c r="O29" s="55"/>
      <c r="Q29" s="5" t="s">
        <v>12</v>
      </c>
    </row>
    <row r="30" spans="1:17" ht="45">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
    "BIC must be 8 or 11 characters long",
    IF(COUNTIF('Control Data (Hidden)'!$B$279:$B$335,E29)=0,
        "Warning: Is IBAN Valid?",
        ""
    )
)</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IF(LEN(H29)&gt;16,"Building Number cannot be longer than 16 characters","")</f>
        <v/>
      </c>
      <c r="I30" s="7" t="str">
        <f>IF(LEN(I29)&gt;35,"Building Name cannot be longer than 35 characters","")</f>
        <v/>
      </c>
      <c r="J30" s="7" t="str">
        <f>IF(LEN(J29)&gt;16,"Postal Code cannot be longer than 16 characters","")</f>
        <v/>
      </c>
      <c r="K30" s="7" t="str">
        <f>IF(OR(LEN(K29)&lt;1,LEN(K29)&gt;35),"Town Name must be between 1 and 35 characters long","")</f>
        <v>Town Name must be between 1 and 35 characters long</v>
      </c>
      <c r="L30" s="7" t="str">
        <f>IF(NOT(LEN(L29)=2),"Country Code must be 2 characters long","")</f>
        <v>Country Code must be 2 characters long</v>
      </c>
      <c r="M30" s="7" t="str">
        <f>IF(OR(LEN(M29)&lt;10,LEN(M29)&gt;34),"IBAN may be up to 34 characters long","")</f>
        <v>IBAN may be up to 34 characters long</v>
      </c>
      <c r="N30" s="7" t="str">
        <f>IF(ISBLANK(N29),"Code cannot be left blank","")</f>
        <v>Code cannot be left blank</v>
      </c>
      <c r="O30" s="7" t="str">
        <f>IF(OR(LEN(O29)&lt;1,LEN(O29)&gt;140),"Transaction Details must be between 1 and 140 characters long","")</f>
        <v>Transaction Details must be between 1 and 140 characters long</v>
      </c>
      <c r="Q30" s="1" t="s">
        <v>13</v>
      </c>
    </row>
    <row r="31" spans="1:17">
      <c r="A31" s="55"/>
      <c r="B31" s="55"/>
      <c r="C31" s="55" t="s">
        <v>83</v>
      </c>
      <c r="D31" s="55"/>
      <c r="E31" s="55"/>
      <c r="F31" s="55"/>
      <c r="G31" s="55"/>
      <c r="H31" s="55"/>
      <c r="I31" s="55"/>
      <c r="J31" s="55"/>
      <c r="K31" s="55"/>
      <c r="L31" s="55"/>
      <c r="M31" s="55"/>
      <c r="N31" s="55"/>
      <c r="O31" s="55"/>
      <c r="Q31" s="5" t="s">
        <v>12</v>
      </c>
    </row>
    <row r="32" spans="1:17" ht="45">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
    "BIC must be 8 or 11 characters long",
    IF(COUNTIF('Control Data (Hidden)'!$B$279:$B$335,E31)=0,
        "Warning: Is IBAN Valid?",
        ""
    )
)</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IF(LEN(H31)&gt;16,"Building Number cannot be longer than 16 characters","")</f>
        <v/>
      </c>
      <c r="I32" s="7" t="str">
        <f>IF(LEN(I31)&gt;35,"Building Name cannot be longer than 35 characters","")</f>
        <v/>
      </c>
      <c r="J32" s="7" t="str">
        <f>IF(LEN(J31)&gt;16,"Postal Code cannot be longer than 16 characters","")</f>
        <v/>
      </c>
      <c r="K32" s="7" t="str">
        <f>IF(OR(LEN(K31)&lt;1,LEN(K31)&gt;35),"Town Name must be between 1 and 35 characters long","")</f>
        <v>Town Name must be between 1 and 35 characters long</v>
      </c>
      <c r="L32" s="7" t="str">
        <f>IF(NOT(LEN(L31)=2),"Country Code must be 2 characters long","")</f>
        <v>Country Code must be 2 characters long</v>
      </c>
      <c r="M32" s="7" t="str">
        <f>IF(OR(LEN(M31)&lt;10,LEN(M31)&gt;34),"IBAN may be up to 34 characters long","")</f>
        <v>IBAN may be up to 34 characters long</v>
      </c>
      <c r="N32" s="7" t="str">
        <f>IF(ISBLANK(N31),"Code cannot be left blank","")</f>
        <v>Code cannot be left blank</v>
      </c>
      <c r="O32" s="7" t="str">
        <f>IF(OR(LEN(O31)&lt;1,LEN(O31)&gt;140),"Transaction Details must be between 1 and 140 characters long","")</f>
        <v>Transaction Details must be between 1 and 140 characters long</v>
      </c>
      <c r="Q32" s="1" t="s">
        <v>13</v>
      </c>
    </row>
    <row r="33" spans="1:17">
      <c r="A33" s="55"/>
      <c r="B33" s="55"/>
      <c r="C33" s="55" t="s">
        <v>83</v>
      </c>
      <c r="D33" s="55"/>
      <c r="E33" s="55"/>
      <c r="F33" s="55"/>
      <c r="G33" s="55"/>
      <c r="H33" s="55"/>
      <c r="I33" s="55"/>
      <c r="J33" s="55"/>
      <c r="K33" s="55"/>
      <c r="L33" s="55"/>
      <c r="M33" s="55"/>
      <c r="N33" s="55"/>
      <c r="O33" s="55"/>
      <c r="Q33" s="5" t="s">
        <v>12</v>
      </c>
    </row>
    <row r="34" spans="1:17" ht="45">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
    "BIC must be 8 or 11 characters long",
    IF(COUNTIF('Control Data (Hidden)'!$B$279:$B$335,E33)=0,
        "Warning: Is IBAN Valid?",
        ""
    )
)</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IF(LEN(H33)&gt;16,"Building Number cannot be longer than 16 characters","")</f>
        <v/>
      </c>
      <c r="I34" s="7" t="str">
        <f>IF(LEN(I33)&gt;35,"Building Name cannot be longer than 35 characters","")</f>
        <v/>
      </c>
      <c r="J34" s="7" t="str">
        <f>IF(LEN(J33)&gt;16,"Postal Code cannot be longer than 16 characters","")</f>
        <v/>
      </c>
      <c r="K34" s="7" t="str">
        <f>IF(OR(LEN(K33)&lt;1,LEN(K33)&gt;35),"Town Name must be between 1 and 35 characters long","")</f>
        <v>Town Name must be between 1 and 35 characters long</v>
      </c>
      <c r="L34" s="7" t="str">
        <f>IF(NOT(LEN(L33)=2),"Country Code must be 2 characters long","")</f>
        <v>Country Code must be 2 characters long</v>
      </c>
      <c r="M34" s="7" t="str">
        <f>IF(OR(LEN(M33)&lt;10,LEN(M33)&gt;34),"IBAN may be up to 34 characters long","")</f>
        <v>IBAN may be up to 34 characters long</v>
      </c>
      <c r="N34" s="7" t="str">
        <f>IF(ISBLANK(N33),"Code cannot be left blank","")</f>
        <v>Code cannot be left blank</v>
      </c>
      <c r="O34" s="7" t="str">
        <f>IF(OR(LEN(O33)&lt;1,LEN(O33)&gt;140),"Transaction Details must be between 1 and 140 characters long","")</f>
        <v>Transaction Details must be between 1 and 140 characters long</v>
      </c>
      <c r="Q34" s="1" t="s">
        <v>13</v>
      </c>
    </row>
    <row r="35" spans="1:17">
      <c r="A35" s="55"/>
      <c r="B35" s="55"/>
      <c r="C35" s="55" t="s">
        <v>83</v>
      </c>
      <c r="D35" s="55"/>
      <c r="E35" s="55"/>
      <c r="F35" s="55"/>
      <c r="G35" s="55"/>
      <c r="H35" s="55"/>
      <c r="I35" s="55"/>
      <c r="J35" s="55"/>
      <c r="K35" s="55"/>
      <c r="L35" s="55"/>
      <c r="M35" s="55"/>
      <c r="N35" s="55"/>
      <c r="O35" s="55"/>
      <c r="Q35" s="5" t="s">
        <v>12</v>
      </c>
    </row>
    <row r="36" spans="1:17" ht="45">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
    "BIC must be 8 or 11 characters long",
    IF(COUNTIF('Control Data (Hidden)'!$B$279:$B$335,E35)=0,
        "Warning: Is IBAN Valid?",
        ""
    )
)</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IF(LEN(H35)&gt;16,"Building Number cannot be longer than 16 characters","")</f>
        <v/>
      </c>
      <c r="I36" s="7" t="str">
        <f>IF(LEN(I35)&gt;35,"Building Name cannot be longer than 35 characters","")</f>
        <v/>
      </c>
      <c r="J36" s="7" t="str">
        <f>IF(LEN(J35)&gt;16,"Postal Code cannot be longer than 16 characters","")</f>
        <v/>
      </c>
      <c r="K36" s="7" t="str">
        <f>IF(OR(LEN(K35)&lt;1,LEN(K35)&gt;35),"Town Name must be between 1 and 35 characters long","")</f>
        <v>Town Name must be between 1 and 35 characters long</v>
      </c>
      <c r="L36" s="7" t="str">
        <f>IF(NOT(LEN(L35)=2),"Country Code must be 2 characters long","")</f>
        <v>Country Code must be 2 characters long</v>
      </c>
      <c r="M36" s="7" t="str">
        <f>IF(OR(LEN(M35)&lt;10,LEN(M35)&gt;34),"IBAN may be up to 34 characters long","")</f>
        <v>IBAN may be up to 34 characters long</v>
      </c>
      <c r="N36" s="7" t="str">
        <f>IF(ISBLANK(N35),"Code cannot be left blank","")</f>
        <v>Code cannot be left blank</v>
      </c>
      <c r="O36" s="7" t="str">
        <f>IF(OR(LEN(O35)&lt;1,LEN(O35)&gt;140),"Transaction Details must be between 1 and 140 characters long","")</f>
        <v>Transaction Details must be between 1 and 140 characters long</v>
      </c>
      <c r="Q36" s="1" t="s">
        <v>13</v>
      </c>
    </row>
    <row r="37" spans="1:17">
      <c r="A37" s="55"/>
      <c r="B37" s="55"/>
      <c r="C37" s="55" t="s">
        <v>83</v>
      </c>
      <c r="D37" s="55"/>
      <c r="E37" s="55"/>
      <c r="F37" s="55"/>
      <c r="G37" s="55"/>
      <c r="H37" s="55"/>
      <c r="I37" s="55"/>
      <c r="J37" s="55"/>
      <c r="K37" s="55"/>
      <c r="L37" s="55"/>
      <c r="M37" s="55"/>
      <c r="N37" s="55"/>
      <c r="O37" s="55"/>
      <c r="Q37" s="5" t="s">
        <v>12</v>
      </c>
    </row>
    <row r="38" spans="1:17" ht="45">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
    "BIC must be 8 or 11 characters long",
    IF(COUNTIF('Control Data (Hidden)'!$B$279:$B$335,E37)=0,
        "Warning: Is IBAN Valid?",
        ""
    )
)</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IF(LEN(H37)&gt;16,"Building Number cannot be longer than 16 characters","")</f>
        <v/>
      </c>
      <c r="I38" s="7" t="str">
        <f>IF(LEN(I37)&gt;35,"Building Name cannot be longer than 35 characters","")</f>
        <v/>
      </c>
      <c r="J38" s="7" t="str">
        <f>IF(LEN(J37)&gt;16,"Postal Code cannot be longer than 16 characters","")</f>
        <v/>
      </c>
      <c r="K38" s="7" t="str">
        <f>IF(OR(LEN(K37)&lt;1,LEN(K37)&gt;35),"Town Name must be between 1 and 35 characters long","")</f>
        <v>Town Name must be between 1 and 35 characters long</v>
      </c>
      <c r="L38" s="7" t="str">
        <f>IF(NOT(LEN(L37)=2),"Country Code must be 2 characters long","")</f>
        <v>Country Code must be 2 characters long</v>
      </c>
      <c r="M38" s="7" t="str">
        <f>IF(OR(LEN(M37)&lt;10,LEN(M37)&gt;34),"IBAN may be up to 34 characters long","")</f>
        <v>IBAN may be up to 34 characters long</v>
      </c>
      <c r="N38" s="7" t="str">
        <f>IF(ISBLANK(N37),"Code cannot be left blank","")</f>
        <v>Code cannot be left blank</v>
      </c>
      <c r="O38" s="7" t="str">
        <f>IF(OR(LEN(O37)&lt;1,LEN(O37)&gt;140),"Transaction Details must be between 1 and 140 characters long","")</f>
        <v>Transaction Details must be between 1 and 140 characters long</v>
      </c>
      <c r="Q38" s="1" t="s">
        <v>13</v>
      </c>
    </row>
    <row r="39" spans="1:17">
      <c r="A39" s="55"/>
      <c r="B39" s="55"/>
      <c r="C39" s="55" t="s">
        <v>83</v>
      </c>
      <c r="D39" s="55"/>
      <c r="E39" s="55"/>
      <c r="F39" s="55"/>
      <c r="G39" s="55"/>
      <c r="H39" s="55"/>
      <c r="I39" s="55"/>
      <c r="J39" s="55"/>
      <c r="K39" s="55"/>
      <c r="L39" s="55"/>
      <c r="M39" s="55"/>
      <c r="N39" s="55"/>
      <c r="O39" s="55"/>
      <c r="Q39" s="5" t="s">
        <v>12</v>
      </c>
    </row>
    <row r="40" spans="1:17" ht="45">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
    "BIC must be 8 or 11 characters long",
    IF(COUNTIF('Control Data (Hidden)'!$B$279:$B$335,E39)=0,
        "Warning: Is IBAN Valid?",
        ""
    )
)</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IF(LEN(H39)&gt;16,"Building Number cannot be longer than 16 characters","")</f>
        <v/>
      </c>
      <c r="I40" s="7" t="str">
        <f>IF(LEN(I39)&gt;35,"Building Name cannot be longer than 35 characters","")</f>
        <v/>
      </c>
      <c r="J40" s="7" t="str">
        <f>IF(LEN(J39)&gt;16,"Postal Code cannot be longer than 16 characters","")</f>
        <v/>
      </c>
      <c r="K40" s="7" t="str">
        <f>IF(OR(LEN(K39)&lt;1,LEN(K39)&gt;35),"Town Name must be between 1 and 35 characters long","")</f>
        <v>Town Name must be between 1 and 35 characters long</v>
      </c>
      <c r="L40" s="7" t="str">
        <f>IF(NOT(LEN(L39)=2),"Country Code must be 2 characters long","")</f>
        <v>Country Code must be 2 characters long</v>
      </c>
      <c r="M40" s="7" t="str">
        <f>IF(OR(LEN(M39)&lt;10,LEN(M39)&gt;34),"IBAN may be up to 34 characters long","")</f>
        <v>IBAN may be up to 34 characters long</v>
      </c>
      <c r="N40" s="7" t="str">
        <f>IF(ISBLANK(N39),"Code cannot be left blank","")</f>
        <v>Code cannot be left blank</v>
      </c>
      <c r="O40" s="7" t="str">
        <f>IF(OR(LEN(O39)&lt;1,LEN(O39)&gt;140),"Transaction Details must be between 1 and 140 characters long","")</f>
        <v>Transaction Details must be between 1 and 140 characters long</v>
      </c>
      <c r="Q40" s="1" t="s">
        <v>13</v>
      </c>
    </row>
    <row r="41" spans="1:17">
      <c r="A41" s="55"/>
      <c r="B41" s="55"/>
      <c r="C41" s="55" t="s">
        <v>83</v>
      </c>
      <c r="D41" s="55"/>
      <c r="E41" s="55"/>
      <c r="F41" s="55"/>
      <c r="G41" s="55"/>
      <c r="H41" s="55"/>
      <c r="I41" s="55"/>
      <c r="J41" s="55"/>
      <c r="K41" s="55"/>
      <c r="L41" s="55"/>
      <c r="M41" s="55"/>
      <c r="N41" s="55"/>
      <c r="O41" s="55"/>
      <c r="Q41" s="5" t="s">
        <v>12</v>
      </c>
    </row>
    <row r="42" spans="1:17" ht="45">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
    "BIC must be 8 or 11 characters long",
    IF(COUNTIF('Control Data (Hidden)'!$B$279:$B$335,E41)=0,
        "Warning: Is IBAN Valid?",
        ""
    )
)</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IF(LEN(H41)&gt;16,"Building Number cannot be longer than 16 characters","")</f>
        <v/>
      </c>
      <c r="I42" s="7" t="str">
        <f>IF(LEN(I41)&gt;35,"Building Name cannot be longer than 35 characters","")</f>
        <v/>
      </c>
      <c r="J42" s="7" t="str">
        <f>IF(LEN(J41)&gt;16,"Postal Code cannot be longer than 16 characters","")</f>
        <v/>
      </c>
      <c r="K42" s="7" t="str">
        <f>IF(OR(LEN(K41)&lt;1,LEN(K41)&gt;35),"Town Name must be between 1 and 35 characters long","")</f>
        <v>Town Name must be between 1 and 35 characters long</v>
      </c>
      <c r="L42" s="7" t="str">
        <f>IF(NOT(LEN(L41)=2),"Country Code must be 2 characters long","")</f>
        <v>Country Code must be 2 characters long</v>
      </c>
      <c r="M42" s="7" t="str">
        <f>IF(OR(LEN(M41)&lt;10,LEN(M41)&gt;34),"IBAN may be up to 34 characters long","")</f>
        <v>IBAN may be up to 34 characters long</v>
      </c>
      <c r="N42" s="7" t="str">
        <f>IF(ISBLANK(N41),"Code cannot be left blank","")</f>
        <v>Code cannot be left blank</v>
      </c>
      <c r="O42" s="7" t="str">
        <f>IF(OR(LEN(O41)&lt;1,LEN(O41)&gt;140),"Transaction Details must be between 1 and 140 characters long","")</f>
        <v>Transaction Details must be between 1 and 140 characters long</v>
      </c>
      <c r="Q42" s="1" t="s">
        <v>13</v>
      </c>
    </row>
    <row r="43" spans="1:17">
      <c r="A43" s="55"/>
      <c r="B43" s="55"/>
      <c r="C43" s="55" t="s">
        <v>83</v>
      </c>
      <c r="D43" s="55"/>
      <c r="E43" s="55"/>
      <c r="F43" s="55"/>
      <c r="G43" s="55"/>
      <c r="H43" s="55"/>
      <c r="I43" s="55"/>
      <c r="J43" s="55"/>
      <c r="K43" s="55"/>
      <c r="L43" s="55"/>
      <c r="M43" s="55"/>
      <c r="N43" s="55"/>
      <c r="O43" s="55"/>
      <c r="Q43" s="5" t="s">
        <v>12</v>
      </c>
    </row>
    <row r="44" spans="1:17" ht="45">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
    "BIC must be 8 or 11 characters long",
    IF(COUNTIF('Control Data (Hidden)'!$B$279:$B$335,E43)=0,
        "Warning: Is IBAN Valid?",
        ""
    )
)</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IF(LEN(H43)&gt;16,"Building Number cannot be longer than 16 characters","")</f>
        <v/>
      </c>
      <c r="I44" s="7" t="str">
        <f>IF(LEN(I43)&gt;35,"Building Name cannot be longer than 35 characters","")</f>
        <v/>
      </c>
      <c r="J44" s="7" t="str">
        <f>IF(LEN(J43)&gt;16,"Postal Code cannot be longer than 16 characters","")</f>
        <v/>
      </c>
      <c r="K44" s="7" t="str">
        <f>IF(OR(LEN(K43)&lt;1,LEN(K43)&gt;35),"Town Name must be between 1 and 35 characters long","")</f>
        <v>Town Name must be between 1 and 35 characters long</v>
      </c>
      <c r="L44" s="7" t="str">
        <f>IF(NOT(LEN(L43)=2),"Country Code must be 2 characters long","")</f>
        <v>Country Code must be 2 characters long</v>
      </c>
      <c r="M44" s="7" t="str">
        <f>IF(OR(LEN(M43)&lt;10,LEN(M43)&gt;34),"IBAN may be up to 34 characters long","")</f>
        <v>IBAN may be up to 34 characters long</v>
      </c>
      <c r="N44" s="7" t="str">
        <f>IF(ISBLANK(N43),"Code cannot be left blank","")</f>
        <v>Code cannot be left blank</v>
      </c>
      <c r="O44" s="7" t="str">
        <f>IF(OR(LEN(O43)&lt;1,LEN(O43)&gt;140),"Transaction Details must be between 1 and 140 characters long","")</f>
        <v>Transaction Details must be between 1 and 140 characters long</v>
      </c>
      <c r="Q44" s="1" t="s">
        <v>13</v>
      </c>
    </row>
    <row r="45" spans="1:17">
      <c r="A45" s="55"/>
      <c r="B45" s="55"/>
      <c r="C45" s="55" t="s">
        <v>83</v>
      </c>
      <c r="D45" s="55"/>
      <c r="E45" s="55"/>
      <c r="F45" s="55"/>
      <c r="G45" s="55"/>
      <c r="H45" s="55"/>
      <c r="I45" s="55"/>
      <c r="J45" s="55"/>
      <c r="K45" s="55"/>
      <c r="L45" s="55"/>
      <c r="M45" s="55"/>
      <c r="N45" s="55"/>
      <c r="O45" s="55"/>
      <c r="Q45" s="5" t="s">
        <v>12</v>
      </c>
    </row>
    <row r="46" spans="1:17" ht="45">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
    "BIC must be 8 or 11 characters long",
    IF(COUNTIF('Control Data (Hidden)'!$B$279:$B$335,E45)=0,
        "Warning: Is IBAN Valid?",
        ""
    )
)</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IF(LEN(H45)&gt;16,"Building Number cannot be longer than 16 characters","")</f>
        <v/>
      </c>
      <c r="I46" s="7" t="str">
        <f>IF(LEN(I45)&gt;35,"Building Name cannot be longer than 35 characters","")</f>
        <v/>
      </c>
      <c r="J46" s="7" t="str">
        <f>IF(LEN(J45)&gt;16,"Postal Code cannot be longer than 16 characters","")</f>
        <v/>
      </c>
      <c r="K46" s="7" t="str">
        <f>IF(OR(LEN(K45)&lt;1,LEN(K45)&gt;35),"Town Name must be between 1 and 35 characters long","")</f>
        <v>Town Name must be between 1 and 35 characters long</v>
      </c>
      <c r="L46" s="7" t="str">
        <f>IF(NOT(LEN(L45)=2),"Country Code must be 2 characters long","")</f>
        <v>Country Code must be 2 characters long</v>
      </c>
      <c r="M46" s="7" t="str">
        <f>IF(OR(LEN(M45)&lt;10,LEN(M45)&gt;34),"IBAN may be up to 34 characters long","")</f>
        <v>IBAN may be up to 34 characters long</v>
      </c>
      <c r="N46" s="7" t="str">
        <f>IF(ISBLANK(N45),"Code cannot be left blank","")</f>
        <v>Code cannot be left blank</v>
      </c>
      <c r="O46" s="7" t="str">
        <f>IF(OR(LEN(O45)&lt;1,LEN(O45)&gt;140),"Transaction Details must be between 1 and 140 characters long","")</f>
        <v>Transaction Details must be between 1 and 140 characters long</v>
      </c>
      <c r="Q46" s="1" t="s">
        <v>13</v>
      </c>
    </row>
    <row r="47" spans="1:17">
      <c r="A47" s="55"/>
      <c r="B47" s="55"/>
      <c r="C47" s="55" t="s">
        <v>83</v>
      </c>
      <c r="D47" s="55"/>
      <c r="E47" s="55"/>
      <c r="F47" s="55"/>
      <c r="G47" s="55"/>
      <c r="H47" s="55"/>
      <c r="I47" s="55"/>
      <c r="J47" s="55"/>
      <c r="K47" s="55"/>
      <c r="L47" s="55"/>
      <c r="M47" s="55"/>
      <c r="N47" s="55"/>
      <c r="O47" s="55"/>
      <c r="Q47" s="5" t="s">
        <v>12</v>
      </c>
    </row>
    <row r="48" spans="1:17" ht="45">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
    "BIC must be 8 or 11 characters long",
    IF(COUNTIF('Control Data (Hidden)'!$B$279:$B$335,E47)=0,
        "Warning: Is IBAN Valid?",
        ""
    )
)</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IF(LEN(H47)&gt;16,"Building Number cannot be longer than 16 characters","")</f>
        <v/>
      </c>
      <c r="I48" s="7" t="str">
        <f>IF(LEN(I47)&gt;35,"Building Name cannot be longer than 35 characters","")</f>
        <v/>
      </c>
      <c r="J48" s="7" t="str">
        <f>IF(LEN(J47)&gt;16,"Postal Code cannot be longer than 16 characters","")</f>
        <v/>
      </c>
      <c r="K48" s="7" t="str">
        <f>IF(OR(LEN(K47)&lt;1,LEN(K47)&gt;35),"Town Name must be between 1 and 35 characters long","")</f>
        <v>Town Name must be between 1 and 35 characters long</v>
      </c>
      <c r="L48" s="7" t="str">
        <f>IF(NOT(LEN(L47)=2),"Country Code must be 2 characters long","")</f>
        <v>Country Code must be 2 characters long</v>
      </c>
      <c r="M48" s="7" t="str">
        <f>IF(OR(LEN(M47)&lt;10,LEN(M47)&gt;34),"IBAN may be up to 34 characters long","")</f>
        <v>IBAN may be up to 34 characters long</v>
      </c>
      <c r="N48" s="7" t="str">
        <f>IF(ISBLANK(N47),"Code cannot be left blank","")</f>
        <v>Code cannot be left blank</v>
      </c>
      <c r="O48" s="7" t="str">
        <f>IF(OR(LEN(O47)&lt;1,LEN(O47)&gt;140),"Transaction Details must be between 1 and 140 characters long","")</f>
        <v>Transaction Details must be between 1 and 140 characters long</v>
      </c>
      <c r="Q48" s="1" t="s">
        <v>13</v>
      </c>
    </row>
    <row r="49" spans="1:17">
      <c r="A49" s="55"/>
      <c r="B49" s="55"/>
      <c r="C49" s="55" t="s">
        <v>83</v>
      </c>
      <c r="D49" s="55"/>
      <c r="E49" s="55"/>
      <c r="F49" s="55"/>
      <c r="G49" s="55"/>
      <c r="H49" s="55"/>
      <c r="I49" s="55"/>
      <c r="J49" s="55"/>
      <c r="K49" s="55"/>
      <c r="L49" s="55"/>
      <c r="M49" s="55"/>
      <c r="N49" s="55"/>
      <c r="O49" s="55"/>
      <c r="Q49" s="5" t="s">
        <v>12</v>
      </c>
    </row>
    <row r="50" spans="1:17" ht="45">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
    "BIC must be 8 or 11 characters long",
    IF(COUNTIF('Control Data (Hidden)'!$B$279:$B$335,E49)=0,
        "Warning: Is IBAN Valid?",
        ""
    )
)</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IF(LEN(H49)&gt;16,"Building Number cannot be longer than 16 characters","")</f>
        <v/>
      </c>
      <c r="I50" s="7" t="str">
        <f>IF(LEN(I49)&gt;35,"Building Name cannot be longer than 35 characters","")</f>
        <v/>
      </c>
      <c r="J50" s="7" t="str">
        <f>IF(LEN(J49)&gt;16,"Postal Code cannot be longer than 16 characters","")</f>
        <v/>
      </c>
      <c r="K50" s="7" t="str">
        <f>IF(OR(LEN(K49)&lt;1,LEN(K49)&gt;35),"Town Name must be between 1 and 35 characters long","")</f>
        <v>Town Name must be between 1 and 35 characters long</v>
      </c>
      <c r="L50" s="7" t="str">
        <f>IF(NOT(LEN(L49)=2),"Country Code must be 2 characters long","")</f>
        <v>Country Code must be 2 characters long</v>
      </c>
      <c r="M50" s="7" t="str">
        <f>IF(OR(LEN(M49)&lt;10,LEN(M49)&gt;34),"IBAN may be up to 34 characters long","")</f>
        <v>IBAN may be up to 34 characters long</v>
      </c>
      <c r="N50" s="7" t="str">
        <f>IF(ISBLANK(N49),"Code cannot be left blank","")</f>
        <v>Code cannot be left blank</v>
      </c>
      <c r="O50" s="7" t="str">
        <f>IF(OR(LEN(O49)&lt;1,LEN(O49)&gt;140),"Transaction Details must be between 1 and 140 characters long","")</f>
        <v>Transaction Details must be between 1 and 140 characters long</v>
      </c>
      <c r="Q50" s="1" t="s">
        <v>13</v>
      </c>
    </row>
    <row r="51" spans="1:17">
      <c r="A51" s="55"/>
      <c r="B51" s="55"/>
      <c r="C51" s="55" t="s">
        <v>83</v>
      </c>
      <c r="D51" s="55"/>
      <c r="E51" s="55"/>
      <c r="F51" s="55"/>
      <c r="G51" s="55"/>
      <c r="H51" s="55"/>
      <c r="I51" s="55"/>
      <c r="J51" s="55"/>
      <c r="K51" s="55"/>
      <c r="L51" s="55"/>
      <c r="M51" s="55"/>
      <c r="N51" s="55"/>
      <c r="O51" s="55"/>
      <c r="Q51" s="5" t="s">
        <v>12</v>
      </c>
    </row>
    <row r="52" spans="1:17" ht="45">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
    "BIC must be 8 or 11 characters long",
    IF(COUNTIF('Control Data (Hidden)'!$B$279:$B$335,E51)=0,
        "Warning: Is IBAN Valid?",
        ""
    )
)</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IF(LEN(H51)&gt;16,"Building Number cannot be longer than 16 characters","")</f>
        <v/>
      </c>
      <c r="I52" s="7" t="str">
        <f>IF(LEN(I51)&gt;35,"Building Name cannot be longer than 35 characters","")</f>
        <v/>
      </c>
      <c r="J52" s="7" t="str">
        <f>IF(LEN(J51)&gt;16,"Postal Code cannot be longer than 16 characters","")</f>
        <v/>
      </c>
      <c r="K52" s="7" t="str">
        <f>IF(OR(LEN(K51)&lt;1,LEN(K51)&gt;35),"Town Name must be between 1 and 35 characters long","")</f>
        <v>Town Name must be between 1 and 35 characters long</v>
      </c>
      <c r="L52" s="7" t="str">
        <f>IF(NOT(LEN(L51)=2),"Country Code must be 2 characters long","")</f>
        <v>Country Code must be 2 characters long</v>
      </c>
      <c r="M52" s="7" t="str">
        <f>IF(OR(LEN(M51)&lt;10,LEN(M51)&gt;34),"IBAN may be up to 34 characters long","")</f>
        <v>IBAN may be up to 34 characters long</v>
      </c>
      <c r="N52" s="7" t="str">
        <f>IF(ISBLANK(N51),"Code cannot be left blank","")</f>
        <v>Code cannot be left blank</v>
      </c>
      <c r="O52" s="7" t="str">
        <f>IF(OR(LEN(O51)&lt;1,LEN(O51)&gt;140),"Transaction Details must be between 1 and 140 characters long","")</f>
        <v>Transaction Details must be between 1 and 140 characters long</v>
      </c>
      <c r="Q52" s="1" t="s">
        <v>13</v>
      </c>
    </row>
    <row r="53" spans="1:17">
      <c r="A53" s="55"/>
      <c r="B53" s="55"/>
      <c r="C53" s="55" t="s">
        <v>83</v>
      </c>
      <c r="D53" s="55"/>
      <c r="E53" s="55"/>
      <c r="F53" s="55"/>
      <c r="G53" s="55"/>
      <c r="H53" s="55"/>
      <c r="I53" s="55"/>
      <c r="J53" s="55"/>
      <c r="K53" s="55"/>
      <c r="L53" s="55"/>
      <c r="M53" s="55"/>
      <c r="N53" s="55"/>
      <c r="O53" s="55"/>
      <c r="Q53" s="5" t="s">
        <v>12</v>
      </c>
    </row>
    <row r="54" spans="1:17" ht="45">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
    "BIC must be 8 or 11 characters long",
    IF(COUNTIF('Control Data (Hidden)'!$B$279:$B$335,E53)=0,
        "Warning: Is IBAN Valid?",
        ""
    )
)</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IF(LEN(H53)&gt;16,"Building Number cannot be longer than 16 characters","")</f>
        <v/>
      </c>
      <c r="I54" s="7" t="str">
        <f>IF(LEN(I53)&gt;35,"Building Name cannot be longer than 35 characters","")</f>
        <v/>
      </c>
      <c r="J54" s="7" t="str">
        <f>IF(LEN(J53)&gt;16,"Postal Code cannot be longer than 16 characters","")</f>
        <v/>
      </c>
      <c r="K54" s="7" t="str">
        <f>IF(OR(LEN(K53)&lt;1,LEN(K53)&gt;35),"Town Name must be between 1 and 35 characters long","")</f>
        <v>Town Name must be between 1 and 35 characters long</v>
      </c>
      <c r="L54" s="7" t="str">
        <f>IF(NOT(LEN(L53)=2),"Country Code must be 2 characters long","")</f>
        <v>Country Code must be 2 characters long</v>
      </c>
      <c r="M54" s="7" t="str">
        <f>IF(OR(LEN(M53)&lt;10,LEN(M53)&gt;34),"IBAN may be up to 34 characters long","")</f>
        <v>IBAN may be up to 34 characters long</v>
      </c>
      <c r="N54" s="7" t="str">
        <f>IF(ISBLANK(N53),"Code cannot be left blank","")</f>
        <v>Code cannot be left blank</v>
      </c>
      <c r="O54" s="7" t="str">
        <f>IF(OR(LEN(O53)&lt;1,LEN(O53)&gt;140),"Transaction Details must be between 1 and 140 characters long","")</f>
        <v>Transaction Details must be between 1 and 140 characters long</v>
      </c>
      <c r="Q54" s="1" t="s">
        <v>13</v>
      </c>
    </row>
    <row r="55" spans="1:17">
      <c r="A55" s="55"/>
      <c r="B55" s="55"/>
      <c r="C55" s="55" t="s">
        <v>83</v>
      </c>
      <c r="D55" s="55"/>
      <c r="E55" s="55"/>
      <c r="F55" s="55"/>
      <c r="G55" s="55"/>
      <c r="H55" s="55"/>
      <c r="I55" s="55"/>
      <c r="J55" s="55"/>
      <c r="K55" s="55"/>
      <c r="L55" s="55"/>
      <c r="M55" s="55"/>
      <c r="N55" s="55"/>
      <c r="O55" s="55"/>
      <c r="Q55" s="5" t="s">
        <v>12</v>
      </c>
    </row>
    <row r="56" spans="1:17" ht="45">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
    "BIC must be 8 or 11 characters long",
    IF(COUNTIF('Control Data (Hidden)'!$B$279:$B$335,E55)=0,
        "Warning: Is IBAN Valid?",
        ""
    )
)</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IF(LEN(H55)&gt;16,"Building Number cannot be longer than 16 characters","")</f>
        <v/>
      </c>
      <c r="I56" s="7" t="str">
        <f>IF(LEN(I55)&gt;35,"Building Name cannot be longer than 35 characters","")</f>
        <v/>
      </c>
      <c r="J56" s="7" t="str">
        <f>IF(LEN(J55)&gt;16,"Postal Code cannot be longer than 16 characters","")</f>
        <v/>
      </c>
      <c r="K56" s="7" t="str">
        <f>IF(OR(LEN(K55)&lt;1,LEN(K55)&gt;35),"Town Name must be between 1 and 35 characters long","")</f>
        <v>Town Name must be between 1 and 35 characters long</v>
      </c>
      <c r="L56" s="7" t="str">
        <f>IF(NOT(LEN(L55)=2),"Country Code must be 2 characters long","")</f>
        <v>Country Code must be 2 characters long</v>
      </c>
      <c r="M56" s="7" t="str">
        <f>IF(OR(LEN(M55)&lt;10,LEN(M55)&gt;34),"IBAN may be up to 34 characters long","")</f>
        <v>IBAN may be up to 34 characters long</v>
      </c>
      <c r="N56" s="7" t="str">
        <f>IF(ISBLANK(N55),"Code cannot be left blank","")</f>
        <v>Code cannot be left blank</v>
      </c>
      <c r="O56" s="7" t="str">
        <f>IF(OR(LEN(O55)&lt;1,LEN(O55)&gt;140),"Transaction Details must be between 1 and 140 characters long","")</f>
        <v>Transaction Details must be between 1 and 140 characters long</v>
      </c>
      <c r="Q56" s="1" t="s">
        <v>13</v>
      </c>
    </row>
    <row r="57" spans="1:17">
      <c r="A57" s="55"/>
      <c r="B57" s="55"/>
      <c r="C57" s="55" t="s">
        <v>83</v>
      </c>
      <c r="D57" s="55"/>
      <c r="E57" s="55"/>
      <c r="F57" s="55"/>
      <c r="G57" s="55"/>
      <c r="H57" s="55"/>
      <c r="I57" s="55"/>
      <c r="J57" s="55"/>
      <c r="K57" s="55"/>
      <c r="L57" s="55"/>
      <c r="M57" s="55"/>
      <c r="N57" s="55"/>
      <c r="O57" s="55"/>
      <c r="Q57" s="5" t="s">
        <v>12</v>
      </c>
    </row>
    <row r="58" spans="1:17" ht="45">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
    "BIC must be 8 or 11 characters long",
    IF(COUNTIF('Control Data (Hidden)'!$B$279:$B$335,E57)=0,
        "Warning: Is IBAN Valid?",
        ""
    )
)</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IF(LEN(H57)&gt;16,"Building Number cannot be longer than 16 characters","")</f>
        <v/>
      </c>
      <c r="I58" s="7" t="str">
        <f>IF(LEN(I57)&gt;35,"Building Name cannot be longer than 35 characters","")</f>
        <v/>
      </c>
      <c r="J58" s="7" t="str">
        <f>IF(LEN(J57)&gt;16,"Postal Code cannot be longer than 16 characters","")</f>
        <v/>
      </c>
      <c r="K58" s="7" t="str">
        <f>IF(OR(LEN(K57)&lt;1,LEN(K57)&gt;35),"Town Name must be between 1 and 35 characters long","")</f>
        <v>Town Name must be between 1 and 35 characters long</v>
      </c>
      <c r="L58" s="7" t="str">
        <f>IF(NOT(LEN(L57)=2),"Country Code must be 2 characters long","")</f>
        <v>Country Code must be 2 characters long</v>
      </c>
      <c r="M58" s="7" t="str">
        <f>IF(OR(LEN(M57)&lt;10,LEN(M57)&gt;34),"IBAN may be up to 34 characters long","")</f>
        <v>IBAN may be up to 34 characters long</v>
      </c>
      <c r="N58" s="7" t="str">
        <f>IF(ISBLANK(N57),"Code cannot be left blank","")</f>
        <v>Code cannot be left blank</v>
      </c>
      <c r="O58" s="7" t="str">
        <f>IF(OR(LEN(O57)&lt;1,LEN(O57)&gt;140),"Transaction Details must be between 1 and 140 characters long","")</f>
        <v>Transaction Details must be between 1 and 140 characters long</v>
      </c>
      <c r="Q58" s="1" t="s">
        <v>13</v>
      </c>
    </row>
    <row r="59" spans="1:17">
      <c r="A59" s="55"/>
      <c r="B59" s="55"/>
      <c r="C59" s="55" t="s">
        <v>83</v>
      </c>
      <c r="D59" s="55"/>
      <c r="E59" s="55"/>
      <c r="F59" s="55"/>
      <c r="G59" s="55"/>
      <c r="H59" s="55"/>
      <c r="I59" s="55"/>
      <c r="J59" s="55"/>
      <c r="K59" s="55"/>
      <c r="L59" s="55"/>
      <c r="M59" s="55"/>
      <c r="N59" s="55"/>
      <c r="O59" s="55"/>
      <c r="Q59" s="5" t="s">
        <v>12</v>
      </c>
    </row>
    <row r="60" spans="1:17" ht="45">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
    "BIC must be 8 or 11 characters long",
    IF(COUNTIF('Control Data (Hidden)'!$B$279:$B$335,E59)=0,
        "Warning: Is IBAN Valid?",
        ""
    )
)</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IF(LEN(H59)&gt;16,"Building Number cannot be longer than 16 characters","")</f>
        <v/>
      </c>
      <c r="I60" s="7" t="str">
        <f>IF(LEN(I59)&gt;35,"Building Name cannot be longer than 35 characters","")</f>
        <v/>
      </c>
      <c r="J60" s="7" t="str">
        <f>IF(LEN(J59)&gt;16,"Postal Code cannot be longer than 16 characters","")</f>
        <v/>
      </c>
      <c r="K60" s="7" t="str">
        <f>IF(OR(LEN(K59)&lt;1,LEN(K59)&gt;35),"Town Name must be between 1 and 35 characters long","")</f>
        <v>Town Name must be between 1 and 35 characters long</v>
      </c>
      <c r="L60" s="7" t="str">
        <f>IF(NOT(LEN(L59)=2),"Country Code must be 2 characters long","")</f>
        <v>Country Code must be 2 characters long</v>
      </c>
      <c r="M60" s="7" t="str">
        <f>IF(OR(LEN(M59)&lt;10,LEN(M59)&gt;34),"IBAN may be up to 34 characters long","")</f>
        <v>IBAN may be up to 34 characters long</v>
      </c>
      <c r="N60" s="7" t="str">
        <f>IF(ISBLANK(N59),"Code cannot be left blank","")</f>
        <v>Code cannot be left blank</v>
      </c>
      <c r="O60" s="7" t="str">
        <f>IF(OR(LEN(O59)&lt;1,LEN(O59)&gt;140),"Transaction Details must be between 1 and 140 characters long","")</f>
        <v>Transaction Details must be between 1 and 140 characters long</v>
      </c>
      <c r="Q60" s="1" t="s">
        <v>13</v>
      </c>
    </row>
    <row r="61" spans="1:17">
      <c r="A61" s="55"/>
      <c r="B61" s="55"/>
      <c r="C61" s="55" t="s">
        <v>83</v>
      </c>
      <c r="D61" s="55"/>
      <c r="E61" s="55"/>
      <c r="F61" s="55"/>
      <c r="G61" s="55"/>
      <c r="H61" s="55"/>
      <c r="I61" s="55"/>
      <c r="J61" s="55"/>
      <c r="K61" s="55"/>
      <c r="L61" s="55"/>
      <c r="M61" s="55"/>
      <c r="N61" s="55"/>
      <c r="O61" s="55"/>
      <c r="Q61" s="5" t="s">
        <v>12</v>
      </c>
    </row>
    <row r="62" spans="1:17" ht="45">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
    "BIC must be 8 or 11 characters long",
    IF(COUNTIF('Control Data (Hidden)'!$B$279:$B$335,E61)=0,
        "Warning: Is IBAN Valid?",
        ""
    )
)</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IF(LEN(H61)&gt;16,"Building Number cannot be longer than 16 characters","")</f>
        <v/>
      </c>
      <c r="I62" s="7" t="str">
        <f>IF(LEN(I61)&gt;35,"Building Name cannot be longer than 35 characters","")</f>
        <v/>
      </c>
      <c r="J62" s="7" t="str">
        <f>IF(LEN(J61)&gt;16,"Postal Code cannot be longer than 16 characters","")</f>
        <v/>
      </c>
      <c r="K62" s="7" t="str">
        <f>IF(OR(LEN(K61)&lt;1,LEN(K61)&gt;35),"Town Name must be between 1 and 35 characters long","")</f>
        <v>Town Name must be between 1 and 35 characters long</v>
      </c>
      <c r="L62" s="7" t="str">
        <f>IF(NOT(LEN(L61)=2),"Country Code must be 2 characters long","")</f>
        <v>Country Code must be 2 characters long</v>
      </c>
      <c r="M62" s="7" t="str">
        <f>IF(OR(LEN(M61)&lt;10,LEN(M61)&gt;34),"IBAN may be up to 34 characters long","")</f>
        <v>IBAN may be up to 34 characters long</v>
      </c>
      <c r="N62" s="7" t="str">
        <f>IF(ISBLANK(N61),"Code cannot be left blank","")</f>
        <v>Code cannot be left blank</v>
      </c>
      <c r="O62" s="7" t="str">
        <f>IF(OR(LEN(O61)&lt;1,LEN(O61)&gt;140),"Transaction Details must be between 1 and 140 characters long","")</f>
        <v>Transaction Details must be between 1 and 140 characters long</v>
      </c>
      <c r="Q62" s="1" t="s">
        <v>13</v>
      </c>
    </row>
    <row r="63" spans="1:17">
      <c r="A63" s="55"/>
      <c r="B63" s="55"/>
      <c r="C63" s="55" t="s">
        <v>83</v>
      </c>
      <c r="D63" s="55"/>
      <c r="E63" s="55"/>
      <c r="F63" s="55"/>
      <c r="G63" s="55"/>
      <c r="H63" s="55"/>
      <c r="I63" s="55"/>
      <c r="J63" s="55"/>
      <c r="K63" s="55"/>
      <c r="L63" s="55"/>
      <c r="M63" s="55"/>
      <c r="N63" s="55"/>
      <c r="O63" s="55"/>
      <c r="Q63" s="5" t="s">
        <v>12</v>
      </c>
    </row>
    <row r="64" spans="1:17" ht="45">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
    "BIC must be 8 or 11 characters long",
    IF(COUNTIF('Control Data (Hidden)'!$B$279:$B$335,E63)=0,
        "Warning: Is IBAN Valid?",
        ""
    )
)</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IF(LEN(H63)&gt;16,"Building Number cannot be longer than 16 characters","")</f>
        <v/>
      </c>
      <c r="I64" s="7" t="str">
        <f>IF(LEN(I63)&gt;35,"Building Name cannot be longer than 35 characters","")</f>
        <v/>
      </c>
      <c r="J64" s="7" t="str">
        <f>IF(LEN(J63)&gt;16,"Postal Code cannot be longer than 16 characters","")</f>
        <v/>
      </c>
      <c r="K64" s="7" t="str">
        <f>IF(OR(LEN(K63)&lt;1,LEN(K63)&gt;35),"Town Name must be between 1 and 35 characters long","")</f>
        <v>Town Name must be between 1 and 35 characters long</v>
      </c>
      <c r="L64" s="7" t="str">
        <f>IF(NOT(LEN(L63)=2),"Country Code must be 2 characters long","")</f>
        <v>Country Code must be 2 characters long</v>
      </c>
      <c r="M64" s="7" t="str">
        <f>IF(OR(LEN(M63)&lt;10,LEN(M63)&gt;34),"IBAN may be up to 34 characters long","")</f>
        <v>IBAN may be up to 34 characters long</v>
      </c>
      <c r="N64" s="7" t="str">
        <f>IF(ISBLANK(N63),"Code cannot be left blank","")</f>
        <v>Code cannot be left blank</v>
      </c>
      <c r="O64" s="7" t="str">
        <f>IF(OR(LEN(O63)&lt;1,LEN(O63)&gt;140),"Transaction Details must be between 1 and 140 characters long","")</f>
        <v>Transaction Details must be between 1 and 140 characters long</v>
      </c>
      <c r="Q64" s="1" t="s">
        <v>13</v>
      </c>
    </row>
    <row r="65" spans="1:17">
      <c r="A65" s="55"/>
      <c r="B65" s="55"/>
      <c r="C65" s="55" t="s">
        <v>83</v>
      </c>
      <c r="D65" s="55"/>
      <c r="E65" s="55"/>
      <c r="F65" s="55"/>
      <c r="G65" s="55"/>
      <c r="H65" s="55"/>
      <c r="I65" s="55"/>
      <c r="J65" s="55"/>
      <c r="K65" s="55"/>
      <c r="L65" s="55"/>
      <c r="M65" s="55"/>
      <c r="N65" s="55"/>
      <c r="O65" s="55"/>
      <c r="Q65" s="5" t="s">
        <v>12</v>
      </c>
    </row>
    <row r="66" spans="1:17" ht="45">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
    "BIC must be 8 or 11 characters long",
    IF(COUNTIF('Control Data (Hidden)'!$B$279:$B$335,E65)=0,
        "Warning: Is IBAN Valid?",
        ""
    )
)</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IF(LEN(H65)&gt;16,"Building Number cannot be longer than 16 characters","")</f>
        <v/>
      </c>
      <c r="I66" s="7" t="str">
        <f>IF(LEN(I65)&gt;35,"Building Name cannot be longer than 35 characters","")</f>
        <v/>
      </c>
      <c r="J66" s="7" t="str">
        <f>IF(LEN(J65)&gt;16,"Postal Code cannot be longer than 16 characters","")</f>
        <v/>
      </c>
      <c r="K66" s="7" t="str">
        <f>IF(OR(LEN(K65)&lt;1,LEN(K65)&gt;35),"Town Name must be between 1 and 35 characters long","")</f>
        <v>Town Name must be between 1 and 35 characters long</v>
      </c>
      <c r="L66" s="7" t="str">
        <f>IF(NOT(LEN(L65)=2),"Country Code must be 2 characters long","")</f>
        <v>Country Code must be 2 characters long</v>
      </c>
      <c r="M66" s="7" t="str">
        <f>IF(OR(LEN(M65)&lt;10,LEN(M65)&gt;34),"IBAN may be up to 34 characters long","")</f>
        <v>IBAN may be up to 34 characters long</v>
      </c>
      <c r="N66" s="7" t="str">
        <f>IF(ISBLANK(N65),"Code cannot be left blank","")</f>
        <v>Code cannot be left blank</v>
      </c>
      <c r="O66" s="7" t="str">
        <f>IF(OR(LEN(O65)&lt;1,LEN(O65)&gt;140),"Transaction Details must be between 1 and 140 characters long","")</f>
        <v>Transaction Details must be between 1 and 140 characters long</v>
      </c>
      <c r="Q66" s="1" t="s">
        <v>13</v>
      </c>
    </row>
    <row r="67" spans="1:17">
      <c r="A67" s="55"/>
      <c r="B67" s="55"/>
      <c r="C67" s="55" t="s">
        <v>83</v>
      </c>
      <c r="D67" s="55"/>
      <c r="E67" s="55"/>
      <c r="F67" s="55"/>
      <c r="G67" s="55"/>
      <c r="H67" s="55"/>
      <c r="I67" s="55"/>
      <c r="J67" s="55"/>
      <c r="K67" s="55"/>
      <c r="L67" s="55"/>
      <c r="M67" s="55"/>
      <c r="N67" s="55"/>
      <c r="O67" s="55"/>
      <c r="Q67" s="5" t="s">
        <v>12</v>
      </c>
    </row>
    <row r="68" spans="1:17" ht="45">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
    "BIC must be 8 or 11 characters long",
    IF(COUNTIF('Control Data (Hidden)'!$B$279:$B$335,E67)=0,
        "Warning: Is IBAN Valid?",
        ""
    )
)</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IF(LEN(H67)&gt;16,"Building Number cannot be longer than 16 characters","")</f>
        <v/>
      </c>
      <c r="I68" s="7" t="str">
        <f>IF(LEN(I67)&gt;35,"Building Name cannot be longer than 35 characters","")</f>
        <v/>
      </c>
      <c r="J68" s="7" t="str">
        <f>IF(LEN(J67)&gt;16,"Postal Code cannot be longer than 16 characters","")</f>
        <v/>
      </c>
      <c r="K68" s="7" t="str">
        <f>IF(OR(LEN(K67)&lt;1,LEN(K67)&gt;35),"Town Name must be between 1 and 35 characters long","")</f>
        <v>Town Name must be between 1 and 35 characters long</v>
      </c>
      <c r="L68" s="7" t="str">
        <f>IF(NOT(LEN(L67)=2),"Country Code must be 2 characters long","")</f>
        <v>Country Code must be 2 characters long</v>
      </c>
      <c r="M68" s="7" t="str">
        <f>IF(OR(LEN(M67)&lt;10,LEN(M67)&gt;34),"IBAN may be up to 34 characters long","")</f>
        <v>IBAN may be up to 34 characters long</v>
      </c>
      <c r="N68" s="7" t="str">
        <f>IF(ISBLANK(N67),"Code cannot be left blank","")</f>
        <v>Code cannot be left blank</v>
      </c>
      <c r="O68" s="7" t="str">
        <f>IF(OR(LEN(O67)&lt;1,LEN(O67)&gt;140),"Transaction Details must be between 1 and 140 characters long","")</f>
        <v>Transaction Details must be between 1 and 140 characters long</v>
      </c>
      <c r="Q68" s="1" t="s">
        <v>13</v>
      </c>
    </row>
    <row r="69" spans="1:17">
      <c r="A69" s="55"/>
      <c r="B69" s="55"/>
      <c r="C69" s="55" t="s">
        <v>83</v>
      </c>
      <c r="D69" s="55"/>
      <c r="E69" s="55"/>
      <c r="F69" s="55"/>
      <c r="G69" s="55"/>
      <c r="H69" s="55"/>
      <c r="I69" s="55"/>
      <c r="J69" s="55"/>
      <c r="K69" s="55"/>
      <c r="L69" s="55"/>
      <c r="M69" s="55"/>
      <c r="N69" s="55"/>
      <c r="O69" s="55"/>
      <c r="Q69" s="5" t="s">
        <v>12</v>
      </c>
    </row>
    <row r="70" spans="1:17" ht="45">
      <c r="A70" s="7" t="str">
        <f>IF(OR(LEN(A69)&lt;1,LEN(A69)&gt;35),"Transaction Identification must be between 1 and 35 characters long","")</f>
        <v>Transaction Identification must be between 1 and 35 characters long</v>
      </c>
      <c r="B70" s="7" t="str">
        <f>IF(OR(LEN(B69)&lt;1,LEN(B69)&gt;35),"Uniqie Identification must be between 1 and 35 characters long","")</f>
        <v>Uniqie Identification must be between 1 and 35 characters long</v>
      </c>
      <c r="D70" s="7" t="str">
        <f>IF(OR(D69&lt;0.01,D69&gt;9999999999999990),"Transaction Amount is not valid","")</f>
        <v>Transaction Amount is not valid</v>
      </c>
      <c r="E70" s="7" t="str">
        <f>IF(AND(LEN(E69)&lt;&gt;8,LEN(E69)&lt;&gt;11),
    "BIC must be 8 or 11 characters long",
    IF(COUNTIF('Control Data (Hidden)'!$B$279:$B$335,E69)=0,
        "Warning: Is IBAN Valid?",
        ""
    )
)</f>
        <v>BIC must be 8 or 11 characters long</v>
      </c>
      <c r="F70" s="7" t="str">
        <f>IF(OR(LEN(F69)&lt;1,LEN(F69)&gt;70),"Creditor's Name must be between 1 and 70 characters long","")</f>
        <v>Creditor's Name must be between 1 and 70 characters long</v>
      </c>
      <c r="G70" s="7" t="str">
        <f>IF(LEN(G69)&gt;70,"Address cannot be longer than 70 characters","")</f>
        <v/>
      </c>
      <c r="H70" s="7" t="str">
        <f>IF(LEN(H69)&gt;16,"Building Number cannot be longer than 16 characters","")</f>
        <v/>
      </c>
      <c r="I70" s="7" t="str">
        <f>IF(LEN(I69)&gt;35,"Building Name cannot be longer than 35 characters","")</f>
        <v/>
      </c>
      <c r="J70" s="7" t="str">
        <f>IF(LEN(J69)&gt;16,"Postal Code cannot be longer than 16 characters","")</f>
        <v/>
      </c>
      <c r="K70" s="7" t="str">
        <f>IF(OR(LEN(K69)&lt;1,LEN(K69)&gt;35),"Town Name must be between 1 and 35 characters long","")</f>
        <v>Town Name must be between 1 and 35 characters long</v>
      </c>
      <c r="L70" s="7" t="str">
        <f>IF(NOT(LEN(L69)=2),"Country Code must be 2 characters long","")</f>
        <v>Country Code must be 2 characters long</v>
      </c>
      <c r="M70" s="7" t="str">
        <f>IF(OR(LEN(M69)&lt;10,LEN(M69)&gt;34),"IBAN may be up to 34 characters long","")</f>
        <v>IBAN may be up to 34 characters long</v>
      </c>
      <c r="N70" s="7" t="str">
        <f>IF(ISBLANK(N69),"Code cannot be left blank","")</f>
        <v>Code cannot be left blank</v>
      </c>
      <c r="O70" s="7" t="str">
        <f>IF(OR(LEN(O69)&lt;1,LEN(O69)&gt;140),"Transaction Details must be between 1 and 140 characters long","")</f>
        <v>Transaction Details must be between 1 and 140 characters long</v>
      </c>
      <c r="Q70" s="1" t="s">
        <v>13</v>
      </c>
    </row>
    <row r="71" spans="1:17">
      <c r="A71" s="55"/>
      <c r="B71" s="55"/>
      <c r="C71" s="55" t="s">
        <v>83</v>
      </c>
      <c r="D71" s="55"/>
      <c r="E71" s="55"/>
      <c r="F71" s="55"/>
      <c r="G71" s="55"/>
      <c r="H71" s="55"/>
      <c r="I71" s="55"/>
      <c r="J71" s="55"/>
      <c r="K71" s="55"/>
      <c r="L71" s="55"/>
      <c r="M71" s="55"/>
      <c r="N71" s="55"/>
      <c r="O71" s="55"/>
      <c r="Q71" s="5" t="s">
        <v>12</v>
      </c>
    </row>
    <row r="72" spans="1:17" ht="45">
      <c r="A72" s="7" t="str">
        <f>IF(OR(LEN(A71)&lt;1,LEN(A71)&gt;35),"Transaction Identification must be between 1 and 35 characters long","")</f>
        <v>Transaction Identification must be between 1 and 35 characters long</v>
      </c>
      <c r="B72" s="7" t="str">
        <f>IF(OR(LEN(B71)&lt;1,LEN(B71)&gt;35),"Uniqie Identification must be between 1 and 35 characters long","")</f>
        <v>Uniqie Identification must be between 1 and 35 characters long</v>
      </c>
      <c r="D72" s="7" t="str">
        <f>IF(OR(D71&lt;0.01,D71&gt;9999999999999990),"Transaction Amount is not valid","")</f>
        <v>Transaction Amount is not valid</v>
      </c>
      <c r="E72" s="7" t="str">
        <f>IF(AND(LEN(E71)&lt;&gt;8,LEN(E71)&lt;&gt;11),
    "BIC must be 8 or 11 characters long",
    IF(COUNTIF('Control Data (Hidden)'!$B$279:$B$335,E71)=0,
        "Warning: Is IBAN Valid?",
        ""
    )
)</f>
        <v>BIC must be 8 or 11 characters long</v>
      </c>
      <c r="F72" s="7" t="str">
        <f>IF(OR(LEN(F71)&lt;1,LEN(F71)&gt;70),"Creditor's Name must be between 1 and 70 characters long","")</f>
        <v>Creditor's Name must be between 1 and 70 characters long</v>
      </c>
      <c r="G72" s="7" t="str">
        <f>IF(LEN(G71)&gt;70,"Address cannot be longer than 70 characters","")</f>
        <v/>
      </c>
      <c r="H72" s="7" t="str">
        <f>IF(LEN(H71)&gt;16,"Building Number cannot be longer than 16 characters","")</f>
        <v/>
      </c>
      <c r="I72" s="7" t="str">
        <f>IF(LEN(I71)&gt;35,"Building Name cannot be longer than 35 characters","")</f>
        <v/>
      </c>
      <c r="J72" s="7" t="str">
        <f>IF(LEN(J71)&gt;16,"Postal Code cannot be longer than 16 characters","")</f>
        <v/>
      </c>
      <c r="K72" s="7" t="str">
        <f>IF(OR(LEN(K71)&lt;1,LEN(K71)&gt;35),"Town Name must be between 1 and 35 characters long","")</f>
        <v>Town Name must be between 1 and 35 characters long</v>
      </c>
      <c r="L72" s="7" t="str">
        <f>IF(NOT(LEN(L71)=2),"Country Code must be 2 characters long","")</f>
        <v>Country Code must be 2 characters long</v>
      </c>
      <c r="M72" s="7" t="str">
        <f>IF(OR(LEN(M71)&lt;10,LEN(M71)&gt;34),"IBAN may be up to 34 characters long","")</f>
        <v>IBAN may be up to 34 characters long</v>
      </c>
      <c r="N72" s="7" t="str">
        <f>IF(ISBLANK(N71),"Code cannot be left blank","")</f>
        <v>Code cannot be left blank</v>
      </c>
      <c r="O72" s="7" t="str">
        <f>IF(OR(LEN(O71)&lt;1,LEN(O71)&gt;140),"Transaction Details must be between 1 and 140 characters long","")</f>
        <v>Transaction Details must be between 1 and 140 characters long</v>
      </c>
      <c r="Q72" s="1" t="s">
        <v>13</v>
      </c>
    </row>
    <row r="73" spans="1:17">
      <c r="A73" s="55"/>
      <c r="B73" s="55"/>
      <c r="C73" s="55" t="s">
        <v>83</v>
      </c>
      <c r="D73" s="55"/>
      <c r="E73" s="55"/>
      <c r="F73" s="55"/>
      <c r="G73" s="55"/>
      <c r="H73" s="55"/>
      <c r="I73" s="55"/>
      <c r="J73" s="55"/>
      <c r="K73" s="55"/>
      <c r="L73" s="55"/>
      <c r="M73" s="55"/>
      <c r="N73" s="55"/>
      <c r="O73" s="55"/>
      <c r="Q73" s="5" t="s">
        <v>12</v>
      </c>
    </row>
    <row r="74" spans="1:17" ht="45">
      <c r="A74" s="7" t="str">
        <f>IF(OR(LEN(A73)&lt;1,LEN(A73)&gt;35),"Transaction Identification must be between 1 and 35 characters long","")</f>
        <v>Transaction Identification must be between 1 and 35 characters long</v>
      </c>
      <c r="B74" s="7" t="str">
        <f>IF(OR(LEN(B73)&lt;1,LEN(B73)&gt;35),"Uniqie Identification must be between 1 and 35 characters long","")</f>
        <v>Uniqie Identification must be between 1 and 35 characters long</v>
      </c>
      <c r="D74" s="7" t="str">
        <f>IF(OR(D73&lt;0.01,D73&gt;9999999999999990),"Transaction Amount is not valid","")</f>
        <v>Transaction Amount is not valid</v>
      </c>
      <c r="E74" s="7" t="str">
        <f>IF(AND(LEN(E73)&lt;&gt;8,LEN(E73)&lt;&gt;11),
    "BIC must be 8 or 11 characters long",
    IF(COUNTIF('Control Data (Hidden)'!$B$279:$B$335,E73)=0,
        "Warning: Is IBAN Valid?",
        ""
    )
)</f>
        <v>BIC must be 8 or 11 characters long</v>
      </c>
      <c r="F74" s="7" t="str">
        <f>IF(OR(LEN(F73)&lt;1,LEN(F73)&gt;70),"Creditor's Name must be between 1 and 70 characters long","")</f>
        <v>Creditor's Name must be between 1 and 70 characters long</v>
      </c>
      <c r="G74" s="7" t="str">
        <f>IF(LEN(G73)&gt;70,"Address cannot be longer than 70 characters","")</f>
        <v/>
      </c>
      <c r="H74" s="7" t="str">
        <f>IF(LEN(H73)&gt;16,"Building Number cannot be longer than 16 characters","")</f>
        <v/>
      </c>
      <c r="I74" s="7" t="str">
        <f>IF(LEN(I73)&gt;35,"Building Name cannot be longer than 35 characters","")</f>
        <v/>
      </c>
      <c r="J74" s="7" t="str">
        <f>IF(LEN(J73)&gt;16,"Postal Code cannot be longer than 16 characters","")</f>
        <v/>
      </c>
      <c r="K74" s="7" t="str">
        <f>IF(OR(LEN(K73)&lt;1,LEN(K73)&gt;35),"Town Name must be between 1 and 35 characters long","")</f>
        <v>Town Name must be between 1 and 35 characters long</v>
      </c>
      <c r="L74" s="7" t="str">
        <f>IF(NOT(LEN(L73)=2),"Country Code must be 2 characters long","")</f>
        <v>Country Code must be 2 characters long</v>
      </c>
      <c r="M74" s="7" t="str">
        <f>IF(OR(LEN(M73)&lt;10,LEN(M73)&gt;34),"IBAN may be up to 34 characters long","")</f>
        <v>IBAN may be up to 34 characters long</v>
      </c>
      <c r="N74" s="7" t="str">
        <f>IF(ISBLANK(N73),"Code cannot be left blank","")</f>
        <v>Code cannot be left blank</v>
      </c>
      <c r="O74" s="7" t="str">
        <f>IF(OR(LEN(O73)&lt;1,LEN(O73)&gt;140),"Transaction Details must be between 1 and 140 characters long","")</f>
        <v>Transaction Details must be between 1 and 140 characters long</v>
      </c>
      <c r="Q74" s="1" t="s">
        <v>13</v>
      </c>
    </row>
    <row r="75" spans="1:17">
      <c r="A75" s="55"/>
      <c r="B75" s="55"/>
      <c r="C75" s="55" t="s">
        <v>83</v>
      </c>
      <c r="D75" s="55"/>
      <c r="E75" s="55"/>
      <c r="F75" s="55"/>
      <c r="G75" s="55"/>
      <c r="H75" s="55"/>
      <c r="I75" s="55"/>
      <c r="J75" s="55"/>
      <c r="K75" s="55"/>
      <c r="L75" s="55"/>
      <c r="M75" s="55"/>
      <c r="N75" s="55"/>
      <c r="O75" s="55"/>
      <c r="Q75" s="5" t="s">
        <v>12</v>
      </c>
    </row>
    <row r="76" spans="1:17" ht="45">
      <c r="A76" s="7" t="str">
        <f>IF(OR(LEN(A75)&lt;1,LEN(A75)&gt;35),"Transaction Identification must be between 1 and 35 characters long","")</f>
        <v>Transaction Identification must be between 1 and 35 characters long</v>
      </c>
      <c r="B76" s="7" t="str">
        <f>IF(OR(LEN(B75)&lt;1,LEN(B75)&gt;35),"Uniqie Identification must be between 1 and 35 characters long","")</f>
        <v>Uniqie Identification must be between 1 and 35 characters long</v>
      </c>
      <c r="D76" s="7" t="str">
        <f>IF(OR(D75&lt;0.01,D75&gt;9999999999999990),"Transaction Amount is not valid","")</f>
        <v>Transaction Amount is not valid</v>
      </c>
      <c r="E76" s="7" t="str">
        <f>IF(AND(LEN(E75)&lt;&gt;8,LEN(E75)&lt;&gt;11),
    "BIC must be 8 or 11 characters long",
    IF(COUNTIF('Control Data (Hidden)'!$B$279:$B$335,E75)=0,
        "Warning: Is IBAN Valid?",
        ""
    )
)</f>
        <v>BIC must be 8 or 11 characters long</v>
      </c>
      <c r="F76" s="7" t="str">
        <f>IF(OR(LEN(F75)&lt;1,LEN(F75)&gt;70),"Creditor's Name must be between 1 and 70 characters long","")</f>
        <v>Creditor's Name must be between 1 and 70 characters long</v>
      </c>
      <c r="G76" s="7" t="str">
        <f>IF(LEN(G75)&gt;70,"Address cannot be longer than 70 characters","")</f>
        <v/>
      </c>
      <c r="H76" s="7" t="str">
        <f>IF(LEN(H75)&gt;16,"Building Number cannot be longer than 16 characters","")</f>
        <v/>
      </c>
      <c r="I76" s="7" t="str">
        <f>IF(LEN(I75)&gt;35,"Building Name cannot be longer than 35 characters","")</f>
        <v/>
      </c>
      <c r="J76" s="7" t="str">
        <f>IF(LEN(J75)&gt;16,"Postal Code cannot be longer than 16 characters","")</f>
        <v/>
      </c>
      <c r="K76" s="7" t="str">
        <f>IF(OR(LEN(K75)&lt;1,LEN(K75)&gt;35),"Town Name must be between 1 and 35 characters long","")</f>
        <v>Town Name must be between 1 and 35 characters long</v>
      </c>
      <c r="L76" s="7" t="str">
        <f>IF(NOT(LEN(L75)=2),"Country Code must be 2 characters long","")</f>
        <v>Country Code must be 2 characters long</v>
      </c>
      <c r="M76" s="7" t="str">
        <f>IF(OR(LEN(M75)&lt;10,LEN(M75)&gt;34),"IBAN may be up to 34 characters long","")</f>
        <v>IBAN may be up to 34 characters long</v>
      </c>
      <c r="N76" s="7" t="str">
        <f>IF(ISBLANK(N75),"Code cannot be left blank","")</f>
        <v>Code cannot be left blank</v>
      </c>
      <c r="O76" s="7" t="str">
        <f>IF(OR(LEN(O75)&lt;1,LEN(O75)&gt;140),"Transaction Details must be between 1 and 140 characters long","")</f>
        <v>Transaction Details must be between 1 and 140 characters long</v>
      </c>
      <c r="Q76" s="1" t="s">
        <v>13</v>
      </c>
    </row>
    <row r="77" spans="1:17">
      <c r="A77" s="55"/>
      <c r="B77" s="55"/>
      <c r="C77" s="55" t="s">
        <v>83</v>
      </c>
      <c r="D77" s="55"/>
      <c r="E77" s="55"/>
      <c r="F77" s="55"/>
      <c r="G77" s="55"/>
      <c r="H77" s="55"/>
      <c r="I77" s="55"/>
      <c r="J77" s="55"/>
      <c r="K77" s="55"/>
      <c r="L77" s="55"/>
      <c r="M77" s="55"/>
      <c r="N77" s="55"/>
      <c r="O77" s="55"/>
      <c r="Q77" s="5" t="s">
        <v>12</v>
      </c>
    </row>
    <row r="78" spans="1:17" ht="45">
      <c r="A78" s="7" t="str">
        <f>IF(OR(LEN(A77)&lt;1,LEN(A77)&gt;35),"Transaction Identification must be between 1 and 35 characters long","")</f>
        <v>Transaction Identification must be between 1 and 35 characters long</v>
      </c>
      <c r="B78" s="7" t="str">
        <f>IF(OR(LEN(B77)&lt;1,LEN(B77)&gt;35),"Uniqie Identification must be between 1 and 35 characters long","")</f>
        <v>Uniqie Identification must be between 1 and 35 characters long</v>
      </c>
      <c r="D78" s="7" t="str">
        <f>IF(OR(D77&lt;0.01,D77&gt;9999999999999990),"Transaction Amount is not valid","")</f>
        <v>Transaction Amount is not valid</v>
      </c>
      <c r="E78" s="7" t="str">
        <f>IF(AND(LEN(E77)&lt;&gt;8,LEN(E77)&lt;&gt;11),
    "BIC must be 8 or 11 characters long",
    IF(COUNTIF('Control Data (Hidden)'!$B$279:$B$335,E77)=0,
        "Warning: Is IBAN Valid?",
        ""
    )
)</f>
        <v>BIC must be 8 or 11 characters long</v>
      </c>
      <c r="F78" s="7" t="str">
        <f>IF(OR(LEN(F77)&lt;1,LEN(F77)&gt;70),"Creditor's Name must be between 1 and 70 characters long","")</f>
        <v>Creditor's Name must be between 1 and 70 characters long</v>
      </c>
      <c r="G78" s="7" t="str">
        <f>IF(LEN(G77)&gt;70,"Address cannot be longer than 70 characters","")</f>
        <v/>
      </c>
      <c r="H78" s="7" t="str">
        <f>IF(LEN(H77)&gt;16,"Building Number cannot be longer than 16 characters","")</f>
        <v/>
      </c>
      <c r="I78" s="7" t="str">
        <f>IF(LEN(I77)&gt;35,"Building Name cannot be longer than 35 characters","")</f>
        <v/>
      </c>
      <c r="J78" s="7" t="str">
        <f>IF(LEN(J77)&gt;16,"Postal Code cannot be longer than 16 characters","")</f>
        <v/>
      </c>
      <c r="K78" s="7" t="str">
        <f>IF(OR(LEN(K77)&lt;1,LEN(K77)&gt;35),"Town Name must be between 1 and 35 characters long","")</f>
        <v>Town Name must be between 1 and 35 characters long</v>
      </c>
      <c r="L78" s="7" t="str">
        <f>IF(NOT(LEN(L77)=2),"Country Code must be 2 characters long","")</f>
        <v>Country Code must be 2 characters long</v>
      </c>
      <c r="M78" s="7" t="str">
        <f>IF(OR(LEN(M77)&lt;10,LEN(M77)&gt;34),"IBAN may be up to 34 characters long","")</f>
        <v>IBAN may be up to 34 characters long</v>
      </c>
      <c r="N78" s="7" t="str">
        <f>IF(ISBLANK(N77),"Code cannot be left blank","")</f>
        <v>Code cannot be left blank</v>
      </c>
      <c r="O78" s="7" t="str">
        <f>IF(OR(LEN(O77)&lt;1,LEN(O77)&gt;140),"Transaction Details must be between 1 and 140 characters long","")</f>
        <v>Transaction Details must be between 1 and 140 characters long</v>
      </c>
      <c r="Q78" s="1" t="s">
        <v>13</v>
      </c>
    </row>
    <row r="79" spans="1:17">
      <c r="A79" s="55"/>
      <c r="B79" s="55"/>
      <c r="C79" s="55" t="s">
        <v>83</v>
      </c>
      <c r="D79" s="55"/>
      <c r="E79" s="55"/>
      <c r="F79" s="55"/>
      <c r="G79" s="55"/>
      <c r="H79" s="55"/>
      <c r="I79" s="55"/>
      <c r="J79" s="55"/>
      <c r="K79" s="55"/>
      <c r="L79" s="55"/>
      <c r="M79" s="55"/>
      <c r="N79" s="55"/>
      <c r="O79" s="55"/>
      <c r="Q79" s="5" t="s">
        <v>12</v>
      </c>
    </row>
    <row r="80" spans="1:17" ht="45">
      <c r="A80" s="7" t="str">
        <f>IF(OR(LEN(A79)&lt;1,LEN(A79)&gt;35),"Transaction Identification must be between 1 and 35 characters long","")</f>
        <v>Transaction Identification must be between 1 and 35 characters long</v>
      </c>
      <c r="B80" s="7" t="str">
        <f>IF(OR(LEN(B79)&lt;1,LEN(B79)&gt;35),"Uniqie Identification must be between 1 and 35 characters long","")</f>
        <v>Uniqie Identification must be between 1 and 35 characters long</v>
      </c>
      <c r="D80" s="7" t="str">
        <f>IF(OR(D79&lt;0.01,D79&gt;9999999999999990),"Transaction Amount is not valid","")</f>
        <v>Transaction Amount is not valid</v>
      </c>
      <c r="E80" s="7" t="str">
        <f>IF(AND(LEN(E79)&lt;&gt;8,LEN(E79)&lt;&gt;11),
    "BIC must be 8 or 11 characters long",
    IF(COUNTIF('Control Data (Hidden)'!$B$279:$B$335,E79)=0,
        "Warning: Is IBAN Valid?",
        ""
    )
)</f>
        <v>BIC must be 8 or 11 characters long</v>
      </c>
      <c r="F80" s="7" t="str">
        <f>IF(OR(LEN(F79)&lt;1,LEN(F79)&gt;70),"Creditor's Name must be between 1 and 70 characters long","")</f>
        <v>Creditor's Name must be between 1 and 70 characters long</v>
      </c>
      <c r="G80" s="7" t="str">
        <f>IF(LEN(G79)&gt;70,"Address cannot be longer than 70 characters","")</f>
        <v/>
      </c>
      <c r="H80" s="7" t="str">
        <f>IF(LEN(H79)&gt;16,"Building Number cannot be longer than 16 characters","")</f>
        <v/>
      </c>
      <c r="I80" s="7" t="str">
        <f>IF(LEN(I79)&gt;35,"Building Name cannot be longer than 35 characters","")</f>
        <v/>
      </c>
      <c r="J80" s="7" t="str">
        <f>IF(LEN(J79)&gt;16,"Postal Code cannot be longer than 16 characters","")</f>
        <v/>
      </c>
      <c r="K80" s="7" t="str">
        <f>IF(OR(LEN(K79)&lt;1,LEN(K79)&gt;35),"Town Name must be between 1 and 35 characters long","")</f>
        <v>Town Name must be between 1 and 35 characters long</v>
      </c>
      <c r="L80" s="7" t="str">
        <f>IF(NOT(LEN(L79)=2),"Country Code must be 2 characters long","")</f>
        <v>Country Code must be 2 characters long</v>
      </c>
      <c r="M80" s="7" t="str">
        <f>IF(OR(LEN(M79)&lt;10,LEN(M79)&gt;34),"IBAN may be up to 34 characters long","")</f>
        <v>IBAN may be up to 34 characters long</v>
      </c>
      <c r="N80" s="7" t="str">
        <f>IF(ISBLANK(N79),"Code cannot be left blank","")</f>
        <v>Code cannot be left blank</v>
      </c>
      <c r="O80" s="7" t="str">
        <f>IF(OR(LEN(O79)&lt;1,LEN(O79)&gt;140),"Transaction Details must be between 1 and 140 characters long","")</f>
        <v>Transaction Details must be between 1 and 140 characters long</v>
      </c>
      <c r="Q80" s="1" t="s">
        <v>13</v>
      </c>
    </row>
    <row r="81" spans="1:17">
      <c r="A81" s="55"/>
      <c r="B81" s="55"/>
      <c r="C81" s="55" t="s">
        <v>83</v>
      </c>
      <c r="D81" s="55"/>
      <c r="E81" s="55"/>
      <c r="F81" s="55"/>
      <c r="G81" s="55"/>
      <c r="H81" s="55"/>
      <c r="I81" s="55"/>
      <c r="J81" s="55"/>
      <c r="K81" s="55"/>
      <c r="L81" s="55"/>
      <c r="M81" s="55"/>
      <c r="N81" s="55"/>
      <c r="O81" s="55"/>
      <c r="Q81" s="5" t="s">
        <v>12</v>
      </c>
    </row>
    <row r="82" spans="1:17" ht="45">
      <c r="A82" s="7" t="str">
        <f>IF(OR(LEN(A81)&lt;1,LEN(A81)&gt;35),"Transaction Identification must be between 1 and 35 characters long","")</f>
        <v>Transaction Identification must be between 1 and 35 characters long</v>
      </c>
      <c r="B82" s="7" t="str">
        <f>IF(OR(LEN(B81)&lt;1,LEN(B81)&gt;35),"Uniqie Identification must be between 1 and 35 characters long","")</f>
        <v>Uniqie Identification must be between 1 and 35 characters long</v>
      </c>
      <c r="D82" s="7" t="str">
        <f>IF(OR(D81&lt;0.01,D81&gt;9999999999999990),"Transaction Amount is not valid","")</f>
        <v>Transaction Amount is not valid</v>
      </c>
      <c r="E82" s="7" t="str">
        <f>IF(AND(LEN(E81)&lt;&gt;8,LEN(E81)&lt;&gt;11),
    "BIC must be 8 or 11 characters long",
    IF(COUNTIF('Control Data (Hidden)'!$B$279:$B$335,E81)=0,
        "Warning: Is IBAN Valid?",
        ""
    )
)</f>
        <v>BIC must be 8 or 11 characters long</v>
      </c>
      <c r="F82" s="7" t="str">
        <f>IF(OR(LEN(F81)&lt;1,LEN(F81)&gt;70),"Creditor's Name must be between 1 and 70 characters long","")</f>
        <v>Creditor's Name must be between 1 and 70 characters long</v>
      </c>
      <c r="G82" s="7" t="str">
        <f>IF(LEN(G81)&gt;70,"Address cannot be longer than 70 characters","")</f>
        <v/>
      </c>
      <c r="H82" s="7" t="str">
        <f>IF(LEN(H81)&gt;16,"Building Number cannot be longer than 16 characters","")</f>
        <v/>
      </c>
      <c r="I82" s="7" t="str">
        <f>IF(LEN(I81)&gt;35,"Building Name cannot be longer than 35 characters","")</f>
        <v/>
      </c>
      <c r="J82" s="7" t="str">
        <f>IF(LEN(J81)&gt;16,"Postal Code cannot be longer than 16 characters","")</f>
        <v/>
      </c>
      <c r="K82" s="7" t="str">
        <f>IF(OR(LEN(K81)&lt;1,LEN(K81)&gt;35),"Town Name must be between 1 and 35 characters long","")</f>
        <v>Town Name must be between 1 and 35 characters long</v>
      </c>
      <c r="L82" s="7" t="str">
        <f>IF(NOT(LEN(L81)=2),"Country Code must be 2 characters long","")</f>
        <v>Country Code must be 2 characters long</v>
      </c>
      <c r="M82" s="7" t="str">
        <f>IF(OR(LEN(M81)&lt;10,LEN(M81)&gt;34),"IBAN may be up to 34 characters long","")</f>
        <v>IBAN may be up to 34 characters long</v>
      </c>
      <c r="N82" s="7" t="str">
        <f>IF(ISBLANK(N81),"Code cannot be left blank","")</f>
        <v>Code cannot be left blank</v>
      </c>
      <c r="O82" s="7" t="str">
        <f>IF(OR(LEN(O81)&lt;1,LEN(O81)&gt;140),"Transaction Details must be between 1 and 140 characters long","")</f>
        <v>Transaction Details must be between 1 and 140 characters long</v>
      </c>
      <c r="Q82" s="1" t="s">
        <v>13</v>
      </c>
    </row>
    <row r="83" spans="1:17">
      <c r="A83" s="55"/>
      <c r="B83" s="55"/>
      <c r="C83" s="55" t="s">
        <v>83</v>
      </c>
      <c r="D83" s="55"/>
      <c r="E83" s="55"/>
      <c r="F83" s="55"/>
      <c r="G83" s="55"/>
      <c r="H83" s="55"/>
      <c r="I83" s="55"/>
      <c r="J83" s="55"/>
      <c r="K83" s="55"/>
      <c r="L83" s="55"/>
      <c r="M83" s="55"/>
      <c r="N83" s="55"/>
      <c r="O83" s="55"/>
      <c r="Q83" s="5" t="s">
        <v>12</v>
      </c>
    </row>
    <row r="84" spans="1:17" ht="45">
      <c r="A84" s="7" t="str">
        <f>IF(OR(LEN(A83)&lt;1,LEN(A83)&gt;35),"Transaction Identification must be between 1 and 35 characters long","")</f>
        <v>Transaction Identification must be between 1 and 35 characters long</v>
      </c>
      <c r="B84" s="7" t="str">
        <f>IF(OR(LEN(B83)&lt;1,LEN(B83)&gt;35),"Uniqie Identification must be between 1 and 35 characters long","")</f>
        <v>Uniqie Identification must be between 1 and 35 characters long</v>
      </c>
      <c r="D84" s="7" t="str">
        <f>IF(OR(D83&lt;0.01,D83&gt;9999999999999990),"Transaction Amount is not valid","")</f>
        <v>Transaction Amount is not valid</v>
      </c>
      <c r="E84" s="7" t="str">
        <f>IF(AND(LEN(E83)&lt;&gt;8,LEN(E83)&lt;&gt;11),
    "BIC must be 8 or 11 characters long",
    IF(COUNTIF('Control Data (Hidden)'!$B$279:$B$335,E83)=0,
        "Warning: Is IBAN Valid?",
        ""
    )
)</f>
        <v>BIC must be 8 or 11 characters long</v>
      </c>
      <c r="F84" s="7" t="str">
        <f>IF(OR(LEN(F83)&lt;1,LEN(F83)&gt;70),"Creditor's Name must be between 1 and 70 characters long","")</f>
        <v>Creditor's Name must be between 1 and 70 characters long</v>
      </c>
      <c r="G84" s="7" t="str">
        <f>IF(LEN(G83)&gt;70,"Address cannot be longer than 70 characters","")</f>
        <v/>
      </c>
      <c r="H84" s="7" t="str">
        <f>IF(LEN(H83)&gt;16,"Building Number cannot be longer than 16 characters","")</f>
        <v/>
      </c>
      <c r="I84" s="7" t="str">
        <f>IF(LEN(I83)&gt;35,"Building Name cannot be longer than 35 characters","")</f>
        <v/>
      </c>
      <c r="J84" s="7" t="str">
        <f>IF(LEN(J83)&gt;16,"Postal Code cannot be longer than 16 characters","")</f>
        <v/>
      </c>
      <c r="K84" s="7" t="str">
        <f>IF(OR(LEN(K83)&lt;1,LEN(K83)&gt;35),"Town Name must be between 1 and 35 characters long","")</f>
        <v>Town Name must be between 1 and 35 characters long</v>
      </c>
      <c r="L84" s="7" t="str">
        <f>IF(NOT(LEN(L83)=2),"Country Code must be 2 characters long","")</f>
        <v>Country Code must be 2 characters long</v>
      </c>
      <c r="M84" s="7" t="str">
        <f>IF(OR(LEN(M83)&lt;10,LEN(M83)&gt;34),"IBAN may be up to 34 characters long","")</f>
        <v>IBAN may be up to 34 characters long</v>
      </c>
      <c r="N84" s="7" t="str">
        <f>IF(ISBLANK(N83),"Code cannot be left blank","")</f>
        <v>Code cannot be left blank</v>
      </c>
      <c r="O84" s="7" t="str">
        <f>IF(OR(LEN(O83)&lt;1,LEN(O83)&gt;140),"Transaction Details must be between 1 and 140 characters long","")</f>
        <v>Transaction Details must be between 1 and 140 characters long</v>
      </c>
      <c r="Q84" s="1" t="s">
        <v>13</v>
      </c>
    </row>
    <row r="85" spans="1:17">
      <c r="A85" s="55"/>
      <c r="B85" s="55"/>
      <c r="C85" s="55" t="s">
        <v>83</v>
      </c>
      <c r="D85" s="55"/>
      <c r="E85" s="55"/>
      <c r="F85" s="55"/>
      <c r="G85" s="55"/>
      <c r="H85" s="55"/>
      <c r="I85" s="55"/>
      <c r="J85" s="55"/>
      <c r="K85" s="55"/>
      <c r="L85" s="55"/>
      <c r="M85" s="55"/>
      <c r="N85" s="55"/>
      <c r="O85" s="55"/>
      <c r="Q85" s="5" t="s">
        <v>12</v>
      </c>
    </row>
    <row r="86" spans="1:17" ht="45">
      <c r="A86" s="7" t="str">
        <f>IF(OR(LEN(A85)&lt;1,LEN(A85)&gt;35),"Transaction Identification must be between 1 and 35 characters long","")</f>
        <v>Transaction Identification must be between 1 and 35 characters long</v>
      </c>
      <c r="B86" s="7" t="str">
        <f>IF(OR(LEN(B85)&lt;1,LEN(B85)&gt;35),"Uniqie Identification must be between 1 and 35 characters long","")</f>
        <v>Uniqie Identification must be between 1 and 35 characters long</v>
      </c>
      <c r="D86" s="7" t="str">
        <f>IF(OR(D85&lt;0.01,D85&gt;9999999999999990),"Transaction Amount is not valid","")</f>
        <v>Transaction Amount is not valid</v>
      </c>
      <c r="E86" s="7" t="str">
        <f>IF(AND(LEN(E85)&lt;&gt;8,LEN(E85)&lt;&gt;11),
    "BIC must be 8 or 11 characters long",
    IF(COUNTIF('Control Data (Hidden)'!$B$279:$B$335,E85)=0,
        "Warning: Is IBAN Valid?",
        ""
    )
)</f>
        <v>BIC must be 8 or 11 characters long</v>
      </c>
      <c r="F86" s="7" t="str">
        <f>IF(OR(LEN(F85)&lt;1,LEN(F85)&gt;70),"Creditor's Name must be between 1 and 70 characters long","")</f>
        <v>Creditor's Name must be between 1 and 70 characters long</v>
      </c>
      <c r="G86" s="7" t="str">
        <f>IF(LEN(G85)&gt;70,"Address cannot be longer than 70 characters","")</f>
        <v/>
      </c>
      <c r="H86" s="7" t="str">
        <f>IF(LEN(H85)&gt;16,"Building Number cannot be longer than 16 characters","")</f>
        <v/>
      </c>
      <c r="I86" s="7" t="str">
        <f>IF(LEN(I85)&gt;35,"Building Name cannot be longer than 35 characters","")</f>
        <v/>
      </c>
      <c r="J86" s="7" t="str">
        <f>IF(LEN(J85)&gt;16,"Postal Code cannot be longer than 16 characters","")</f>
        <v/>
      </c>
      <c r="K86" s="7" t="str">
        <f>IF(OR(LEN(K85)&lt;1,LEN(K85)&gt;35),"Town Name must be between 1 and 35 characters long","")</f>
        <v>Town Name must be between 1 and 35 characters long</v>
      </c>
      <c r="L86" s="7" t="str">
        <f>IF(NOT(LEN(L85)=2),"Country Code must be 2 characters long","")</f>
        <v>Country Code must be 2 characters long</v>
      </c>
      <c r="M86" s="7" t="str">
        <f>IF(OR(LEN(M85)&lt;10,LEN(M85)&gt;34),"IBAN may be up to 34 characters long","")</f>
        <v>IBAN may be up to 34 characters long</v>
      </c>
      <c r="N86" s="7" t="str">
        <f>IF(ISBLANK(N85),"Code cannot be left blank","")</f>
        <v>Code cannot be left blank</v>
      </c>
      <c r="O86" s="7" t="str">
        <f>IF(OR(LEN(O85)&lt;1,LEN(O85)&gt;140),"Transaction Details must be between 1 and 140 characters long","")</f>
        <v>Transaction Details must be between 1 and 140 characters long</v>
      </c>
      <c r="Q86" s="1" t="s">
        <v>13</v>
      </c>
    </row>
    <row r="87" spans="1:17">
      <c r="A87" s="55"/>
      <c r="B87" s="55"/>
      <c r="C87" s="55" t="s">
        <v>83</v>
      </c>
      <c r="D87" s="55"/>
      <c r="E87" s="55"/>
      <c r="F87" s="55"/>
      <c r="G87" s="55"/>
      <c r="H87" s="55"/>
      <c r="I87" s="55"/>
      <c r="J87" s="55"/>
      <c r="K87" s="55"/>
      <c r="L87" s="55"/>
      <c r="M87" s="55"/>
      <c r="N87" s="55"/>
      <c r="O87" s="55"/>
      <c r="Q87" s="5" t="s">
        <v>12</v>
      </c>
    </row>
    <row r="88" spans="1:17" ht="45">
      <c r="A88" s="7" t="str">
        <f>IF(OR(LEN(A87)&lt;1,LEN(A87)&gt;35),"Transaction Identification must be between 1 and 35 characters long","")</f>
        <v>Transaction Identification must be between 1 and 35 characters long</v>
      </c>
      <c r="B88" s="7" t="str">
        <f>IF(OR(LEN(B87)&lt;1,LEN(B87)&gt;35),"Uniqie Identification must be between 1 and 35 characters long","")</f>
        <v>Uniqie Identification must be between 1 and 35 characters long</v>
      </c>
      <c r="D88" s="7" t="str">
        <f>IF(OR(D87&lt;0.01,D87&gt;9999999999999990),"Transaction Amount is not valid","")</f>
        <v>Transaction Amount is not valid</v>
      </c>
      <c r="E88" s="7" t="str">
        <f>IF(AND(LEN(E87)&lt;&gt;8,LEN(E87)&lt;&gt;11),
    "BIC must be 8 or 11 characters long",
    IF(COUNTIF('Control Data (Hidden)'!$B$279:$B$335,E87)=0,
        "Warning: Is IBAN Valid?",
        ""
    )
)</f>
        <v>BIC must be 8 or 11 characters long</v>
      </c>
      <c r="F88" s="7" t="str">
        <f>IF(OR(LEN(F87)&lt;1,LEN(F87)&gt;70),"Creditor's Name must be between 1 and 70 characters long","")</f>
        <v>Creditor's Name must be between 1 and 70 characters long</v>
      </c>
      <c r="G88" s="7" t="str">
        <f>IF(LEN(G87)&gt;70,"Address cannot be longer than 70 characters","")</f>
        <v/>
      </c>
      <c r="H88" s="7" t="str">
        <f>IF(LEN(H87)&gt;16,"Building Number cannot be longer than 16 characters","")</f>
        <v/>
      </c>
      <c r="I88" s="7" t="str">
        <f>IF(LEN(I87)&gt;35,"Building Name cannot be longer than 35 characters","")</f>
        <v/>
      </c>
      <c r="J88" s="7" t="str">
        <f>IF(LEN(J87)&gt;16,"Postal Code cannot be longer than 16 characters","")</f>
        <v/>
      </c>
      <c r="K88" s="7" t="str">
        <f>IF(OR(LEN(K87)&lt;1,LEN(K87)&gt;35),"Town Name must be between 1 and 35 characters long","")</f>
        <v>Town Name must be between 1 and 35 characters long</v>
      </c>
      <c r="L88" s="7" t="str">
        <f>IF(NOT(LEN(L87)=2),"Country Code must be 2 characters long","")</f>
        <v>Country Code must be 2 characters long</v>
      </c>
      <c r="M88" s="7" t="str">
        <f>IF(OR(LEN(M87)&lt;10,LEN(M87)&gt;34),"IBAN may be up to 34 characters long","")</f>
        <v>IBAN may be up to 34 characters long</v>
      </c>
      <c r="N88" s="7" t="str">
        <f>IF(ISBLANK(N87),"Code cannot be left blank","")</f>
        <v>Code cannot be left blank</v>
      </c>
      <c r="O88" s="7" t="str">
        <f>IF(OR(LEN(O87)&lt;1,LEN(O87)&gt;140),"Transaction Details must be between 1 and 140 characters long","")</f>
        <v>Transaction Details must be between 1 and 140 characters long</v>
      </c>
      <c r="Q88" s="1" t="s">
        <v>13</v>
      </c>
    </row>
    <row r="89" spans="1:17">
      <c r="A89" s="55"/>
      <c r="B89" s="55"/>
      <c r="C89" s="55" t="s">
        <v>83</v>
      </c>
      <c r="D89" s="55"/>
      <c r="E89" s="55"/>
      <c r="F89" s="55"/>
      <c r="G89" s="55"/>
      <c r="H89" s="55"/>
      <c r="I89" s="55"/>
      <c r="J89" s="55"/>
      <c r="K89" s="55"/>
      <c r="L89" s="55"/>
      <c r="M89" s="55"/>
      <c r="N89" s="55"/>
      <c r="O89" s="55"/>
      <c r="Q89" s="5" t="s">
        <v>12</v>
      </c>
    </row>
    <row r="90" spans="1:17" ht="45">
      <c r="A90" s="7" t="str">
        <f>IF(OR(LEN(A89)&lt;1,LEN(A89)&gt;35),"Transaction Identification must be between 1 and 35 characters long","")</f>
        <v>Transaction Identification must be between 1 and 35 characters long</v>
      </c>
      <c r="B90" s="7" t="str">
        <f>IF(OR(LEN(B89)&lt;1,LEN(B89)&gt;35),"Uniqie Identification must be between 1 and 35 characters long","")</f>
        <v>Uniqie Identification must be between 1 and 35 characters long</v>
      </c>
      <c r="D90" s="7" t="str">
        <f>IF(OR(D89&lt;0.01,D89&gt;9999999999999990),"Transaction Amount is not valid","")</f>
        <v>Transaction Amount is not valid</v>
      </c>
      <c r="E90" s="7" t="str">
        <f>IF(AND(LEN(E89)&lt;&gt;8,LEN(E89)&lt;&gt;11),
    "BIC must be 8 or 11 characters long",
    IF(COUNTIF('Control Data (Hidden)'!$B$279:$B$335,E89)=0,
        "Warning: Is IBAN Valid?",
        ""
    )
)</f>
        <v>BIC must be 8 or 11 characters long</v>
      </c>
      <c r="F90" s="7" t="str">
        <f>IF(OR(LEN(F89)&lt;1,LEN(F89)&gt;70),"Creditor's Name must be between 1 and 70 characters long","")</f>
        <v>Creditor's Name must be between 1 and 70 characters long</v>
      </c>
      <c r="G90" s="7" t="str">
        <f>IF(LEN(G89)&gt;70,"Address cannot be longer than 70 characters","")</f>
        <v/>
      </c>
      <c r="H90" s="7" t="str">
        <f>IF(LEN(H89)&gt;16,"Building Number cannot be longer than 16 characters","")</f>
        <v/>
      </c>
      <c r="I90" s="7" t="str">
        <f>IF(LEN(I89)&gt;35,"Building Name cannot be longer than 35 characters","")</f>
        <v/>
      </c>
      <c r="J90" s="7" t="str">
        <f>IF(LEN(J89)&gt;16,"Postal Code cannot be longer than 16 characters","")</f>
        <v/>
      </c>
      <c r="K90" s="7" t="str">
        <f>IF(OR(LEN(K89)&lt;1,LEN(K89)&gt;35),"Town Name must be between 1 and 35 characters long","")</f>
        <v>Town Name must be between 1 and 35 characters long</v>
      </c>
      <c r="L90" s="7" t="str">
        <f>IF(NOT(LEN(L89)=2),"Country Code must be 2 characters long","")</f>
        <v>Country Code must be 2 characters long</v>
      </c>
      <c r="M90" s="7" t="str">
        <f>IF(OR(LEN(M89)&lt;10,LEN(M89)&gt;34),"IBAN may be up to 34 characters long","")</f>
        <v>IBAN may be up to 34 characters long</v>
      </c>
      <c r="N90" s="7" t="str">
        <f>IF(ISBLANK(N89),"Code cannot be left blank","")</f>
        <v>Code cannot be left blank</v>
      </c>
      <c r="O90" s="7" t="str">
        <f>IF(OR(LEN(O89)&lt;1,LEN(O89)&gt;140),"Transaction Details must be between 1 and 140 characters long","")</f>
        <v>Transaction Details must be between 1 and 140 characters long</v>
      </c>
      <c r="Q90" s="1" t="s">
        <v>13</v>
      </c>
    </row>
    <row r="91" spans="1:17">
      <c r="A91" s="55"/>
      <c r="B91" s="55"/>
      <c r="C91" s="55" t="s">
        <v>83</v>
      </c>
      <c r="D91" s="55"/>
      <c r="E91" s="55"/>
      <c r="F91" s="55"/>
      <c r="G91" s="55"/>
      <c r="H91" s="55"/>
      <c r="I91" s="55"/>
      <c r="J91" s="55"/>
      <c r="K91" s="55"/>
      <c r="L91" s="55"/>
      <c r="M91" s="55"/>
      <c r="N91" s="55"/>
      <c r="O91" s="55"/>
      <c r="Q91" s="5" t="s">
        <v>12</v>
      </c>
    </row>
    <row r="92" spans="1:17" ht="45">
      <c r="A92" s="7" t="str">
        <f>IF(OR(LEN(A91)&lt;1,LEN(A91)&gt;35),"Transaction Identification must be between 1 and 35 characters long","")</f>
        <v>Transaction Identification must be between 1 and 35 characters long</v>
      </c>
      <c r="B92" s="7" t="str">
        <f>IF(OR(LEN(B91)&lt;1,LEN(B91)&gt;35),"Uniqie Identification must be between 1 and 35 characters long","")</f>
        <v>Uniqie Identification must be between 1 and 35 characters long</v>
      </c>
      <c r="D92" s="7" t="str">
        <f>IF(OR(D91&lt;0.01,D91&gt;9999999999999990),"Transaction Amount is not valid","")</f>
        <v>Transaction Amount is not valid</v>
      </c>
      <c r="E92" s="7" t="str">
        <f>IF(AND(LEN(E91)&lt;&gt;8,LEN(E91)&lt;&gt;11),
    "BIC must be 8 or 11 characters long",
    IF(COUNTIF('Control Data (Hidden)'!$B$279:$B$335,E91)=0,
        "Warning: Is IBAN Valid?",
        ""
    )
)</f>
        <v>BIC must be 8 or 11 characters long</v>
      </c>
      <c r="F92" s="7" t="str">
        <f>IF(OR(LEN(F91)&lt;1,LEN(F91)&gt;70),"Creditor's Name must be between 1 and 70 characters long","")</f>
        <v>Creditor's Name must be between 1 and 70 characters long</v>
      </c>
      <c r="G92" s="7" t="str">
        <f>IF(LEN(G91)&gt;70,"Address cannot be longer than 70 characters","")</f>
        <v/>
      </c>
      <c r="H92" s="7" t="str">
        <f>IF(LEN(H91)&gt;16,"Building Number cannot be longer than 16 characters","")</f>
        <v/>
      </c>
      <c r="I92" s="7" t="str">
        <f>IF(LEN(I91)&gt;35,"Building Name cannot be longer than 35 characters","")</f>
        <v/>
      </c>
      <c r="J92" s="7" t="str">
        <f>IF(LEN(J91)&gt;16,"Postal Code cannot be longer than 16 characters","")</f>
        <v/>
      </c>
      <c r="K92" s="7" t="str">
        <f>IF(OR(LEN(K91)&lt;1,LEN(K91)&gt;35),"Town Name must be between 1 and 35 characters long","")</f>
        <v>Town Name must be between 1 and 35 characters long</v>
      </c>
      <c r="L92" s="7" t="str">
        <f>IF(NOT(LEN(L91)=2),"Country Code must be 2 characters long","")</f>
        <v>Country Code must be 2 characters long</v>
      </c>
      <c r="M92" s="7" t="str">
        <f>IF(OR(LEN(M91)&lt;10,LEN(M91)&gt;34),"IBAN may be up to 34 characters long","")</f>
        <v>IBAN may be up to 34 characters long</v>
      </c>
      <c r="N92" s="7" t="str">
        <f>IF(ISBLANK(N91),"Code cannot be left blank","")</f>
        <v>Code cannot be left blank</v>
      </c>
      <c r="O92" s="7" t="str">
        <f>IF(OR(LEN(O91)&lt;1,LEN(O91)&gt;140),"Transaction Details must be between 1 and 140 characters long","")</f>
        <v>Transaction Details must be between 1 and 140 characters long</v>
      </c>
      <c r="Q92" s="1" t="s">
        <v>13</v>
      </c>
    </row>
    <row r="93" spans="1:17">
      <c r="A93" s="55"/>
      <c r="B93" s="55"/>
      <c r="C93" s="55" t="s">
        <v>83</v>
      </c>
      <c r="D93" s="55"/>
      <c r="E93" s="55"/>
      <c r="F93" s="55"/>
      <c r="G93" s="55"/>
      <c r="H93" s="55"/>
      <c r="I93" s="55"/>
      <c r="J93" s="55"/>
      <c r="K93" s="55"/>
      <c r="L93" s="55"/>
      <c r="M93" s="55"/>
      <c r="N93" s="55"/>
      <c r="O93" s="55"/>
      <c r="Q93" s="5" t="s">
        <v>12</v>
      </c>
    </row>
    <row r="94" spans="1:17" ht="45">
      <c r="A94" s="7" t="str">
        <f>IF(OR(LEN(A93)&lt;1,LEN(A93)&gt;35),"Transaction Identification must be between 1 and 35 characters long","")</f>
        <v>Transaction Identification must be between 1 and 35 characters long</v>
      </c>
      <c r="B94" s="7" t="str">
        <f>IF(OR(LEN(B93)&lt;1,LEN(B93)&gt;35),"Uniqie Identification must be between 1 and 35 characters long","")</f>
        <v>Uniqie Identification must be between 1 and 35 characters long</v>
      </c>
      <c r="D94" s="7" t="str">
        <f>IF(OR(D93&lt;0.01,D93&gt;9999999999999990),"Transaction Amount is not valid","")</f>
        <v>Transaction Amount is not valid</v>
      </c>
      <c r="E94" s="7" t="str">
        <f>IF(AND(LEN(E93)&lt;&gt;8,LEN(E93)&lt;&gt;11),
    "BIC must be 8 or 11 characters long",
    IF(COUNTIF('Control Data (Hidden)'!$B$279:$B$335,E93)=0,
        "Warning: Is IBAN Valid?",
        ""
    )
)</f>
        <v>BIC must be 8 or 11 characters long</v>
      </c>
      <c r="F94" s="7" t="str">
        <f>IF(OR(LEN(F93)&lt;1,LEN(F93)&gt;70),"Creditor's Name must be between 1 and 70 characters long","")</f>
        <v>Creditor's Name must be between 1 and 70 characters long</v>
      </c>
      <c r="G94" s="7" t="str">
        <f>IF(LEN(G93)&gt;70,"Address cannot be longer than 70 characters","")</f>
        <v/>
      </c>
      <c r="H94" s="7" t="str">
        <f>IF(LEN(H93)&gt;16,"Building Number cannot be longer than 16 characters","")</f>
        <v/>
      </c>
      <c r="I94" s="7" t="str">
        <f>IF(LEN(I93)&gt;35,"Building Name cannot be longer than 35 characters","")</f>
        <v/>
      </c>
      <c r="J94" s="7" t="str">
        <f>IF(LEN(J93)&gt;16,"Postal Code cannot be longer than 16 characters","")</f>
        <v/>
      </c>
      <c r="K94" s="7" t="str">
        <f>IF(OR(LEN(K93)&lt;1,LEN(K93)&gt;35),"Town Name must be between 1 and 35 characters long","")</f>
        <v>Town Name must be between 1 and 35 characters long</v>
      </c>
      <c r="L94" s="7" t="str">
        <f>IF(NOT(LEN(L93)=2),"Country Code must be 2 characters long","")</f>
        <v>Country Code must be 2 characters long</v>
      </c>
      <c r="M94" s="7" t="str">
        <f>IF(OR(LEN(M93)&lt;10,LEN(M93)&gt;34),"IBAN may be up to 34 characters long","")</f>
        <v>IBAN may be up to 34 characters long</v>
      </c>
      <c r="N94" s="7" t="str">
        <f>IF(ISBLANK(N93),"Code cannot be left blank","")</f>
        <v>Code cannot be left blank</v>
      </c>
      <c r="O94" s="7" t="str">
        <f>IF(OR(LEN(O93)&lt;1,LEN(O93)&gt;140),"Transaction Details must be between 1 and 140 characters long","")</f>
        <v>Transaction Details must be between 1 and 140 characters long</v>
      </c>
      <c r="Q94" s="1" t="s">
        <v>13</v>
      </c>
    </row>
    <row r="95" spans="1:17">
      <c r="A95" s="55"/>
      <c r="B95" s="55"/>
      <c r="C95" s="55" t="s">
        <v>83</v>
      </c>
      <c r="D95" s="55"/>
      <c r="E95" s="55"/>
      <c r="F95" s="55"/>
      <c r="G95" s="55"/>
      <c r="H95" s="55"/>
      <c r="I95" s="55"/>
      <c r="J95" s="55"/>
      <c r="K95" s="55"/>
      <c r="L95" s="55"/>
      <c r="M95" s="55"/>
      <c r="N95" s="55"/>
      <c r="O95" s="55"/>
      <c r="Q95" s="5" t="s">
        <v>12</v>
      </c>
    </row>
    <row r="96" spans="1:17" ht="45">
      <c r="A96" s="7" t="str">
        <f>IF(OR(LEN(A95)&lt;1,LEN(A95)&gt;35),"Transaction Identification must be between 1 and 35 characters long","")</f>
        <v>Transaction Identification must be between 1 and 35 characters long</v>
      </c>
      <c r="B96" s="7" t="str">
        <f>IF(OR(LEN(B95)&lt;1,LEN(B95)&gt;35),"Uniqie Identification must be between 1 and 35 characters long","")</f>
        <v>Uniqie Identification must be between 1 and 35 characters long</v>
      </c>
      <c r="D96" s="7" t="str">
        <f>IF(OR(D95&lt;0.01,D95&gt;9999999999999990),"Transaction Amount is not valid","")</f>
        <v>Transaction Amount is not valid</v>
      </c>
      <c r="E96" s="7" t="str">
        <f>IF(AND(LEN(E95)&lt;&gt;8,LEN(E95)&lt;&gt;11),
    "BIC must be 8 or 11 characters long",
    IF(COUNTIF('Control Data (Hidden)'!$B$279:$B$335,E95)=0,
        "Warning: Is IBAN Valid?",
        ""
    )
)</f>
        <v>BIC must be 8 or 11 characters long</v>
      </c>
      <c r="F96" s="7" t="str">
        <f>IF(OR(LEN(F95)&lt;1,LEN(F95)&gt;70),"Creditor's Name must be between 1 and 70 characters long","")</f>
        <v>Creditor's Name must be between 1 and 70 characters long</v>
      </c>
      <c r="G96" s="7" t="str">
        <f>IF(LEN(G95)&gt;70,"Address cannot be longer than 70 characters","")</f>
        <v/>
      </c>
      <c r="H96" s="7" t="str">
        <f>IF(LEN(H95)&gt;16,"Building Number cannot be longer than 16 characters","")</f>
        <v/>
      </c>
      <c r="I96" s="7" t="str">
        <f>IF(LEN(I95)&gt;35,"Building Name cannot be longer than 35 characters","")</f>
        <v/>
      </c>
      <c r="J96" s="7" t="str">
        <f>IF(LEN(J95)&gt;16,"Postal Code cannot be longer than 16 characters","")</f>
        <v/>
      </c>
      <c r="K96" s="7" t="str">
        <f>IF(OR(LEN(K95)&lt;1,LEN(K95)&gt;35),"Town Name must be between 1 and 35 characters long","")</f>
        <v>Town Name must be between 1 and 35 characters long</v>
      </c>
      <c r="L96" s="7" t="str">
        <f>IF(NOT(LEN(L95)=2),"Country Code must be 2 characters long","")</f>
        <v>Country Code must be 2 characters long</v>
      </c>
      <c r="M96" s="7" t="str">
        <f>IF(OR(LEN(M95)&lt;10,LEN(M95)&gt;34),"IBAN may be up to 34 characters long","")</f>
        <v>IBAN may be up to 34 characters long</v>
      </c>
      <c r="N96" s="7" t="str">
        <f>IF(ISBLANK(N95),"Code cannot be left blank","")</f>
        <v>Code cannot be left blank</v>
      </c>
      <c r="O96" s="7" t="str">
        <f>IF(OR(LEN(O95)&lt;1,LEN(O95)&gt;140),"Transaction Details must be between 1 and 140 characters long","")</f>
        <v>Transaction Details must be between 1 and 140 characters long</v>
      </c>
      <c r="Q96" s="1" t="s">
        <v>13</v>
      </c>
    </row>
    <row r="97" spans="1:17">
      <c r="A97" s="55"/>
      <c r="B97" s="55"/>
      <c r="C97" s="55" t="s">
        <v>83</v>
      </c>
      <c r="D97" s="55"/>
      <c r="E97" s="55"/>
      <c r="F97" s="55"/>
      <c r="G97" s="55"/>
      <c r="H97" s="55"/>
      <c r="I97" s="55"/>
      <c r="J97" s="55"/>
      <c r="K97" s="55"/>
      <c r="L97" s="55"/>
      <c r="M97" s="55"/>
      <c r="N97" s="55"/>
      <c r="O97" s="55"/>
      <c r="Q97" s="5" t="s">
        <v>12</v>
      </c>
    </row>
    <row r="98" spans="1:17" ht="45">
      <c r="A98" s="7" t="str">
        <f>IF(OR(LEN(A97)&lt;1,LEN(A97)&gt;35),"Transaction Identification must be between 1 and 35 characters long","")</f>
        <v>Transaction Identification must be between 1 and 35 characters long</v>
      </c>
      <c r="B98" s="7" t="str">
        <f>IF(OR(LEN(B97)&lt;1,LEN(B97)&gt;35),"Uniqie Identification must be between 1 and 35 characters long","")</f>
        <v>Uniqie Identification must be between 1 and 35 characters long</v>
      </c>
      <c r="D98" s="7" t="str">
        <f>IF(OR(D97&lt;0.01,D97&gt;9999999999999990),"Transaction Amount is not valid","")</f>
        <v>Transaction Amount is not valid</v>
      </c>
      <c r="E98" s="7" t="str">
        <f>IF(AND(LEN(E97)&lt;&gt;8,LEN(E97)&lt;&gt;11),
    "BIC must be 8 or 11 characters long",
    IF(COUNTIF('Control Data (Hidden)'!$B$279:$B$335,E97)=0,
        "Warning: Is IBAN Valid?",
        ""
    )
)</f>
        <v>BIC must be 8 or 11 characters long</v>
      </c>
      <c r="F98" s="7" t="str">
        <f>IF(OR(LEN(F97)&lt;1,LEN(F97)&gt;70),"Creditor's Name must be between 1 and 70 characters long","")</f>
        <v>Creditor's Name must be between 1 and 70 characters long</v>
      </c>
      <c r="G98" s="7" t="str">
        <f>IF(LEN(G97)&gt;70,"Address cannot be longer than 70 characters","")</f>
        <v/>
      </c>
      <c r="H98" s="7" t="str">
        <f>IF(LEN(H97)&gt;16,"Building Number cannot be longer than 16 characters","")</f>
        <v/>
      </c>
      <c r="I98" s="7" t="str">
        <f>IF(LEN(I97)&gt;35,"Building Name cannot be longer than 35 characters","")</f>
        <v/>
      </c>
      <c r="J98" s="7" t="str">
        <f>IF(LEN(J97)&gt;16,"Postal Code cannot be longer than 16 characters","")</f>
        <v/>
      </c>
      <c r="K98" s="7" t="str">
        <f>IF(OR(LEN(K97)&lt;1,LEN(K97)&gt;35),"Town Name must be between 1 and 35 characters long","")</f>
        <v>Town Name must be between 1 and 35 characters long</v>
      </c>
      <c r="L98" s="7" t="str">
        <f>IF(NOT(LEN(L97)=2),"Country Code must be 2 characters long","")</f>
        <v>Country Code must be 2 characters long</v>
      </c>
      <c r="M98" s="7" t="str">
        <f>IF(OR(LEN(M97)&lt;10,LEN(M97)&gt;34),"IBAN may be up to 34 characters long","")</f>
        <v>IBAN may be up to 34 characters long</v>
      </c>
      <c r="N98" s="7" t="str">
        <f>IF(ISBLANK(N97),"Code cannot be left blank","")</f>
        <v>Code cannot be left blank</v>
      </c>
      <c r="O98" s="7" t="str">
        <f>IF(OR(LEN(O97)&lt;1,LEN(O97)&gt;140),"Transaction Details must be between 1 and 140 characters long","")</f>
        <v>Transaction Details must be between 1 and 140 characters long</v>
      </c>
      <c r="Q98" s="1" t="s">
        <v>13</v>
      </c>
    </row>
    <row r="99" spans="1:17">
      <c r="A99" s="55"/>
      <c r="B99" s="55"/>
      <c r="C99" s="55" t="s">
        <v>83</v>
      </c>
      <c r="D99" s="55"/>
      <c r="E99" s="55"/>
      <c r="F99" s="55"/>
      <c r="G99" s="55"/>
      <c r="H99" s="55"/>
      <c r="I99" s="55"/>
      <c r="J99" s="55"/>
      <c r="K99" s="55"/>
      <c r="L99" s="55"/>
      <c r="M99" s="55"/>
      <c r="N99" s="55"/>
      <c r="O99" s="55"/>
      <c r="Q99" s="5" t="s">
        <v>12</v>
      </c>
    </row>
    <row r="100" spans="1:17" ht="45">
      <c r="A100" s="7" t="str">
        <f>IF(OR(LEN(A99)&lt;1,LEN(A99)&gt;35),"Transaction Identification must be between 1 and 35 characters long","")</f>
        <v>Transaction Identification must be between 1 and 35 characters long</v>
      </c>
      <c r="B100" s="7" t="str">
        <f>IF(OR(LEN(B99)&lt;1,LEN(B99)&gt;35),"Uniqie Identification must be between 1 and 35 characters long","")</f>
        <v>Uniqie Identification must be between 1 and 35 characters long</v>
      </c>
      <c r="D100" s="7" t="str">
        <f>IF(OR(D99&lt;0.01,D99&gt;9999999999999990),"Transaction Amount is not valid","")</f>
        <v>Transaction Amount is not valid</v>
      </c>
      <c r="E100" s="7" t="str">
        <f>IF(AND(LEN(E99)&lt;&gt;8,LEN(E99)&lt;&gt;11),
    "BIC must be 8 or 11 characters long",
    IF(COUNTIF('Control Data (Hidden)'!$B$279:$B$335,E99)=0,
        "Warning: Is IBAN Valid?",
        ""
    )
)</f>
        <v>BIC must be 8 or 11 characters long</v>
      </c>
      <c r="F100" s="7" t="str">
        <f>IF(OR(LEN(F99)&lt;1,LEN(F99)&gt;70),"Creditor's Name must be between 1 and 70 characters long","")</f>
        <v>Creditor's Name must be between 1 and 70 characters long</v>
      </c>
      <c r="G100" s="7" t="str">
        <f>IF(LEN(G99)&gt;70,"Address cannot be longer than 70 characters","")</f>
        <v/>
      </c>
      <c r="H100" s="7" t="str">
        <f>IF(LEN(H99)&gt;16,"Building Number cannot be longer than 16 characters","")</f>
        <v/>
      </c>
      <c r="I100" s="7" t="str">
        <f>IF(LEN(I99)&gt;35,"Building Name cannot be longer than 35 characters","")</f>
        <v/>
      </c>
      <c r="J100" s="7" t="str">
        <f>IF(LEN(J99)&gt;16,"Postal Code cannot be longer than 16 characters","")</f>
        <v/>
      </c>
      <c r="K100" s="7" t="str">
        <f>IF(OR(LEN(K99)&lt;1,LEN(K99)&gt;35),"Town Name must be between 1 and 35 characters long","")</f>
        <v>Town Name must be between 1 and 35 characters long</v>
      </c>
      <c r="L100" s="7" t="str">
        <f>IF(NOT(LEN(L99)=2),"Country Code must be 2 characters long","")</f>
        <v>Country Code must be 2 characters long</v>
      </c>
      <c r="M100" s="7" t="str">
        <f>IF(OR(LEN(M99)&lt;10,LEN(M99)&gt;34),"IBAN may be up to 34 characters long","")</f>
        <v>IBAN may be up to 34 characters long</v>
      </c>
      <c r="N100" s="7" t="str">
        <f>IF(ISBLANK(N99),"Code cannot be left blank","")</f>
        <v>Code cannot be left blank</v>
      </c>
      <c r="O100" s="7" t="str">
        <f>IF(OR(LEN(O99)&lt;1,LEN(O99)&gt;140),"Transaction Details must be between 1 and 140 characters long","")</f>
        <v>Transaction Details must be between 1 and 140 characters long</v>
      </c>
      <c r="Q100" s="1" t="s">
        <v>13</v>
      </c>
    </row>
    <row r="101" spans="1:17">
      <c r="A101" s="55"/>
      <c r="B101" s="55"/>
      <c r="C101" s="55" t="s">
        <v>83</v>
      </c>
      <c r="D101" s="55"/>
      <c r="E101" s="55"/>
      <c r="F101" s="55"/>
      <c r="G101" s="55"/>
      <c r="H101" s="55"/>
      <c r="I101" s="55"/>
      <c r="J101" s="55"/>
      <c r="K101" s="55"/>
      <c r="L101" s="55"/>
      <c r="M101" s="55"/>
      <c r="N101" s="55"/>
      <c r="O101" s="55"/>
      <c r="Q101" s="5" t="s">
        <v>12</v>
      </c>
    </row>
    <row r="102" spans="1:17" ht="45">
      <c r="A102" s="7" t="str">
        <f>IF(OR(LEN(A101)&lt;1,LEN(A101)&gt;35),"Transaction Identification must be between 1 and 35 characters long","")</f>
        <v>Transaction Identification must be between 1 and 35 characters long</v>
      </c>
      <c r="B102" s="7" t="str">
        <f>IF(OR(LEN(B101)&lt;1,LEN(B101)&gt;35),"Uniqie Identification must be between 1 and 35 characters long","")</f>
        <v>Uniqie Identification must be between 1 and 35 characters long</v>
      </c>
      <c r="D102" s="7" t="str">
        <f>IF(OR(D101&lt;0.01,D101&gt;9999999999999990),"Transaction Amount is not valid","")</f>
        <v>Transaction Amount is not valid</v>
      </c>
      <c r="E102" s="7" t="str">
        <f>IF(AND(LEN(E101)&lt;&gt;8,LEN(E101)&lt;&gt;11),
    "BIC must be 8 or 11 characters long",
    IF(COUNTIF('Control Data (Hidden)'!$B$279:$B$335,E101)=0,
        "Warning: Is IBAN Valid?",
        ""
    )
)</f>
        <v>BIC must be 8 or 11 characters long</v>
      </c>
      <c r="F102" s="7" t="str">
        <f>IF(OR(LEN(F101)&lt;1,LEN(F101)&gt;70),"Creditor's Name must be between 1 and 70 characters long","")</f>
        <v>Creditor's Name must be between 1 and 70 characters long</v>
      </c>
      <c r="G102" s="7" t="str">
        <f>IF(LEN(G101)&gt;70,"Address cannot be longer than 70 characters","")</f>
        <v/>
      </c>
      <c r="H102" s="7" t="str">
        <f>IF(LEN(H101)&gt;16,"Building Number cannot be longer than 16 characters","")</f>
        <v/>
      </c>
      <c r="I102" s="7" t="str">
        <f>IF(LEN(I101)&gt;35,"Building Name cannot be longer than 35 characters","")</f>
        <v/>
      </c>
      <c r="J102" s="7" t="str">
        <f>IF(LEN(J101)&gt;16,"Postal Code cannot be longer than 16 characters","")</f>
        <v/>
      </c>
      <c r="K102" s="7" t="str">
        <f>IF(OR(LEN(K101)&lt;1,LEN(K101)&gt;35),"Town Name must be between 1 and 35 characters long","")</f>
        <v>Town Name must be between 1 and 35 characters long</v>
      </c>
      <c r="L102" s="7" t="str">
        <f>IF(NOT(LEN(L101)=2),"Country Code must be 2 characters long","")</f>
        <v>Country Code must be 2 characters long</v>
      </c>
      <c r="M102" s="7" t="str">
        <f>IF(OR(LEN(M101)&lt;10,LEN(M101)&gt;34),"IBAN may be up to 34 characters long","")</f>
        <v>IBAN may be up to 34 characters long</v>
      </c>
      <c r="N102" s="7" t="str">
        <f>IF(ISBLANK(N101),"Code cannot be left blank","")</f>
        <v>Code cannot be left blank</v>
      </c>
      <c r="O102" s="7" t="str">
        <f>IF(OR(LEN(O101)&lt;1,LEN(O101)&gt;140),"Transaction Details must be between 1 and 140 characters long","")</f>
        <v>Transaction Details must be between 1 and 140 characters long</v>
      </c>
      <c r="Q102" s="1" t="s">
        <v>13</v>
      </c>
    </row>
    <row r="103" spans="1:17">
      <c r="A103" s="55"/>
      <c r="B103" s="55"/>
      <c r="C103" s="55" t="s">
        <v>83</v>
      </c>
      <c r="D103" s="55"/>
      <c r="E103" s="55"/>
      <c r="F103" s="55"/>
      <c r="G103" s="55"/>
      <c r="H103" s="55"/>
      <c r="I103" s="55"/>
      <c r="J103" s="55"/>
      <c r="K103" s="55"/>
      <c r="L103" s="55"/>
      <c r="M103" s="55"/>
      <c r="N103" s="55"/>
      <c r="O103" s="55"/>
      <c r="Q103" s="5" t="s">
        <v>12</v>
      </c>
    </row>
    <row r="104" spans="1:17" ht="45">
      <c r="A104" s="7" t="str">
        <f>IF(OR(LEN(A103)&lt;1,LEN(A103)&gt;35),"Transaction Identification must be between 1 and 35 characters long","")</f>
        <v>Transaction Identification must be between 1 and 35 characters long</v>
      </c>
      <c r="B104" s="7" t="str">
        <f>IF(OR(LEN(B103)&lt;1,LEN(B103)&gt;35),"Uniqie Identification must be between 1 and 35 characters long","")</f>
        <v>Uniqie Identification must be between 1 and 35 characters long</v>
      </c>
      <c r="D104" s="7" t="str">
        <f>IF(OR(D103&lt;0.01,D103&gt;9999999999999990),"Transaction Amount is not valid","")</f>
        <v>Transaction Amount is not valid</v>
      </c>
      <c r="E104" s="7" t="str">
        <f>IF(AND(LEN(E103)&lt;&gt;8,LEN(E103)&lt;&gt;11),
    "BIC must be 8 or 11 characters long",
    IF(COUNTIF('Control Data (Hidden)'!$B$279:$B$335,E103)=0,
        "Warning: Is IBAN Valid?",
        ""
    )
)</f>
        <v>BIC must be 8 or 11 characters long</v>
      </c>
      <c r="F104" s="7" t="str">
        <f>IF(OR(LEN(F103)&lt;1,LEN(F103)&gt;70),"Creditor's Name must be between 1 and 70 characters long","")</f>
        <v>Creditor's Name must be between 1 and 70 characters long</v>
      </c>
      <c r="G104" s="7" t="str">
        <f>IF(LEN(G103)&gt;70,"Address cannot be longer than 70 characters","")</f>
        <v/>
      </c>
      <c r="H104" s="7" t="str">
        <f>IF(LEN(H103)&gt;16,"Building Number cannot be longer than 16 characters","")</f>
        <v/>
      </c>
      <c r="I104" s="7" t="str">
        <f>IF(LEN(I103)&gt;35,"Building Name cannot be longer than 35 characters","")</f>
        <v/>
      </c>
      <c r="J104" s="7" t="str">
        <f>IF(LEN(J103)&gt;16,"Postal Code cannot be longer than 16 characters","")</f>
        <v/>
      </c>
      <c r="K104" s="7" t="str">
        <f>IF(OR(LEN(K103)&lt;1,LEN(K103)&gt;35),"Town Name must be between 1 and 35 characters long","")</f>
        <v>Town Name must be between 1 and 35 characters long</v>
      </c>
      <c r="L104" s="7" t="str">
        <f>IF(NOT(LEN(L103)=2),"Country Code must be 2 characters long","")</f>
        <v>Country Code must be 2 characters long</v>
      </c>
      <c r="M104" s="7" t="str">
        <f>IF(OR(LEN(M103)&lt;10,LEN(M103)&gt;34),"IBAN may be up to 34 characters long","")</f>
        <v>IBAN may be up to 34 characters long</v>
      </c>
      <c r="N104" s="7" t="str">
        <f>IF(ISBLANK(N103),"Code cannot be left blank","")</f>
        <v>Code cannot be left blank</v>
      </c>
      <c r="O104" s="7" t="str">
        <f>IF(OR(LEN(O103)&lt;1,LEN(O103)&gt;140),"Transaction Details must be between 1 and 140 characters long","")</f>
        <v>Transaction Details must be between 1 and 140 characters long</v>
      </c>
      <c r="Q104" s="1" t="s">
        <v>13</v>
      </c>
    </row>
    <row r="105" spans="1:17">
      <c r="A105" s="55"/>
      <c r="B105" s="55"/>
      <c r="C105" s="55" t="s">
        <v>83</v>
      </c>
      <c r="D105" s="55"/>
      <c r="E105" s="55"/>
      <c r="F105" s="55"/>
      <c r="G105" s="55"/>
      <c r="H105" s="55"/>
      <c r="I105" s="55"/>
      <c r="J105" s="55"/>
      <c r="K105" s="55"/>
      <c r="L105" s="55"/>
      <c r="M105" s="55"/>
      <c r="N105" s="55"/>
      <c r="O105" s="55"/>
      <c r="Q105" s="5" t="s">
        <v>12</v>
      </c>
    </row>
    <row r="106" spans="1:17" ht="45">
      <c r="A106" s="7" t="str">
        <f>IF(OR(LEN(A105)&lt;1,LEN(A105)&gt;35),"Transaction Identification must be between 1 and 35 characters long","")</f>
        <v>Transaction Identification must be between 1 and 35 characters long</v>
      </c>
      <c r="B106" s="7" t="str">
        <f>IF(OR(LEN(B105)&lt;1,LEN(B105)&gt;35),"Uniqie Identification must be between 1 and 35 characters long","")</f>
        <v>Uniqie Identification must be between 1 and 35 characters long</v>
      </c>
      <c r="D106" s="7" t="str">
        <f>IF(OR(D105&lt;0.01,D105&gt;9999999999999990),"Transaction Amount is not valid","")</f>
        <v>Transaction Amount is not valid</v>
      </c>
      <c r="E106" s="7" t="str">
        <f>IF(AND(LEN(E105)&lt;&gt;8,LEN(E105)&lt;&gt;11),
    "BIC must be 8 or 11 characters long",
    IF(COUNTIF('Control Data (Hidden)'!$B$279:$B$335,E105)=0,
        "Warning: Is IBAN Valid?",
        ""
    )
)</f>
        <v>BIC must be 8 or 11 characters long</v>
      </c>
      <c r="F106" s="7" t="str">
        <f>IF(OR(LEN(F105)&lt;1,LEN(F105)&gt;70),"Creditor's Name must be between 1 and 70 characters long","")</f>
        <v>Creditor's Name must be between 1 and 70 characters long</v>
      </c>
      <c r="G106" s="7" t="str">
        <f>IF(LEN(G105)&gt;70,"Address cannot be longer than 70 characters","")</f>
        <v/>
      </c>
      <c r="H106" s="7" t="str">
        <f>IF(LEN(H105)&gt;16,"Building Number cannot be longer than 16 characters","")</f>
        <v/>
      </c>
      <c r="I106" s="7" t="str">
        <f>IF(LEN(I105)&gt;35,"Building Name cannot be longer than 35 characters","")</f>
        <v/>
      </c>
      <c r="J106" s="7" t="str">
        <f>IF(LEN(J105)&gt;16,"Postal Code cannot be longer than 16 characters","")</f>
        <v/>
      </c>
      <c r="K106" s="7" t="str">
        <f>IF(OR(LEN(K105)&lt;1,LEN(K105)&gt;35),"Town Name must be between 1 and 35 characters long","")</f>
        <v>Town Name must be between 1 and 35 characters long</v>
      </c>
      <c r="L106" s="7" t="str">
        <f>IF(NOT(LEN(L105)=2),"Country Code must be 2 characters long","")</f>
        <v>Country Code must be 2 characters long</v>
      </c>
      <c r="M106" s="7" t="str">
        <f>IF(OR(LEN(M105)&lt;10,LEN(M105)&gt;34),"IBAN may be up to 34 characters long","")</f>
        <v>IBAN may be up to 34 characters long</v>
      </c>
      <c r="N106" s="7" t="str">
        <f>IF(ISBLANK(N105),"Code cannot be left blank","")</f>
        <v>Code cannot be left blank</v>
      </c>
      <c r="O106" s="7" t="str">
        <f>IF(OR(LEN(O105)&lt;1,LEN(O105)&gt;140),"Transaction Details must be between 1 and 140 characters long","")</f>
        <v>Transaction Details must be between 1 and 140 characters long</v>
      </c>
      <c r="Q106" s="1" t="s">
        <v>13</v>
      </c>
    </row>
    <row r="107" spans="1:17">
      <c r="L107" s="55"/>
    </row>
  </sheetData>
  <sheetProtection algorithmName="SHA-512" hashValue="TXz0KgTFYO33rd5G7PeIVSYSdx80YqRhn54fQBA1P3/RTxIBvBGmtSxEpssYEZTfych65YKqZ+cMu5IXRr1W0w==" saltValue="KKSz9mxS+Rx8l6MQkIBNNQ==" spinCount="100000" sheet="1" formatColumns="0" selectLockedCells="1"/>
  <dataValidations count="1">
    <dataValidation errorStyle="warning" allowBlank="1" showInputMessage="1" showErrorMessage="1" errorTitle="Code is not in list" sqref="E5" xr:uid="{9E5F9093-D4C2-43DE-90CC-DF0F2FD34E11}"/>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showInputMessage="1" showErrorMessage="1" errorTitle="CIR: Cd" error="Choose a code from the list" xr:uid="{00000000-0002-0000-0200-000000000000}">
          <x14:formula1>
            <xm:f>'Control Data (Hidden)'!$D$11:$J$11</xm:f>
          </x14:formula1>
          <xm:sqref>N5 N7 N9 N11 N13 N15 N17 N19 N21 N23 N25 N27 N29 N31 N33 N35 N37 N39 N41 N43 N45 N47 N49 N51 N53 N55 N57 N59 N61 N63 N65 N67 N69 N71 N73 N75 N77 N79 N81 N83 N85 N87 N89 N91 N93 N95 N97 N99 N101 N103 N105</xm:sqref>
        </x14:dataValidation>
        <x14:dataValidation type="list" allowBlank="1" showInputMessage="1" showErrorMessage="1" xr:uid="{93A43788-A06D-4932-A72F-FDEFB4FDB15A}">
          <x14:formula1>
            <xm:f>'Control Data (Hidden)'!$B$23:$B$271</xm:f>
          </x14:formula1>
          <xm:sqref>L5 L7 L9 L11 L13 L15 L17 L19 L21 L23 L25 L27 L29 L31 L33 L35 L37 L39 L41 L43 L45 L47 L49 L51 L53 L55 L57 L59 L61 L63 L65 L67 L69 L71 L73 L75 L77 L79 L81 L83 L85 L87 L89 L91 L93 L95 L97 L99 L101 L103 L105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39997558519241921"/>
  </sheetPr>
  <dimension ref="A1:X52"/>
  <sheetViews>
    <sheetView workbookViewId="0">
      <selection activeCell="A7" sqref="A7"/>
    </sheetView>
  </sheetViews>
  <sheetFormatPr defaultRowHeight="15"/>
  <cols>
    <col min="1" max="1" width="13.140625" bestFit="1" customWidth="1"/>
    <col min="2" max="2" width="15.85546875" bestFit="1" customWidth="1"/>
    <col min="3" max="3" width="2.85546875" customWidth="1"/>
    <col min="15" max="15" width="12" bestFit="1" customWidth="1"/>
    <col min="17" max="17" width="2.28515625" customWidth="1"/>
  </cols>
  <sheetData>
    <row r="1" spans="1:24" ht="15.75" thickBot="1">
      <c r="A1" s="71" t="s">
        <v>88</v>
      </c>
      <c r="B1" s="19" t="s">
        <v>95</v>
      </c>
      <c r="D1" s="48" t="s">
        <v>105</v>
      </c>
      <c r="E1" s="49" t="str">
        <f>'Credit Instruction Record'!A1</f>
        <v>InstrId</v>
      </c>
      <c r="F1" s="49" t="str">
        <f>'Credit Instruction Record'!B1</f>
        <v>EndToEndId</v>
      </c>
      <c r="G1" s="49" t="str">
        <f>'Credit Instruction Record'!C1</f>
        <v>Ccy</v>
      </c>
      <c r="H1" s="49" t="str">
        <f>'Credit Instruction Record'!D1</f>
        <v>InstdAmt</v>
      </c>
      <c r="I1" s="49" t="str">
        <f>'Credit Instruction Record'!E1</f>
        <v>BIC</v>
      </c>
      <c r="J1" s="49" t="str">
        <f>'Credit Instruction Record'!F1</f>
        <v>Nm</v>
      </c>
      <c r="K1" s="49" t="str">
        <f>'Credit Instruction Record'!G1</f>
        <v>PstlAdr:StrtNm</v>
      </c>
      <c r="L1" s="49" t="str">
        <f>'Credit Instruction Record'!H1</f>
        <v>PstlAdr:BldgNb</v>
      </c>
      <c r="M1" s="49" t="str">
        <f>'Credit Instruction Record'!M1</f>
        <v>IBAN</v>
      </c>
      <c r="N1" s="49" t="str">
        <f>'Credit Instruction Record'!N1</f>
        <v>Cd</v>
      </c>
      <c r="O1" s="49" t="str">
        <f>'Credit Instruction Record'!O1</f>
        <v>Ustrd</v>
      </c>
      <c r="P1" s="50" t="s">
        <v>117</v>
      </c>
    </row>
    <row r="2" spans="1:24">
      <c r="A2" s="72" t="str">
        <f>'Control Data (Hidden)'!C1</f>
        <v>2.00.00</v>
      </c>
      <c r="B2" t="str">
        <f ca="1">CONCATENATE("BOV_",TEXT(NOW(),"YYYY-MM-DD-HHmmSS"),"000_",'Header Record'!F5)</f>
        <v>BOV_2025-05-17-113414000_XXX000</v>
      </c>
      <c r="D2" s="40">
        <v>1</v>
      </c>
      <c r="E2" t="str">
        <f>IF(ISBLANK('Credit Instruction Record'!A5),"",'Credit Instruction Record'!A5)</f>
        <v/>
      </c>
      <c r="F2" t="str">
        <f>IF(ISBLANK('Credit Instruction Record'!B5),"",'Credit Instruction Record'!B5)</f>
        <v/>
      </c>
      <c r="G2" t="str">
        <f>IF(ISBLANK('Credit Instruction Record'!C5),"",'Credit Instruction Record'!C5)</f>
        <v>EUR</v>
      </c>
      <c r="H2" s="62" t="str">
        <f>IF(ISBLANK('Credit Instruction Record'!D5),"",'Credit Instruction Record'!D5)</f>
        <v/>
      </c>
      <c r="I2" t="str">
        <f>IF(ISBLANK('Credit Instruction Record'!E5),"",'Credit Instruction Record'!E5)</f>
        <v/>
      </c>
      <c r="J2" t="str">
        <f>IF(ISBLANK('Credit Instruction Record'!F5),"",'Credit Instruction Record'!F5)</f>
        <v/>
      </c>
      <c r="K2" t="str">
        <f>IF(ISBLANK('Credit Instruction Record'!G5),"",'Credit Instruction Record'!G5)</f>
        <v/>
      </c>
      <c r="L2" t="str">
        <f>IF(ISBLANK('Credit Instruction Record'!H5),"",'Credit Instruction Record'!H5)</f>
        <v/>
      </c>
      <c r="M2" t="str">
        <f>IF(ISBLANK('Credit Instruction Record'!M5),"",'Credit Instruction Record'!M5)</f>
        <v/>
      </c>
      <c r="N2" t="str">
        <f>IF(ISBLANK('Credit Instruction Record'!N5),"",'Credit Instruction Record'!N5)</f>
        <v/>
      </c>
      <c r="O2" t="str">
        <f>IF(ISBLANK('Credit Instruction Record'!O5),"",'Credit Instruction Record'!O5)</f>
        <v/>
      </c>
      <c r="P2" s="69" t="b">
        <f>M2=""</f>
        <v>1</v>
      </c>
      <c r="R2" s="101" t="s">
        <v>118</v>
      </c>
      <c r="S2" s="102"/>
      <c r="T2" s="102"/>
      <c r="U2" s="102"/>
      <c r="V2" s="102"/>
      <c r="W2" s="102"/>
      <c r="X2" s="103"/>
    </row>
    <row r="3" spans="1:24">
      <c r="A3" s="65" t="str">
        <f>IF(ISBLANK(A2),"Cannot be left Blank","")</f>
        <v/>
      </c>
      <c r="B3" s="18"/>
      <c r="D3" s="40">
        <v>2</v>
      </c>
      <c r="E3" t="str">
        <f>IF(ISBLANK('Credit Instruction Record'!A7),"",'Credit Instruction Record'!A7)</f>
        <v/>
      </c>
      <c r="F3" t="str">
        <f>IF(ISBLANK('Credit Instruction Record'!B7),"",'Credit Instruction Record'!B7)</f>
        <v/>
      </c>
      <c r="G3" t="str">
        <f>IF(ISBLANK('Credit Instruction Record'!C7),"",'Credit Instruction Record'!C7)</f>
        <v>EUR</v>
      </c>
      <c r="H3" s="62" t="str">
        <f>IF(ISBLANK('Credit Instruction Record'!D7),"",'Credit Instruction Record'!D7)</f>
        <v/>
      </c>
      <c r="I3" t="str">
        <f>IF(ISBLANK('Credit Instruction Record'!E7),"",'Credit Instruction Record'!E7)</f>
        <v/>
      </c>
      <c r="J3" t="str">
        <f>IF(ISBLANK('Credit Instruction Record'!F7),"",'Credit Instruction Record'!F7)</f>
        <v/>
      </c>
      <c r="K3" t="str">
        <f>IF(ISBLANK('Credit Instruction Record'!G7),"",'Credit Instruction Record'!G7)</f>
        <v/>
      </c>
      <c r="L3" t="str">
        <f>IF(ISBLANK('Credit Instruction Record'!H7),"",'Credit Instruction Record'!H7)</f>
        <v/>
      </c>
      <c r="M3" t="str">
        <f>IF(ISBLANK('Credit Instruction Record'!M7),"",'Credit Instruction Record'!M7)</f>
        <v/>
      </c>
      <c r="N3" t="str">
        <f>IF(ISBLANK('Credit Instruction Record'!N7),"",'Credit Instruction Record'!N7)</f>
        <v/>
      </c>
      <c r="O3" t="str">
        <f>IF(ISBLANK('Credit Instruction Record'!O7),"",'Credit Instruction Record'!O7)</f>
        <v/>
      </c>
      <c r="P3" s="69" t="b">
        <f t="shared" ref="P3:P33" si="0">M3=""</f>
        <v>1</v>
      </c>
      <c r="R3" s="104"/>
      <c r="S3" s="105"/>
      <c r="T3" s="105"/>
      <c r="U3" s="105"/>
      <c r="V3" s="105"/>
      <c r="W3" s="105"/>
      <c r="X3" s="106"/>
    </row>
    <row r="4" spans="1:24" ht="30">
      <c r="A4" s="19" t="s">
        <v>94</v>
      </c>
      <c r="B4" s="19" t="s">
        <v>116</v>
      </c>
      <c r="D4" s="40">
        <v>3</v>
      </c>
      <c r="E4" t="str">
        <f>IF(ISBLANK('Credit Instruction Record'!A9),"",'Credit Instruction Record'!A9)</f>
        <v/>
      </c>
      <c r="F4" t="str">
        <f>IF(ISBLANK('Credit Instruction Record'!B9),"",'Credit Instruction Record'!B9)</f>
        <v/>
      </c>
      <c r="G4" t="str">
        <f>IF(ISBLANK('Credit Instruction Record'!C9),"",'Credit Instruction Record'!C9)</f>
        <v>EUR</v>
      </c>
      <c r="H4" s="62" t="str">
        <f>IF(ISBLANK('Credit Instruction Record'!D9),"",'Credit Instruction Record'!D9)</f>
        <v/>
      </c>
      <c r="I4" t="str">
        <f>IF(ISBLANK('Credit Instruction Record'!E9),"",'Credit Instruction Record'!E9)</f>
        <v/>
      </c>
      <c r="J4" t="str">
        <f>IF(ISBLANK('Credit Instruction Record'!F9),"",'Credit Instruction Record'!F9)</f>
        <v/>
      </c>
      <c r="K4" t="str">
        <f>IF(ISBLANK('Credit Instruction Record'!G9),"",'Credit Instruction Record'!G9)</f>
        <v/>
      </c>
      <c r="L4" t="str">
        <f>IF(ISBLANK('Credit Instruction Record'!H9),"",'Credit Instruction Record'!H9)</f>
        <v/>
      </c>
      <c r="M4" t="str">
        <f>IF(ISBLANK('Credit Instruction Record'!M9),"",'Credit Instruction Record'!M9)</f>
        <v/>
      </c>
      <c r="N4" t="str">
        <f>IF(ISBLANK('Credit Instruction Record'!N9),"",'Credit Instruction Record'!N9)</f>
        <v/>
      </c>
      <c r="O4" t="str">
        <f>IF(ISBLANK('Credit Instruction Record'!O9),"",'Credit Instruction Record'!O9)</f>
        <v/>
      </c>
      <c r="P4" s="69" t="b">
        <f t="shared" si="0"/>
        <v>1</v>
      </c>
      <c r="R4" s="104"/>
      <c r="S4" s="105"/>
      <c r="T4" s="105"/>
      <c r="U4" s="105"/>
      <c r="V4" s="105"/>
      <c r="W4" s="105"/>
      <c r="X4" s="106"/>
    </row>
    <row r="5" spans="1:24">
      <c r="A5" s="66">
        <f>'Header Record'!C5</f>
        <v>0</v>
      </c>
      <c r="B5" s="62">
        <f>'Header Record'!D5</f>
        <v>0</v>
      </c>
      <c r="D5" s="40">
        <v>4</v>
      </c>
      <c r="E5" t="str">
        <f>IF(ISBLANK('Credit Instruction Record'!A11),"",'Credit Instruction Record'!A11)</f>
        <v/>
      </c>
      <c r="F5" t="str">
        <f>IF(ISBLANK('Credit Instruction Record'!B11),"",'Credit Instruction Record'!B11)</f>
        <v/>
      </c>
      <c r="G5" t="str">
        <f>IF(ISBLANK('Credit Instruction Record'!C11),"",'Credit Instruction Record'!C11)</f>
        <v>EUR</v>
      </c>
      <c r="H5" s="62" t="str">
        <f>IF(ISBLANK('Credit Instruction Record'!D11),"",'Credit Instruction Record'!D11)</f>
        <v/>
      </c>
      <c r="I5" t="str">
        <f>IF(ISBLANK('Credit Instruction Record'!E11),"",'Credit Instruction Record'!E11)</f>
        <v/>
      </c>
      <c r="J5" t="str">
        <f>IF(ISBLANK('Credit Instruction Record'!F11),"",'Credit Instruction Record'!F11)</f>
        <v/>
      </c>
      <c r="K5" t="str">
        <f>IF(ISBLANK('Credit Instruction Record'!G11),"",'Credit Instruction Record'!G11)</f>
        <v/>
      </c>
      <c r="L5" t="str">
        <f>IF(ISBLANK('Credit Instruction Record'!H11),"",'Credit Instruction Record'!H11)</f>
        <v/>
      </c>
      <c r="M5" t="str">
        <f>IF(ISBLANK('Credit Instruction Record'!M11),"",'Credit Instruction Record'!M11)</f>
        <v/>
      </c>
      <c r="N5" t="str">
        <f>IF(ISBLANK('Credit Instruction Record'!N11),"",'Credit Instruction Record'!N11)</f>
        <v/>
      </c>
      <c r="O5" t="str">
        <f>IF(ISBLANK('Credit Instruction Record'!O11),"",'Credit Instruction Record'!O11)</f>
        <v/>
      </c>
      <c r="P5" s="69" t="b">
        <f t="shared" si="0"/>
        <v>1</v>
      </c>
      <c r="R5" s="104"/>
      <c r="S5" s="105"/>
      <c r="T5" s="105"/>
      <c r="U5" s="105"/>
      <c r="V5" s="105"/>
      <c r="W5" s="105"/>
      <c r="X5" s="106"/>
    </row>
    <row r="6" spans="1:24">
      <c r="D6" s="40">
        <v>5</v>
      </c>
      <c r="E6" t="str">
        <f>IF(ISBLANK('Credit Instruction Record'!A13),"",'Credit Instruction Record'!A13)</f>
        <v/>
      </c>
      <c r="F6" t="str">
        <f>IF(ISBLANK('Credit Instruction Record'!B13),"",'Credit Instruction Record'!B13)</f>
        <v/>
      </c>
      <c r="G6" t="str">
        <f>IF(ISBLANK('Credit Instruction Record'!C13),"",'Credit Instruction Record'!C13)</f>
        <v>EUR</v>
      </c>
      <c r="H6" s="62" t="str">
        <f>IF(ISBLANK('Credit Instruction Record'!D13),"",'Credit Instruction Record'!D13)</f>
        <v/>
      </c>
      <c r="I6" t="str">
        <f>IF(ISBLANK('Credit Instruction Record'!E13),"",'Credit Instruction Record'!E13)</f>
        <v/>
      </c>
      <c r="J6" t="str">
        <f>IF(ISBLANK('Credit Instruction Record'!F13),"",'Credit Instruction Record'!F13)</f>
        <v/>
      </c>
      <c r="K6" t="str">
        <f>IF(ISBLANK('Credit Instruction Record'!G13),"",'Credit Instruction Record'!G13)</f>
        <v/>
      </c>
      <c r="L6" t="str">
        <f>IF(ISBLANK('Credit Instruction Record'!H13),"",'Credit Instruction Record'!H13)</f>
        <v/>
      </c>
      <c r="M6" t="str">
        <f>IF(ISBLANK('Credit Instruction Record'!M13),"",'Credit Instruction Record'!M13)</f>
        <v/>
      </c>
      <c r="N6" t="str">
        <f>IF(ISBLANK('Credit Instruction Record'!N13),"",'Credit Instruction Record'!N13)</f>
        <v/>
      </c>
      <c r="O6" t="str">
        <f>IF(ISBLANK('Credit Instruction Record'!O13),"",'Credit Instruction Record'!O13)</f>
        <v/>
      </c>
      <c r="P6" s="69" t="b">
        <f t="shared" si="0"/>
        <v>1</v>
      </c>
      <c r="R6" s="104"/>
      <c r="S6" s="105"/>
      <c r="T6" s="105"/>
      <c r="U6" s="105"/>
      <c r="V6" s="105"/>
      <c r="W6" s="105"/>
      <c r="X6" s="106"/>
    </row>
    <row r="7" spans="1:24">
      <c r="A7" s="55"/>
      <c r="D7" s="40">
        <v>6</v>
      </c>
      <c r="E7" t="str">
        <f>IF(ISBLANK('Credit Instruction Record'!A15),"",'Credit Instruction Record'!A15)</f>
        <v/>
      </c>
      <c r="F7" t="str">
        <f>IF(ISBLANK('Credit Instruction Record'!B15),"",'Credit Instruction Record'!B15)</f>
        <v/>
      </c>
      <c r="G7" t="str">
        <f>IF(ISBLANK('Credit Instruction Record'!C15),"",'Credit Instruction Record'!C15)</f>
        <v>EUR</v>
      </c>
      <c r="H7" s="62" t="str">
        <f>IF(ISBLANK('Credit Instruction Record'!D15),"",'Credit Instruction Record'!D15)</f>
        <v/>
      </c>
      <c r="I7" t="str">
        <f>IF(ISBLANK('Credit Instruction Record'!E15),"",'Credit Instruction Record'!E15)</f>
        <v/>
      </c>
      <c r="J7" t="str">
        <f>IF(ISBLANK('Credit Instruction Record'!F15),"",'Credit Instruction Record'!F15)</f>
        <v/>
      </c>
      <c r="K7" t="str">
        <f>IF(ISBLANK('Credit Instruction Record'!G15),"",'Credit Instruction Record'!G15)</f>
        <v/>
      </c>
      <c r="L7" t="str">
        <f>IF(ISBLANK('Credit Instruction Record'!H15),"",'Credit Instruction Record'!H15)</f>
        <v/>
      </c>
      <c r="M7" t="str">
        <f>IF(ISBLANK('Credit Instruction Record'!M15),"",'Credit Instruction Record'!M15)</f>
        <v/>
      </c>
      <c r="N7" t="str">
        <f>IF(ISBLANK('Credit Instruction Record'!N15),"",'Credit Instruction Record'!N15)</f>
        <v/>
      </c>
      <c r="O7" t="str">
        <f>IF(ISBLANK('Credit Instruction Record'!O15),"",'Credit Instruction Record'!O15)</f>
        <v/>
      </c>
      <c r="P7" s="69" t="b">
        <f t="shared" si="0"/>
        <v>1</v>
      </c>
      <c r="R7" s="104"/>
      <c r="S7" s="105"/>
      <c r="T7" s="105"/>
      <c r="U7" s="105"/>
      <c r="V7" s="105"/>
      <c r="W7" s="105"/>
      <c r="X7" s="106"/>
    </row>
    <row r="8" spans="1:24">
      <c r="A8" s="98" t="s">
        <v>117</v>
      </c>
      <c r="B8" t="s">
        <v>133</v>
      </c>
      <c r="D8" s="40">
        <v>7</v>
      </c>
      <c r="E8" t="str">
        <f>IF(ISBLANK('Credit Instruction Record'!A17),"",'Credit Instruction Record'!A17)</f>
        <v/>
      </c>
      <c r="F8" t="str">
        <f>IF(ISBLANK('Credit Instruction Record'!B17),"",'Credit Instruction Record'!B17)</f>
        <v/>
      </c>
      <c r="G8" t="str">
        <f>IF(ISBLANK('Credit Instruction Record'!C17),"",'Credit Instruction Record'!C17)</f>
        <v>EUR</v>
      </c>
      <c r="H8" s="62" t="str">
        <f>IF(ISBLANK('Credit Instruction Record'!D17),"",'Credit Instruction Record'!D17)</f>
        <v/>
      </c>
      <c r="I8" t="str">
        <f>IF(ISBLANK('Credit Instruction Record'!E17),"",'Credit Instruction Record'!E17)</f>
        <v/>
      </c>
      <c r="J8" t="str">
        <f>IF(ISBLANK('Credit Instruction Record'!F17),"",'Credit Instruction Record'!F17)</f>
        <v/>
      </c>
      <c r="K8" t="str">
        <f>IF(ISBLANK('Credit Instruction Record'!G17),"",'Credit Instruction Record'!G17)</f>
        <v/>
      </c>
      <c r="L8" t="str">
        <f>IF(ISBLANK('Credit Instruction Record'!H17),"",'Credit Instruction Record'!H17)</f>
        <v/>
      </c>
      <c r="M8" t="str">
        <f>IF(ISBLANK('Credit Instruction Record'!M17),"",'Credit Instruction Record'!M17)</f>
        <v/>
      </c>
      <c r="N8" t="str">
        <f>IF(ISBLANK('Credit Instruction Record'!N17),"",'Credit Instruction Record'!N17)</f>
        <v/>
      </c>
      <c r="O8" t="str">
        <f>IF(ISBLANK('Credit Instruction Record'!O17),"",'Credit Instruction Record'!O17)</f>
        <v/>
      </c>
      <c r="P8" s="69" t="b">
        <f t="shared" si="0"/>
        <v>1</v>
      </c>
      <c r="R8" s="104"/>
      <c r="S8" s="105"/>
      <c r="T8" s="105"/>
      <c r="U8" s="105"/>
      <c r="V8" s="105"/>
      <c r="W8" s="105"/>
      <c r="X8" s="106"/>
    </row>
    <row r="9" spans="1:24">
      <c r="D9" s="40">
        <v>8</v>
      </c>
      <c r="E9" t="str">
        <f>IF(ISBLANK('Credit Instruction Record'!A19),"",'Credit Instruction Record'!A19)</f>
        <v/>
      </c>
      <c r="F9" t="str">
        <f>IF(ISBLANK('Credit Instruction Record'!B19),"",'Credit Instruction Record'!B19)</f>
        <v/>
      </c>
      <c r="G9" t="str">
        <f>IF(ISBLANK('Credit Instruction Record'!C19),"",'Credit Instruction Record'!C19)</f>
        <v>EUR</v>
      </c>
      <c r="H9" s="62" t="str">
        <f>IF(ISBLANK('Credit Instruction Record'!D19),"",'Credit Instruction Record'!D19)</f>
        <v/>
      </c>
      <c r="I9" t="str">
        <f>IF(ISBLANK('Credit Instruction Record'!E19),"",'Credit Instruction Record'!E19)</f>
        <v/>
      </c>
      <c r="J9" t="str">
        <f>IF(ISBLANK('Credit Instruction Record'!F19),"",'Credit Instruction Record'!F19)</f>
        <v/>
      </c>
      <c r="K9" t="str">
        <f>IF(ISBLANK('Credit Instruction Record'!G19),"",'Credit Instruction Record'!G19)</f>
        <v/>
      </c>
      <c r="L9" t="str">
        <f>IF(ISBLANK('Credit Instruction Record'!H19),"",'Credit Instruction Record'!H19)</f>
        <v/>
      </c>
      <c r="M9" t="str">
        <f>IF(ISBLANK('Credit Instruction Record'!M19),"",'Credit Instruction Record'!M19)</f>
        <v/>
      </c>
      <c r="N9" t="str">
        <f>IF(ISBLANK('Credit Instruction Record'!N19),"",'Credit Instruction Record'!N19)</f>
        <v/>
      </c>
      <c r="O9" t="str">
        <f>IF(ISBLANK('Credit Instruction Record'!O19),"",'Credit Instruction Record'!O19)</f>
        <v/>
      </c>
      <c r="P9" s="69" t="b">
        <f t="shared" si="0"/>
        <v>1</v>
      </c>
      <c r="R9" s="104"/>
      <c r="S9" s="105"/>
      <c r="T9" s="105"/>
      <c r="U9" s="105"/>
      <c r="V9" s="105"/>
      <c r="W9" s="105"/>
      <c r="X9" s="106"/>
    </row>
    <row r="10" spans="1:24">
      <c r="A10" s="98" t="s">
        <v>106</v>
      </c>
      <c r="B10" t="s">
        <v>108</v>
      </c>
      <c r="D10" s="40">
        <v>9</v>
      </c>
      <c r="E10" t="str">
        <f>IF(ISBLANK('Credit Instruction Record'!A21),"",'Credit Instruction Record'!A21)</f>
        <v/>
      </c>
      <c r="F10" t="str">
        <f>IF(ISBLANK('Credit Instruction Record'!B21),"",'Credit Instruction Record'!B21)</f>
        <v/>
      </c>
      <c r="G10" t="str">
        <f>IF(ISBLANK('Credit Instruction Record'!C21),"",'Credit Instruction Record'!C21)</f>
        <v>EUR</v>
      </c>
      <c r="H10" s="62" t="str">
        <f>IF(ISBLANK('Credit Instruction Record'!D21),"",'Credit Instruction Record'!D21)</f>
        <v/>
      </c>
      <c r="I10" t="str">
        <f>IF(ISBLANK('Credit Instruction Record'!E21),"",'Credit Instruction Record'!E21)</f>
        <v/>
      </c>
      <c r="J10" t="str">
        <f>IF(ISBLANK('Credit Instruction Record'!F21),"",'Credit Instruction Record'!F21)</f>
        <v/>
      </c>
      <c r="K10" t="str">
        <f>IF(ISBLANK('Credit Instruction Record'!G21),"",'Credit Instruction Record'!G21)</f>
        <v/>
      </c>
      <c r="L10" t="str">
        <f>IF(ISBLANK('Credit Instruction Record'!H21),"",'Credit Instruction Record'!H21)</f>
        <v/>
      </c>
      <c r="M10" t="str">
        <f>IF(ISBLANK('Credit Instruction Record'!M21),"",'Credit Instruction Record'!M21)</f>
        <v/>
      </c>
      <c r="N10" t="str">
        <f>IF(ISBLANK('Credit Instruction Record'!N21),"",'Credit Instruction Record'!N21)</f>
        <v/>
      </c>
      <c r="O10" t="str">
        <f>IF(ISBLANK('Credit Instruction Record'!O21),"",'Credit Instruction Record'!O21)</f>
        <v/>
      </c>
      <c r="P10" s="69" t="b">
        <f t="shared" si="0"/>
        <v>1</v>
      </c>
      <c r="R10" s="104"/>
      <c r="S10" s="105"/>
      <c r="T10" s="105"/>
      <c r="U10" s="105"/>
      <c r="V10" s="105"/>
      <c r="W10" s="105"/>
      <c r="X10" s="106"/>
    </row>
    <row r="11" spans="1:24">
      <c r="A11" s="99"/>
      <c r="B11" s="62"/>
      <c r="D11" s="40">
        <v>10</v>
      </c>
      <c r="E11" t="str">
        <f>IF(ISBLANK('Credit Instruction Record'!A23),"",'Credit Instruction Record'!A23)</f>
        <v/>
      </c>
      <c r="F11" t="str">
        <f>IF(ISBLANK('Credit Instruction Record'!B23),"",'Credit Instruction Record'!B23)</f>
        <v/>
      </c>
      <c r="G11" t="str">
        <f>IF(ISBLANK('Credit Instruction Record'!C23),"",'Credit Instruction Record'!C23)</f>
        <v>EUR</v>
      </c>
      <c r="H11" s="62" t="str">
        <f>IF(ISBLANK('Credit Instruction Record'!D23),"",'Credit Instruction Record'!D23)</f>
        <v/>
      </c>
      <c r="I11" t="str">
        <f>IF(ISBLANK('Credit Instruction Record'!E23),"",'Credit Instruction Record'!E23)</f>
        <v/>
      </c>
      <c r="J11" t="str">
        <f>IF(ISBLANK('Credit Instruction Record'!F23),"",'Credit Instruction Record'!F23)</f>
        <v/>
      </c>
      <c r="K11" t="str">
        <f>IF(ISBLANK('Credit Instruction Record'!G23),"",'Credit Instruction Record'!G23)</f>
        <v/>
      </c>
      <c r="L11" t="str">
        <f>IF(ISBLANK('Credit Instruction Record'!H23),"",'Credit Instruction Record'!H23)</f>
        <v/>
      </c>
      <c r="M11" t="str">
        <f>IF(ISBLANK('Credit Instruction Record'!M23),"",'Credit Instruction Record'!M23)</f>
        <v/>
      </c>
      <c r="N11" t="str">
        <f>IF(ISBLANK('Credit Instruction Record'!N23),"",'Credit Instruction Record'!N23)</f>
        <v/>
      </c>
      <c r="O11" t="str">
        <f>IF(ISBLANK('Credit Instruction Record'!O23),"",'Credit Instruction Record'!O23)</f>
        <v/>
      </c>
      <c r="P11" s="69" t="b">
        <f t="shared" si="0"/>
        <v>1</v>
      </c>
      <c r="R11" s="104"/>
      <c r="S11" s="105"/>
      <c r="T11" s="105"/>
      <c r="U11" s="105"/>
      <c r="V11" s="105"/>
      <c r="W11" s="105"/>
      <c r="X11" s="106"/>
    </row>
    <row r="12" spans="1:24">
      <c r="A12" s="100"/>
      <c r="B12" s="62">
        <v>0</v>
      </c>
      <c r="D12" s="40">
        <v>11</v>
      </c>
      <c r="E12" t="str">
        <f>IF(ISBLANK('Credit Instruction Record'!A25),"",'Credit Instruction Record'!A25)</f>
        <v/>
      </c>
      <c r="F12" t="str">
        <f>IF(ISBLANK('Credit Instruction Record'!B25),"",'Credit Instruction Record'!B25)</f>
        <v/>
      </c>
      <c r="G12" t="str">
        <f>IF(ISBLANK('Credit Instruction Record'!C25),"",'Credit Instruction Record'!C25)</f>
        <v>EUR</v>
      </c>
      <c r="H12" s="62" t="str">
        <f>IF(ISBLANK('Credit Instruction Record'!D25),"",'Credit Instruction Record'!D25)</f>
        <v/>
      </c>
      <c r="I12" t="str">
        <f>IF(ISBLANK('Credit Instruction Record'!E25),"",'Credit Instruction Record'!E25)</f>
        <v/>
      </c>
      <c r="J12" t="str">
        <f>IF(ISBLANK('Credit Instruction Record'!F25),"",'Credit Instruction Record'!F25)</f>
        <v/>
      </c>
      <c r="K12" t="str">
        <f>IF(ISBLANK('Credit Instruction Record'!G25),"",'Credit Instruction Record'!G25)</f>
        <v/>
      </c>
      <c r="L12" t="str">
        <f>IF(ISBLANK('Credit Instruction Record'!H25),"",'Credit Instruction Record'!H25)</f>
        <v/>
      </c>
      <c r="M12" t="str">
        <f>IF(ISBLANK('Credit Instruction Record'!M25),"",'Credit Instruction Record'!M25)</f>
        <v/>
      </c>
      <c r="N12" t="str">
        <f>IF(ISBLANK('Credit Instruction Record'!N25),"",'Credit Instruction Record'!N25)</f>
        <v/>
      </c>
      <c r="O12" t="str">
        <f>IF(ISBLANK('Credit Instruction Record'!O25),"",'Credit Instruction Record'!O25)</f>
        <v/>
      </c>
      <c r="P12" s="69" t="b">
        <f t="shared" si="0"/>
        <v>1</v>
      </c>
      <c r="R12" s="104"/>
      <c r="S12" s="105"/>
      <c r="T12" s="105"/>
      <c r="U12" s="105"/>
      <c r="V12" s="105"/>
      <c r="W12" s="105"/>
      <c r="X12" s="106"/>
    </row>
    <row r="13" spans="1:24">
      <c r="A13" s="99" t="s">
        <v>107</v>
      </c>
      <c r="B13" s="62">
        <v>0</v>
      </c>
      <c r="D13" s="40">
        <v>12</v>
      </c>
      <c r="E13" t="str">
        <f>IF(ISBLANK('Credit Instruction Record'!A27),"",'Credit Instruction Record'!A27)</f>
        <v/>
      </c>
      <c r="F13" t="str">
        <f>IF(ISBLANK('Credit Instruction Record'!B27),"",'Credit Instruction Record'!B27)</f>
        <v/>
      </c>
      <c r="G13" t="str">
        <f>IF(ISBLANK('Credit Instruction Record'!C27),"",'Credit Instruction Record'!C27)</f>
        <v>EUR</v>
      </c>
      <c r="H13" s="62" t="str">
        <f>IF(ISBLANK('Credit Instruction Record'!D27),"",'Credit Instruction Record'!D27)</f>
        <v/>
      </c>
      <c r="I13" t="str">
        <f>IF(ISBLANK('Credit Instruction Record'!E27),"",'Credit Instruction Record'!E27)</f>
        <v/>
      </c>
      <c r="J13" t="str">
        <f>IF(ISBLANK('Credit Instruction Record'!F27),"",'Credit Instruction Record'!F27)</f>
        <v/>
      </c>
      <c r="K13" t="str">
        <f>IF(ISBLANK('Credit Instruction Record'!G27),"",'Credit Instruction Record'!G27)</f>
        <v/>
      </c>
      <c r="L13" t="str">
        <f>IF(ISBLANK('Credit Instruction Record'!H27),"",'Credit Instruction Record'!H27)</f>
        <v/>
      </c>
      <c r="M13" t="str">
        <f>IF(ISBLANK('Credit Instruction Record'!M27),"",'Credit Instruction Record'!M27)</f>
        <v/>
      </c>
      <c r="N13" t="str">
        <f>IF(ISBLANK('Credit Instruction Record'!N27),"",'Credit Instruction Record'!N27)</f>
        <v/>
      </c>
      <c r="O13" t="str">
        <f>IF(ISBLANK('Credit Instruction Record'!O27),"",'Credit Instruction Record'!O27)</f>
        <v/>
      </c>
      <c r="P13" s="69" t="b">
        <f t="shared" si="0"/>
        <v>1</v>
      </c>
      <c r="R13" s="104"/>
      <c r="S13" s="105"/>
      <c r="T13" s="105"/>
      <c r="U13" s="105"/>
      <c r="V13" s="105"/>
      <c r="W13" s="105"/>
      <c r="X13" s="106"/>
    </row>
    <row r="14" spans="1:24" ht="15.75" thickBot="1">
      <c r="D14" s="40">
        <v>13</v>
      </c>
      <c r="E14" t="str">
        <f>IF(ISBLANK('Credit Instruction Record'!A29),"",'Credit Instruction Record'!A29)</f>
        <v/>
      </c>
      <c r="F14" t="str">
        <f>IF(ISBLANK('Credit Instruction Record'!B29),"",'Credit Instruction Record'!B29)</f>
        <v/>
      </c>
      <c r="G14" t="str">
        <f>IF(ISBLANK('Credit Instruction Record'!C29),"",'Credit Instruction Record'!C29)</f>
        <v>EUR</v>
      </c>
      <c r="H14" s="62" t="str">
        <f>IF(ISBLANK('Credit Instruction Record'!D29),"",'Credit Instruction Record'!D29)</f>
        <v/>
      </c>
      <c r="I14" t="str">
        <f>IF(ISBLANK('Credit Instruction Record'!E29),"",'Credit Instruction Record'!E29)</f>
        <v/>
      </c>
      <c r="J14" t="str">
        <f>IF(ISBLANK('Credit Instruction Record'!F29),"",'Credit Instruction Record'!F29)</f>
        <v/>
      </c>
      <c r="K14" t="str">
        <f>IF(ISBLANK('Credit Instruction Record'!G29),"",'Credit Instruction Record'!G29)</f>
        <v/>
      </c>
      <c r="L14" t="str">
        <f>IF(ISBLANK('Credit Instruction Record'!H29),"",'Credit Instruction Record'!H29)</f>
        <v/>
      </c>
      <c r="M14" t="str">
        <f>IF(ISBLANK('Credit Instruction Record'!M29),"",'Credit Instruction Record'!M29)</f>
        <v/>
      </c>
      <c r="N14" t="str">
        <f>IF(ISBLANK('Credit Instruction Record'!N29),"",'Credit Instruction Record'!N29)</f>
        <v/>
      </c>
      <c r="O14" t="str">
        <f>IF(ISBLANK('Credit Instruction Record'!O29),"",'Credit Instruction Record'!O29)</f>
        <v/>
      </c>
      <c r="P14" s="69" t="b">
        <f t="shared" si="0"/>
        <v>1</v>
      </c>
      <c r="R14" s="107"/>
      <c r="S14" s="108"/>
      <c r="T14" s="108"/>
      <c r="U14" s="108"/>
      <c r="V14" s="108"/>
      <c r="W14" s="108"/>
      <c r="X14" s="109"/>
    </row>
    <row r="15" spans="1:24" ht="15.75" thickBot="1">
      <c r="D15" s="40">
        <v>14</v>
      </c>
      <c r="E15" t="str">
        <f>IF(ISBLANK('Credit Instruction Record'!A31),"",'Credit Instruction Record'!A31)</f>
        <v/>
      </c>
      <c r="F15" t="str">
        <f>IF(ISBLANK('Credit Instruction Record'!B31),"",'Credit Instruction Record'!B31)</f>
        <v/>
      </c>
      <c r="G15" t="str">
        <f>IF(ISBLANK('Credit Instruction Record'!C31),"",'Credit Instruction Record'!C31)</f>
        <v>EUR</v>
      </c>
      <c r="H15" s="62" t="str">
        <f>IF(ISBLANK('Credit Instruction Record'!D31),"",'Credit Instruction Record'!D31)</f>
        <v/>
      </c>
      <c r="I15" t="str">
        <f>IF(ISBLANK('Credit Instruction Record'!E31),"",'Credit Instruction Record'!E31)</f>
        <v/>
      </c>
      <c r="J15" t="str">
        <f>IF(ISBLANK('Credit Instruction Record'!F31),"",'Credit Instruction Record'!F31)</f>
        <v/>
      </c>
      <c r="K15" t="str">
        <f>IF(ISBLANK('Credit Instruction Record'!G31),"",'Credit Instruction Record'!G31)</f>
        <v/>
      </c>
      <c r="L15" t="str">
        <f>IF(ISBLANK('Credit Instruction Record'!H31),"",'Credit Instruction Record'!H31)</f>
        <v/>
      </c>
      <c r="M15" t="str">
        <f>IF(ISBLANK('Credit Instruction Record'!M31),"",'Credit Instruction Record'!M31)</f>
        <v/>
      </c>
      <c r="N15" t="str">
        <f>IF(ISBLANK('Credit Instruction Record'!N31),"",'Credit Instruction Record'!N31)</f>
        <v/>
      </c>
      <c r="O15" t="str">
        <f>IF(ISBLANK('Credit Instruction Record'!O31),"",'Credit Instruction Record'!O31)</f>
        <v/>
      </c>
      <c r="P15" s="69" t="b">
        <f t="shared" si="0"/>
        <v>1</v>
      </c>
    </row>
    <row r="16" spans="1:24">
      <c r="D16" s="40">
        <v>15</v>
      </c>
      <c r="E16" t="str">
        <f>IF(ISBLANK('Credit Instruction Record'!A33),"",'Credit Instruction Record'!A33)</f>
        <v/>
      </c>
      <c r="F16" t="str">
        <f>IF(ISBLANK('Credit Instruction Record'!B33),"",'Credit Instruction Record'!B33)</f>
        <v/>
      </c>
      <c r="G16" t="str">
        <f>IF(ISBLANK('Credit Instruction Record'!C33),"",'Credit Instruction Record'!C33)</f>
        <v>EUR</v>
      </c>
      <c r="H16" s="62" t="str">
        <f>IF(ISBLANK('Credit Instruction Record'!D33),"",'Credit Instruction Record'!D33)</f>
        <v/>
      </c>
      <c r="I16" t="str">
        <f>IF(ISBLANK('Credit Instruction Record'!E33),"",'Credit Instruction Record'!E33)</f>
        <v/>
      </c>
      <c r="J16" t="str">
        <f>IF(ISBLANK('Credit Instruction Record'!F33),"",'Credit Instruction Record'!F33)</f>
        <v/>
      </c>
      <c r="K16" t="str">
        <f>IF(ISBLANK('Credit Instruction Record'!G33),"",'Credit Instruction Record'!G33)</f>
        <v/>
      </c>
      <c r="L16" t="str">
        <f>IF(ISBLANK('Credit Instruction Record'!H33),"",'Credit Instruction Record'!H33)</f>
        <v/>
      </c>
      <c r="M16" t="str">
        <f>IF(ISBLANK('Credit Instruction Record'!M33),"",'Credit Instruction Record'!M33)</f>
        <v/>
      </c>
      <c r="N16" t="str">
        <f>IF(ISBLANK('Credit Instruction Record'!N33),"",'Credit Instruction Record'!N33)</f>
        <v/>
      </c>
      <c r="O16" t="str">
        <f>IF(ISBLANK('Credit Instruction Record'!O33),"",'Credit Instruction Record'!O33)</f>
        <v/>
      </c>
      <c r="P16" s="69" t="b">
        <f t="shared" si="0"/>
        <v>1</v>
      </c>
      <c r="R16" s="110" t="s">
        <v>119</v>
      </c>
      <c r="S16" s="111"/>
      <c r="T16" s="111"/>
      <c r="U16" s="111"/>
      <c r="V16" s="111"/>
      <c r="W16" s="111"/>
      <c r="X16" s="112"/>
    </row>
    <row r="17" spans="4:24">
      <c r="D17" s="40">
        <v>16</v>
      </c>
      <c r="E17" t="str">
        <f>IF(ISBLANK('Credit Instruction Record'!A35),"",'Credit Instruction Record'!A35)</f>
        <v/>
      </c>
      <c r="F17" t="str">
        <f>IF(ISBLANK('Credit Instruction Record'!B35),"",'Credit Instruction Record'!B35)</f>
        <v/>
      </c>
      <c r="G17" t="str">
        <f>IF(ISBLANK('Credit Instruction Record'!C35),"",'Credit Instruction Record'!C35)</f>
        <v>EUR</v>
      </c>
      <c r="H17" s="62" t="str">
        <f>IF(ISBLANK('Credit Instruction Record'!D35),"",'Credit Instruction Record'!D35)</f>
        <v/>
      </c>
      <c r="I17" t="str">
        <f>IF(ISBLANK('Credit Instruction Record'!E35),"",'Credit Instruction Record'!E35)</f>
        <v/>
      </c>
      <c r="J17" t="str">
        <f>IF(ISBLANK('Credit Instruction Record'!F35),"",'Credit Instruction Record'!F35)</f>
        <v/>
      </c>
      <c r="K17" t="str">
        <f>IF(ISBLANK('Credit Instruction Record'!G35),"",'Credit Instruction Record'!G35)</f>
        <v/>
      </c>
      <c r="L17" t="str">
        <f>IF(ISBLANK('Credit Instruction Record'!H35),"",'Credit Instruction Record'!H35)</f>
        <v/>
      </c>
      <c r="M17" t="str">
        <f>IF(ISBLANK('Credit Instruction Record'!M35),"",'Credit Instruction Record'!M35)</f>
        <v/>
      </c>
      <c r="N17" t="str">
        <f>IF(ISBLANK('Credit Instruction Record'!N35),"",'Credit Instruction Record'!N35)</f>
        <v/>
      </c>
      <c r="O17" t="str">
        <f>IF(ISBLANK('Credit Instruction Record'!O35),"",'Credit Instruction Record'!O35)</f>
        <v/>
      </c>
      <c r="P17" s="69" t="b">
        <f t="shared" si="0"/>
        <v>1</v>
      </c>
      <c r="R17" s="113"/>
      <c r="S17" s="114"/>
      <c r="T17" s="114"/>
      <c r="U17" s="114"/>
      <c r="V17" s="114"/>
      <c r="W17" s="114"/>
      <c r="X17" s="115"/>
    </row>
    <row r="18" spans="4:24">
      <c r="D18" s="40">
        <v>17</v>
      </c>
      <c r="E18" t="str">
        <f>IF(ISBLANK('Credit Instruction Record'!A37),"",'Credit Instruction Record'!A37)</f>
        <v/>
      </c>
      <c r="F18" t="str">
        <f>IF(ISBLANK('Credit Instruction Record'!B37),"",'Credit Instruction Record'!B37)</f>
        <v/>
      </c>
      <c r="G18" t="str">
        <f>IF(ISBLANK('Credit Instruction Record'!C37),"",'Credit Instruction Record'!C37)</f>
        <v>EUR</v>
      </c>
      <c r="H18" s="62" t="str">
        <f>IF(ISBLANK('Credit Instruction Record'!D37),"",'Credit Instruction Record'!D37)</f>
        <v/>
      </c>
      <c r="I18" t="str">
        <f>IF(ISBLANK('Credit Instruction Record'!E37),"",'Credit Instruction Record'!E37)</f>
        <v/>
      </c>
      <c r="J18" t="str">
        <f>IF(ISBLANK('Credit Instruction Record'!F37),"",'Credit Instruction Record'!F37)</f>
        <v/>
      </c>
      <c r="K18" t="str">
        <f>IF(ISBLANK('Credit Instruction Record'!G37),"",'Credit Instruction Record'!G37)</f>
        <v/>
      </c>
      <c r="L18" t="str">
        <f>IF(ISBLANK('Credit Instruction Record'!H37),"",'Credit Instruction Record'!H37)</f>
        <v/>
      </c>
      <c r="M18" t="str">
        <f>IF(ISBLANK('Credit Instruction Record'!M37),"",'Credit Instruction Record'!M37)</f>
        <v/>
      </c>
      <c r="N18" t="str">
        <f>IF(ISBLANK('Credit Instruction Record'!N37),"",'Credit Instruction Record'!N37)</f>
        <v/>
      </c>
      <c r="O18" t="str">
        <f>IF(ISBLANK('Credit Instruction Record'!O37),"",'Credit Instruction Record'!O37)</f>
        <v/>
      </c>
      <c r="P18" s="69" t="b">
        <f t="shared" si="0"/>
        <v>1</v>
      </c>
      <c r="R18" s="113"/>
      <c r="S18" s="114"/>
      <c r="T18" s="114"/>
      <c r="U18" s="114"/>
      <c r="V18" s="114"/>
      <c r="W18" s="114"/>
      <c r="X18" s="115"/>
    </row>
    <row r="19" spans="4:24">
      <c r="D19" s="40">
        <v>18</v>
      </c>
      <c r="E19" t="str">
        <f>IF(ISBLANK('Credit Instruction Record'!A39),"",'Credit Instruction Record'!A39)</f>
        <v/>
      </c>
      <c r="F19" t="str">
        <f>IF(ISBLANK('Credit Instruction Record'!B39),"",'Credit Instruction Record'!B39)</f>
        <v/>
      </c>
      <c r="G19" t="str">
        <f>IF(ISBLANK('Credit Instruction Record'!C39),"",'Credit Instruction Record'!C39)</f>
        <v>EUR</v>
      </c>
      <c r="H19" s="62" t="str">
        <f>IF(ISBLANK('Credit Instruction Record'!D39),"",'Credit Instruction Record'!D39)</f>
        <v/>
      </c>
      <c r="I19" t="str">
        <f>IF(ISBLANK('Credit Instruction Record'!E39),"",'Credit Instruction Record'!E39)</f>
        <v/>
      </c>
      <c r="J19" t="str">
        <f>IF(ISBLANK('Credit Instruction Record'!F39),"",'Credit Instruction Record'!F39)</f>
        <v/>
      </c>
      <c r="K19" t="str">
        <f>IF(ISBLANK('Credit Instruction Record'!G39),"",'Credit Instruction Record'!G39)</f>
        <v/>
      </c>
      <c r="L19" t="str">
        <f>IF(ISBLANK('Credit Instruction Record'!H39),"",'Credit Instruction Record'!H39)</f>
        <v/>
      </c>
      <c r="M19" t="str">
        <f>IF(ISBLANK('Credit Instruction Record'!M39),"",'Credit Instruction Record'!M39)</f>
        <v/>
      </c>
      <c r="N19" t="str">
        <f>IF(ISBLANK('Credit Instruction Record'!N39),"",'Credit Instruction Record'!N39)</f>
        <v/>
      </c>
      <c r="O19" t="str">
        <f>IF(ISBLANK('Credit Instruction Record'!O39),"",'Credit Instruction Record'!O39)</f>
        <v/>
      </c>
      <c r="P19" s="69" t="b">
        <f t="shared" si="0"/>
        <v>1</v>
      </c>
      <c r="R19" s="113"/>
      <c r="S19" s="114"/>
      <c r="T19" s="114"/>
      <c r="U19" s="114"/>
      <c r="V19" s="114"/>
      <c r="W19" s="114"/>
      <c r="X19" s="115"/>
    </row>
    <row r="20" spans="4:24">
      <c r="D20" s="40">
        <v>19</v>
      </c>
      <c r="E20" t="str">
        <f>IF(ISBLANK('Credit Instruction Record'!A41),"",'Credit Instruction Record'!A41)</f>
        <v/>
      </c>
      <c r="F20" t="str">
        <f>IF(ISBLANK('Credit Instruction Record'!B41),"",'Credit Instruction Record'!B41)</f>
        <v/>
      </c>
      <c r="G20" t="str">
        <f>IF(ISBLANK('Credit Instruction Record'!C41),"",'Credit Instruction Record'!C41)</f>
        <v>EUR</v>
      </c>
      <c r="H20" s="62" t="str">
        <f>IF(ISBLANK('Credit Instruction Record'!D41),"",'Credit Instruction Record'!D41)</f>
        <v/>
      </c>
      <c r="I20" t="str">
        <f>IF(ISBLANK('Credit Instruction Record'!E41),"",'Credit Instruction Record'!E41)</f>
        <v/>
      </c>
      <c r="J20" t="str">
        <f>IF(ISBLANK('Credit Instruction Record'!F41),"",'Credit Instruction Record'!F41)</f>
        <v/>
      </c>
      <c r="K20" t="str">
        <f>IF(ISBLANK('Credit Instruction Record'!G41),"",'Credit Instruction Record'!G41)</f>
        <v/>
      </c>
      <c r="L20" t="str">
        <f>IF(ISBLANK('Credit Instruction Record'!H41),"",'Credit Instruction Record'!H41)</f>
        <v/>
      </c>
      <c r="M20" t="str">
        <f>IF(ISBLANK('Credit Instruction Record'!M41),"",'Credit Instruction Record'!M41)</f>
        <v/>
      </c>
      <c r="N20" t="str">
        <f>IF(ISBLANK('Credit Instruction Record'!N41),"",'Credit Instruction Record'!N41)</f>
        <v/>
      </c>
      <c r="O20" t="str">
        <f>IF(ISBLANK('Credit Instruction Record'!O41),"",'Credit Instruction Record'!O41)</f>
        <v/>
      </c>
      <c r="P20" s="69" t="b">
        <f t="shared" si="0"/>
        <v>1</v>
      </c>
      <c r="R20" s="113"/>
      <c r="S20" s="114"/>
      <c r="T20" s="114"/>
      <c r="U20" s="114"/>
      <c r="V20" s="114"/>
      <c r="W20" s="114"/>
      <c r="X20" s="115"/>
    </row>
    <row r="21" spans="4:24">
      <c r="D21" s="40">
        <v>20</v>
      </c>
      <c r="E21" t="str">
        <f>IF(ISBLANK('Credit Instruction Record'!A43),"",'Credit Instruction Record'!A43)</f>
        <v/>
      </c>
      <c r="F21" t="str">
        <f>IF(ISBLANK('Credit Instruction Record'!B43),"",'Credit Instruction Record'!B43)</f>
        <v/>
      </c>
      <c r="G21" t="str">
        <f>IF(ISBLANK('Credit Instruction Record'!C43),"",'Credit Instruction Record'!C43)</f>
        <v>EUR</v>
      </c>
      <c r="H21" s="62" t="str">
        <f>IF(ISBLANK('Credit Instruction Record'!D43),"",'Credit Instruction Record'!D43)</f>
        <v/>
      </c>
      <c r="I21" t="str">
        <f>IF(ISBLANK('Credit Instruction Record'!E43),"",'Credit Instruction Record'!E43)</f>
        <v/>
      </c>
      <c r="J21" t="str">
        <f>IF(ISBLANK('Credit Instruction Record'!F43),"",'Credit Instruction Record'!F43)</f>
        <v/>
      </c>
      <c r="K21" t="str">
        <f>IF(ISBLANK('Credit Instruction Record'!G43),"",'Credit Instruction Record'!G43)</f>
        <v/>
      </c>
      <c r="L21" t="str">
        <f>IF(ISBLANK('Credit Instruction Record'!H43),"",'Credit Instruction Record'!H43)</f>
        <v/>
      </c>
      <c r="M21" t="str">
        <f>IF(ISBLANK('Credit Instruction Record'!M43),"",'Credit Instruction Record'!M43)</f>
        <v/>
      </c>
      <c r="N21" t="str">
        <f>IF(ISBLANK('Credit Instruction Record'!N43),"",'Credit Instruction Record'!N43)</f>
        <v/>
      </c>
      <c r="O21" t="str">
        <f>IF(ISBLANK('Credit Instruction Record'!O43),"",'Credit Instruction Record'!O43)</f>
        <v/>
      </c>
      <c r="P21" s="69" t="b">
        <f t="shared" si="0"/>
        <v>1</v>
      </c>
      <c r="R21" s="113"/>
      <c r="S21" s="114"/>
      <c r="T21" s="114"/>
      <c r="U21" s="114"/>
      <c r="V21" s="114"/>
      <c r="W21" s="114"/>
      <c r="X21" s="115"/>
    </row>
    <row r="22" spans="4:24">
      <c r="D22" s="40">
        <v>21</v>
      </c>
      <c r="E22" t="str">
        <f>IF(ISBLANK('Credit Instruction Record'!A45),"",'Credit Instruction Record'!A45)</f>
        <v/>
      </c>
      <c r="F22" t="str">
        <f>IF(ISBLANK('Credit Instruction Record'!B45),"",'Credit Instruction Record'!B45)</f>
        <v/>
      </c>
      <c r="G22" t="str">
        <f>IF(ISBLANK('Credit Instruction Record'!C45),"",'Credit Instruction Record'!C45)</f>
        <v>EUR</v>
      </c>
      <c r="H22" s="62" t="str">
        <f>IF(ISBLANK('Credit Instruction Record'!D45),"",'Credit Instruction Record'!D45)</f>
        <v/>
      </c>
      <c r="I22" t="str">
        <f>IF(ISBLANK('Credit Instruction Record'!E45),"",'Credit Instruction Record'!E45)</f>
        <v/>
      </c>
      <c r="J22" t="str">
        <f>IF(ISBLANK('Credit Instruction Record'!F45),"",'Credit Instruction Record'!F45)</f>
        <v/>
      </c>
      <c r="K22" t="str">
        <f>IF(ISBLANK('Credit Instruction Record'!G45),"",'Credit Instruction Record'!G45)</f>
        <v/>
      </c>
      <c r="L22" t="str">
        <f>IF(ISBLANK('Credit Instruction Record'!H45),"",'Credit Instruction Record'!H45)</f>
        <v/>
      </c>
      <c r="M22" t="str">
        <f>IF(ISBLANK('Credit Instruction Record'!M45),"",'Credit Instruction Record'!M45)</f>
        <v/>
      </c>
      <c r="N22" t="str">
        <f>IF(ISBLANK('Credit Instruction Record'!N45),"",'Credit Instruction Record'!N45)</f>
        <v/>
      </c>
      <c r="O22" t="str">
        <f>IF(ISBLANK('Credit Instruction Record'!O45),"",'Credit Instruction Record'!O45)</f>
        <v/>
      </c>
      <c r="P22" s="69" t="b">
        <f t="shared" si="0"/>
        <v>1</v>
      </c>
      <c r="R22" s="113"/>
      <c r="S22" s="114"/>
      <c r="T22" s="114"/>
      <c r="U22" s="114"/>
      <c r="V22" s="114"/>
      <c r="W22" s="114"/>
      <c r="X22" s="115"/>
    </row>
    <row r="23" spans="4:24">
      <c r="D23" s="40">
        <v>22</v>
      </c>
      <c r="E23" t="str">
        <f>IF(ISBLANK('Credit Instruction Record'!A47),"",'Credit Instruction Record'!A47)</f>
        <v/>
      </c>
      <c r="F23" t="str">
        <f>IF(ISBLANK('Credit Instruction Record'!B47),"",'Credit Instruction Record'!B47)</f>
        <v/>
      </c>
      <c r="G23" t="str">
        <f>IF(ISBLANK('Credit Instruction Record'!C47),"",'Credit Instruction Record'!C47)</f>
        <v>EUR</v>
      </c>
      <c r="H23" s="62" t="str">
        <f>IF(ISBLANK('Credit Instruction Record'!D47),"",'Credit Instruction Record'!D47)</f>
        <v/>
      </c>
      <c r="I23" t="str">
        <f>IF(ISBLANK('Credit Instruction Record'!E47),"",'Credit Instruction Record'!E47)</f>
        <v/>
      </c>
      <c r="J23" t="str">
        <f>IF(ISBLANK('Credit Instruction Record'!F47),"",'Credit Instruction Record'!F47)</f>
        <v/>
      </c>
      <c r="K23" t="str">
        <f>IF(ISBLANK('Credit Instruction Record'!G47),"",'Credit Instruction Record'!G47)</f>
        <v/>
      </c>
      <c r="L23" t="str">
        <f>IF(ISBLANK('Credit Instruction Record'!H47),"",'Credit Instruction Record'!H47)</f>
        <v/>
      </c>
      <c r="M23" t="str">
        <f>IF(ISBLANK('Credit Instruction Record'!M47),"",'Credit Instruction Record'!M47)</f>
        <v/>
      </c>
      <c r="N23" t="str">
        <f>IF(ISBLANK('Credit Instruction Record'!N47),"",'Credit Instruction Record'!N47)</f>
        <v/>
      </c>
      <c r="O23" t="str">
        <f>IF(ISBLANK('Credit Instruction Record'!O47),"",'Credit Instruction Record'!O47)</f>
        <v/>
      </c>
      <c r="P23" s="69" t="b">
        <f t="shared" si="0"/>
        <v>1</v>
      </c>
      <c r="R23" s="113"/>
      <c r="S23" s="114"/>
      <c r="T23" s="114"/>
      <c r="U23" s="114"/>
      <c r="V23" s="114"/>
      <c r="W23" s="114"/>
      <c r="X23" s="115"/>
    </row>
    <row r="24" spans="4:24">
      <c r="D24" s="40">
        <v>23</v>
      </c>
      <c r="E24" t="str">
        <f>IF(ISBLANK('Credit Instruction Record'!A49),"",'Credit Instruction Record'!A49)</f>
        <v/>
      </c>
      <c r="F24" t="str">
        <f>IF(ISBLANK('Credit Instruction Record'!B49),"",'Credit Instruction Record'!B49)</f>
        <v/>
      </c>
      <c r="G24" t="str">
        <f>IF(ISBLANK('Credit Instruction Record'!C49),"",'Credit Instruction Record'!C49)</f>
        <v>EUR</v>
      </c>
      <c r="H24" s="62" t="str">
        <f>IF(ISBLANK('Credit Instruction Record'!D49),"",'Credit Instruction Record'!D49)</f>
        <v/>
      </c>
      <c r="I24" t="str">
        <f>IF(ISBLANK('Credit Instruction Record'!E49),"",'Credit Instruction Record'!E49)</f>
        <v/>
      </c>
      <c r="J24" t="str">
        <f>IF(ISBLANK('Credit Instruction Record'!F49),"",'Credit Instruction Record'!F49)</f>
        <v/>
      </c>
      <c r="K24" t="str">
        <f>IF(ISBLANK('Credit Instruction Record'!G49),"",'Credit Instruction Record'!G49)</f>
        <v/>
      </c>
      <c r="L24" t="str">
        <f>IF(ISBLANK('Credit Instruction Record'!H49),"",'Credit Instruction Record'!H49)</f>
        <v/>
      </c>
      <c r="M24" t="str">
        <f>IF(ISBLANK('Credit Instruction Record'!M49),"",'Credit Instruction Record'!M49)</f>
        <v/>
      </c>
      <c r="N24" t="str">
        <f>IF(ISBLANK('Credit Instruction Record'!N49),"",'Credit Instruction Record'!N49)</f>
        <v/>
      </c>
      <c r="O24" t="str">
        <f>IF(ISBLANK('Credit Instruction Record'!O49),"",'Credit Instruction Record'!O49)</f>
        <v/>
      </c>
      <c r="P24" s="69" t="b">
        <f t="shared" si="0"/>
        <v>1</v>
      </c>
      <c r="R24" s="113"/>
      <c r="S24" s="114"/>
      <c r="T24" s="114"/>
      <c r="U24" s="114"/>
      <c r="V24" s="114"/>
      <c r="W24" s="114"/>
      <c r="X24" s="115"/>
    </row>
    <row r="25" spans="4:24">
      <c r="D25" s="40">
        <v>24</v>
      </c>
      <c r="E25" t="str">
        <f>IF(ISBLANK('Credit Instruction Record'!A51),"",'Credit Instruction Record'!A51)</f>
        <v/>
      </c>
      <c r="F25" t="str">
        <f>IF(ISBLANK('Credit Instruction Record'!B51),"",'Credit Instruction Record'!B51)</f>
        <v/>
      </c>
      <c r="G25" t="str">
        <f>IF(ISBLANK('Credit Instruction Record'!C51),"",'Credit Instruction Record'!C51)</f>
        <v>EUR</v>
      </c>
      <c r="H25" s="62" t="str">
        <f>IF(ISBLANK('Credit Instruction Record'!D51),"",'Credit Instruction Record'!D51)</f>
        <v/>
      </c>
      <c r="I25" t="str">
        <f>IF(ISBLANK('Credit Instruction Record'!E51),"",'Credit Instruction Record'!E51)</f>
        <v/>
      </c>
      <c r="J25" t="str">
        <f>IF(ISBLANK('Credit Instruction Record'!F51),"",'Credit Instruction Record'!F51)</f>
        <v/>
      </c>
      <c r="K25" t="str">
        <f>IF(ISBLANK('Credit Instruction Record'!G51),"",'Credit Instruction Record'!G51)</f>
        <v/>
      </c>
      <c r="L25" t="str">
        <f>IF(ISBLANK('Credit Instruction Record'!H51),"",'Credit Instruction Record'!H51)</f>
        <v/>
      </c>
      <c r="M25" t="str">
        <f>IF(ISBLANK('Credit Instruction Record'!M51),"",'Credit Instruction Record'!M51)</f>
        <v/>
      </c>
      <c r="N25" t="str">
        <f>IF(ISBLANK('Credit Instruction Record'!N51),"",'Credit Instruction Record'!N51)</f>
        <v/>
      </c>
      <c r="O25" t="str">
        <f>IF(ISBLANK('Credit Instruction Record'!O51),"",'Credit Instruction Record'!O51)</f>
        <v/>
      </c>
      <c r="P25" s="69" t="b">
        <f t="shared" si="0"/>
        <v>1</v>
      </c>
      <c r="R25" s="113"/>
      <c r="S25" s="114"/>
      <c r="T25" s="114"/>
      <c r="U25" s="114"/>
      <c r="V25" s="114"/>
      <c r="W25" s="114"/>
      <c r="X25" s="115"/>
    </row>
    <row r="26" spans="4:24">
      <c r="D26" s="40">
        <v>25</v>
      </c>
      <c r="E26" t="str">
        <f>IF(ISBLANK('Credit Instruction Record'!A53),"",'Credit Instruction Record'!A53)</f>
        <v/>
      </c>
      <c r="F26" t="str">
        <f>IF(ISBLANK('Credit Instruction Record'!B53),"",'Credit Instruction Record'!B53)</f>
        <v/>
      </c>
      <c r="G26" t="str">
        <f>IF(ISBLANK('Credit Instruction Record'!C53),"",'Credit Instruction Record'!C53)</f>
        <v>EUR</v>
      </c>
      <c r="H26" s="62" t="str">
        <f>IF(ISBLANK('Credit Instruction Record'!D53),"",'Credit Instruction Record'!D53)</f>
        <v/>
      </c>
      <c r="I26" t="str">
        <f>IF(ISBLANK('Credit Instruction Record'!E53),"",'Credit Instruction Record'!E53)</f>
        <v/>
      </c>
      <c r="J26" t="str">
        <f>IF(ISBLANK('Credit Instruction Record'!F53),"",'Credit Instruction Record'!F53)</f>
        <v/>
      </c>
      <c r="K26" t="str">
        <f>IF(ISBLANK('Credit Instruction Record'!G53),"",'Credit Instruction Record'!G53)</f>
        <v/>
      </c>
      <c r="L26" t="str">
        <f>IF(ISBLANK('Credit Instruction Record'!H53),"",'Credit Instruction Record'!H53)</f>
        <v/>
      </c>
      <c r="M26" t="str">
        <f>IF(ISBLANK('Credit Instruction Record'!M53),"",'Credit Instruction Record'!M53)</f>
        <v/>
      </c>
      <c r="N26" t="str">
        <f>IF(ISBLANK('Credit Instruction Record'!N53),"",'Credit Instruction Record'!N53)</f>
        <v/>
      </c>
      <c r="O26" t="str">
        <f>IF(ISBLANK('Credit Instruction Record'!O53),"",'Credit Instruction Record'!O53)</f>
        <v/>
      </c>
      <c r="P26" s="69" t="b">
        <f t="shared" si="0"/>
        <v>1</v>
      </c>
      <c r="R26" s="113"/>
      <c r="S26" s="114"/>
      <c r="T26" s="114"/>
      <c r="U26" s="114"/>
      <c r="V26" s="114"/>
      <c r="W26" s="114"/>
      <c r="X26" s="115"/>
    </row>
    <row r="27" spans="4:24">
      <c r="D27" s="40">
        <v>26</v>
      </c>
      <c r="E27" t="str">
        <f>IF(ISBLANK('Credit Instruction Record'!A55),"",'Credit Instruction Record'!A55)</f>
        <v/>
      </c>
      <c r="F27" t="str">
        <f>IF(ISBLANK('Credit Instruction Record'!B55),"",'Credit Instruction Record'!B55)</f>
        <v/>
      </c>
      <c r="G27" t="str">
        <f>IF(ISBLANK('Credit Instruction Record'!C55),"",'Credit Instruction Record'!C55)</f>
        <v>EUR</v>
      </c>
      <c r="H27" s="62" t="str">
        <f>IF(ISBLANK('Credit Instruction Record'!D55),"",'Credit Instruction Record'!D55)</f>
        <v/>
      </c>
      <c r="I27" t="str">
        <f>IF(ISBLANK('Credit Instruction Record'!E55),"",'Credit Instruction Record'!E55)</f>
        <v/>
      </c>
      <c r="J27" t="str">
        <f>IF(ISBLANK('Credit Instruction Record'!F55),"",'Credit Instruction Record'!F55)</f>
        <v/>
      </c>
      <c r="K27" t="str">
        <f>IF(ISBLANK('Credit Instruction Record'!G55),"",'Credit Instruction Record'!G55)</f>
        <v/>
      </c>
      <c r="L27" t="str">
        <f>IF(ISBLANK('Credit Instruction Record'!H55),"",'Credit Instruction Record'!H55)</f>
        <v/>
      </c>
      <c r="M27" t="str">
        <f>IF(ISBLANK('Credit Instruction Record'!M55),"",'Credit Instruction Record'!M55)</f>
        <v/>
      </c>
      <c r="N27" t="str">
        <f>IF(ISBLANK('Credit Instruction Record'!N55),"",'Credit Instruction Record'!N55)</f>
        <v/>
      </c>
      <c r="O27" t="str">
        <f>IF(ISBLANK('Credit Instruction Record'!O55),"",'Credit Instruction Record'!O55)</f>
        <v/>
      </c>
      <c r="P27" s="69" t="b">
        <f t="shared" si="0"/>
        <v>1</v>
      </c>
      <c r="R27" s="113"/>
      <c r="S27" s="114"/>
      <c r="T27" s="114"/>
      <c r="U27" s="114"/>
      <c r="V27" s="114"/>
      <c r="W27" s="114"/>
      <c r="X27" s="115"/>
    </row>
    <row r="28" spans="4:24" ht="15.75" thickBot="1">
      <c r="D28" s="40">
        <v>27</v>
      </c>
      <c r="E28" t="str">
        <f>IF(ISBLANK('Credit Instruction Record'!A57),"",'Credit Instruction Record'!A57)</f>
        <v/>
      </c>
      <c r="F28" t="str">
        <f>IF(ISBLANK('Credit Instruction Record'!B57),"",'Credit Instruction Record'!B57)</f>
        <v/>
      </c>
      <c r="G28" t="str">
        <f>IF(ISBLANK('Credit Instruction Record'!C57),"",'Credit Instruction Record'!C57)</f>
        <v>EUR</v>
      </c>
      <c r="H28" s="62" t="str">
        <f>IF(ISBLANK('Credit Instruction Record'!D57),"",'Credit Instruction Record'!D57)</f>
        <v/>
      </c>
      <c r="I28" t="str">
        <f>IF(ISBLANK('Credit Instruction Record'!E57),"",'Credit Instruction Record'!E57)</f>
        <v/>
      </c>
      <c r="J28" t="str">
        <f>IF(ISBLANK('Credit Instruction Record'!F57),"",'Credit Instruction Record'!F57)</f>
        <v/>
      </c>
      <c r="K28" t="str">
        <f>IF(ISBLANK('Credit Instruction Record'!G57),"",'Credit Instruction Record'!G57)</f>
        <v/>
      </c>
      <c r="L28" t="str">
        <f>IF(ISBLANK('Credit Instruction Record'!H57),"",'Credit Instruction Record'!H57)</f>
        <v/>
      </c>
      <c r="M28" t="str">
        <f>IF(ISBLANK('Credit Instruction Record'!M57),"",'Credit Instruction Record'!M57)</f>
        <v/>
      </c>
      <c r="N28" t="str">
        <f>IF(ISBLANK('Credit Instruction Record'!N57),"",'Credit Instruction Record'!N57)</f>
        <v/>
      </c>
      <c r="O28" t="str">
        <f>IF(ISBLANK('Credit Instruction Record'!O57),"",'Credit Instruction Record'!O57)</f>
        <v/>
      </c>
      <c r="P28" s="69" t="b">
        <f t="shared" si="0"/>
        <v>1</v>
      </c>
      <c r="R28" s="116"/>
      <c r="S28" s="117"/>
      <c r="T28" s="117"/>
      <c r="U28" s="117"/>
      <c r="V28" s="117"/>
      <c r="W28" s="117"/>
      <c r="X28" s="118"/>
    </row>
    <row r="29" spans="4:24" ht="15" customHeight="1">
      <c r="D29" s="40">
        <v>28</v>
      </c>
      <c r="E29" t="str">
        <f>IF(ISBLANK('Credit Instruction Record'!A59),"",'Credit Instruction Record'!A59)</f>
        <v/>
      </c>
      <c r="F29" t="str">
        <f>IF(ISBLANK('Credit Instruction Record'!B59),"",'Credit Instruction Record'!B59)</f>
        <v/>
      </c>
      <c r="G29" t="str">
        <f>IF(ISBLANK('Credit Instruction Record'!C59),"",'Credit Instruction Record'!C59)</f>
        <v>EUR</v>
      </c>
      <c r="H29" s="62" t="str">
        <f>IF(ISBLANK('Credit Instruction Record'!D59),"",'Credit Instruction Record'!D59)</f>
        <v/>
      </c>
      <c r="I29" t="str">
        <f>IF(ISBLANK('Credit Instruction Record'!E59),"",'Credit Instruction Record'!E59)</f>
        <v/>
      </c>
      <c r="J29" t="str">
        <f>IF(ISBLANK('Credit Instruction Record'!F59),"",'Credit Instruction Record'!F59)</f>
        <v/>
      </c>
      <c r="K29" t="str">
        <f>IF(ISBLANK('Credit Instruction Record'!G59),"",'Credit Instruction Record'!G59)</f>
        <v/>
      </c>
      <c r="L29" t="str">
        <f>IF(ISBLANK('Credit Instruction Record'!H59),"",'Credit Instruction Record'!H59)</f>
        <v/>
      </c>
      <c r="M29" t="str">
        <f>IF(ISBLANK('Credit Instruction Record'!M59),"",'Credit Instruction Record'!M59)</f>
        <v/>
      </c>
      <c r="N29" t="str">
        <f>IF(ISBLANK('Credit Instruction Record'!N59),"",'Credit Instruction Record'!N59)</f>
        <v/>
      </c>
      <c r="O29" t="str">
        <f>IF(ISBLANK('Credit Instruction Record'!O59),"",'Credit Instruction Record'!O59)</f>
        <v/>
      </c>
      <c r="P29" s="69" t="b">
        <f t="shared" si="0"/>
        <v>1</v>
      </c>
    </row>
    <row r="30" spans="4:24">
      <c r="D30" s="40">
        <v>29</v>
      </c>
      <c r="E30" t="str">
        <f>IF(ISBLANK('Credit Instruction Record'!A61),"",'Credit Instruction Record'!A61)</f>
        <v/>
      </c>
      <c r="F30" t="str">
        <f>IF(ISBLANK('Credit Instruction Record'!B61),"",'Credit Instruction Record'!B61)</f>
        <v/>
      </c>
      <c r="G30" t="str">
        <f>IF(ISBLANK('Credit Instruction Record'!C61),"",'Credit Instruction Record'!C61)</f>
        <v>EUR</v>
      </c>
      <c r="H30" s="62" t="str">
        <f>IF(ISBLANK('Credit Instruction Record'!D61),"",'Credit Instruction Record'!D61)</f>
        <v/>
      </c>
      <c r="I30" t="str">
        <f>IF(ISBLANK('Credit Instruction Record'!E61),"",'Credit Instruction Record'!E61)</f>
        <v/>
      </c>
      <c r="J30" t="str">
        <f>IF(ISBLANK('Credit Instruction Record'!F61),"",'Credit Instruction Record'!F61)</f>
        <v/>
      </c>
      <c r="K30" t="str">
        <f>IF(ISBLANK('Credit Instruction Record'!G61),"",'Credit Instruction Record'!G61)</f>
        <v/>
      </c>
      <c r="L30" t="str">
        <f>IF(ISBLANK('Credit Instruction Record'!H61),"",'Credit Instruction Record'!H61)</f>
        <v/>
      </c>
      <c r="M30" t="str">
        <f>IF(ISBLANK('Credit Instruction Record'!M61),"",'Credit Instruction Record'!M61)</f>
        <v/>
      </c>
      <c r="N30" t="str">
        <f>IF(ISBLANK('Credit Instruction Record'!N61),"",'Credit Instruction Record'!N61)</f>
        <v/>
      </c>
      <c r="O30" t="str">
        <f>IF(ISBLANK('Credit Instruction Record'!O61),"",'Credit Instruction Record'!O61)</f>
        <v/>
      </c>
      <c r="P30" s="69" t="b">
        <f t="shared" si="0"/>
        <v>1</v>
      </c>
    </row>
    <row r="31" spans="4:24">
      <c r="D31" s="40">
        <v>30</v>
      </c>
      <c r="E31" t="str">
        <f>IF(ISBLANK('Credit Instruction Record'!A63),"",'Credit Instruction Record'!A63)</f>
        <v/>
      </c>
      <c r="F31" t="str">
        <f>IF(ISBLANK('Credit Instruction Record'!B63),"",'Credit Instruction Record'!B63)</f>
        <v/>
      </c>
      <c r="G31" t="str">
        <f>IF(ISBLANK('Credit Instruction Record'!C63),"",'Credit Instruction Record'!C63)</f>
        <v>EUR</v>
      </c>
      <c r="H31" s="62" t="str">
        <f>IF(ISBLANK('Credit Instruction Record'!D63),"",'Credit Instruction Record'!D63)</f>
        <v/>
      </c>
      <c r="I31" t="str">
        <f>IF(ISBLANK('Credit Instruction Record'!E63),"",'Credit Instruction Record'!E63)</f>
        <v/>
      </c>
      <c r="J31" t="str">
        <f>IF(ISBLANK('Credit Instruction Record'!F63),"",'Credit Instruction Record'!F63)</f>
        <v/>
      </c>
      <c r="K31" t="str">
        <f>IF(ISBLANK('Credit Instruction Record'!G63),"",'Credit Instruction Record'!G63)</f>
        <v/>
      </c>
      <c r="L31" t="str">
        <f>IF(ISBLANK('Credit Instruction Record'!H63),"",'Credit Instruction Record'!H63)</f>
        <v/>
      </c>
      <c r="M31" t="str">
        <f>IF(ISBLANK('Credit Instruction Record'!M63),"",'Credit Instruction Record'!M63)</f>
        <v/>
      </c>
      <c r="N31" t="str">
        <f>IF(ISBLANK('Credit Instruction Record'!N63),"",'Credit Instruction Record'!N63)</f>
        <v/>
      </c>
      <c r="O31" t="str">
        <f>IF(ISBLANK('Credit Instruction Record'!O63),"",'Credit Instruction Record'!O63)</f>
        <v/>
      </c>
      <c r="P31" s="69" t="b">
        <f t="shared" si="0"/>
        <v>1</v>
      </c>
    </row>
    <row r="32" spans="4:24">
      <c r="D32" s="40">
        <v>31</v>
      </c>
      <c r="E32" t="str">
        <f>IF(ISBLANK('Credit Instruction Record'!A65),"",'Credit Instruction Record'!A65)</f>
        <v/>
      </c>
      <c r="F32" t="str">
        <f>IF(ISBLANK('Credit Instruction Record'!B65),"",'Credit Instruction Record'!B65)</f>
        <v/>
      </c>
      <c r="G32" t="str">
        <f>IF(ISBLANK('Credit Instruction Record'!C65),"",'Credit Instruction Record'!C65)</f>
        <v>EUR</v>
      </c>
      <c r="H32" s="62" t="str">
        <f>IF(ISBLANK('Credit Instruction Record'!D65),"",'Credit Instruction Record'!D65)</f>
        <v/>
      </c>
      <c r="I32" t="str">
        <f>IF(ISBLANK('Credit Instruction Record'!E65),"",'Credit Instruction Record'!E65)</f>
        <v/>
      </c>
      <c r="J32" t="str">
        <f>IF(ISBLANK('Credit Instruction Record'!F65),"",'Credit Instruction Record'!F65)</f>
        <v/>
      </c>
      <c r="K32" t="str">
        <f>IF(ISBLANK('Credit Instruction Record'!G65),"",'Credit Instruction Record'!G65)</f>
        <v/>
      </c>
      <c r="L32" t="str">
        <f>IF(ISBLANK('Credit Instruction Record'!H65),"",'Credit Instruction Record'!H65)</f>
        <v/>
      </c>
      <c r="M32" t="str">
        <f>IF(ISBLANK('Credit Instruction Record'!M65),"",'Credit Instruction Record'!M65)</f>
        <v/>
      </c>
      <c r="N32" t="str">
        <f>IF(ISBLANK('Credit Instruction Record'!N65),"",'Credit Instruction Record'!N65)</f>
        <v/>
      </c>
      <c r="O32" t="str">
        <f>IF(ISBLANK('Credit Instruction Record'!O65),"",'Credit Instruction Record'!O65)</f>
        <v/>
      </c>
      <c r="P32" s="69" t="b">
        <f t="shared" si="0"/>
        <v>1</v>
      </c>
    </row>
    <row r="33" spans="4:16">
      <c r="D33" s="40">
        <v>32</v>
      </c>
      <c r="E33" t="str">
        <f>IF(ISBLANK('Credit Instruction Record'!A67),"",'Credit Instruction Record'!A67)</f>
        <v/>
      </c>
      <c r="F33" t="str">
        <f>IF(ISBLANK('Credit Instruction Record'!B67),"",'Credit Instruction Record'!B67)</f>
        <v/>
      </c>
      <c r="G33" t="str">
        <f>IF(ISBLANK('Credit Instruction Record'!C67),"",'Credit Instruction Record'!C67)</f>
        <v>EUR</v>
      </c>
      <c r="H33" s="62" t="str">
        <f>IF(ISBLANK('Credit Instruction Record'!D67),"",'Credit Instruction Record'!D67)</f>
        <v/>
      </c>
      <c r="I33" t="str">
        <f>IF(ISBLANK('Credit Instruction Record'!E67),"",'Credit Instruction Record'!E67)</f>
        <v/>
      </c>
      <c r="J33" t="str">
        <f>IF(ISBLANK('Credit Instruction Record'!F67),"",'Credit Instruction Record'!F67)</f>
        <v/>
      </c>
      <c r="K33" t="str">
        <f>IF(ISBLANK('Credit Instruction Record'!G67),"",'Credit Instruction Record'!G67)</f>
        <v/>
      </c>
      <c r="L33" t="str">
        <f>IF(ISBLANK('Credit Instruction Record'!H67),"",'Credit Instruction Record'!H67)</f>
        <v/>
      </c>
      <c r="M33" t="str">
        <f>IF(ISBLANK('Credit Instruction Record'!M67),"",'Credit Instruction Record'!M67)</f>
        <v/>
      </c>
      <c r="N33" t="str">
        <f>IF(ISBLANK('Credit Instruction Record'!N67),"",'Credit Instruction Record'!N67)</f>
        <v/>
      </c>
      <c r="O33" t="str">
        <f>IF(ISBLANK('Credit Instruction Record'!O67),"",'Credit Instruction Record'!O67)</f>
        <v/>
      </c>
      <c r="P33" s="69" t="b">
        <f t="shared" si="0"/>
        <v>1</v>
      </c>
    </row>
    <row r="34" spans="4:16">
      <c r="D34" s="40">
        <v>33</v>
      </c>
      <c r="E34" t="str">
        <f>IF(ISBLANK('Credit Instruction Record'!A69),"",'Credit Instruction Record'!A69)</f>
        <v/>
      </c>
      <c r="F34" t="str">
        <f>IF(ISBLANK('Credit Instruction Record'!B69),"",'Credit Instruction Record'!B69)</f>
        <v/>
      </c>
      <c r="G34" t="str">
        <f>IF(ISBLANK('Credit Instruction Record'!C69),"",'Credit Instruction Record'!C69)</f>
        <v>EUR</v>
      </c>
      <c r="H34" s="62" t="str">
        <f>IF(ISBLANK('Credit Instruction Record'!D69),"",'Credit Instruction Record'!D69)</f>
        <v/>
      </c>
      <c r="I34" t="str">
        <f>IF(ISBLANK('Credit Instruction Record'!E69),"",'Credit Instruction Record'!E69)</f>
        <v/>
      </c>
      <c r="J34" t="str">
        <f>IF(ISBLANK('Credit Instruction Record'!F69),"",'Credit Instruction Record'!F69)</f>
        <v/>
      </c>
      <c r="K34" t="str">
        <f>IF(ISBLANK('Credit Instruction Record'!G69),"",'Credit Instruction Record'!G69)</f>
        <v/>
      </c>
      <c r="L34" t="str">
        <f>IF(ISBLANK('Credit Instruction Record'!H69),"",'Credit Instruction Record'!H69)</f>
        <v/>
      </c>
      <c r="M34" t="str">
        <f>IF(ISBLANK('Credit Instruction Record'!M69),"",'Credit Instruction Record'!M69)</f>
        <v/>
      </c>
      <c r="N34" t="str">
        <f>IF(ISBLANK('Credit Instruction Record'!N69),"",'Credit Instruction Record'!N69)</f>
        <v/>
      </c>
      <c r="O34" t="str">
        <f>IF(ISBLANK('Credit Instruction Record'!O69),"",'Credit Instruction Record'!O69)</f>
        <v/>
      </c>
      <c r="P34" s="69" t="b">
        <f t="shared" ref="P34:P42" si="1">M34=""</f>
        <v>1</v>
      </c>
    </row>
    <row r="35" spans="4:16">
      <c r="D35" s="40">
        <v>34</v>
      </c>
      <c r="E35" t="str">
        <f>IF(ISBLANK('Credit Instruction Record'!A71),"",'Credit Instruction Record'!A71)</f>
        <v/>
      </c>
      <c r="F35" t="str">
        <f>IF(ISBLANK('Credit Instruction Record'!B71),"",'Credit Instruction Record'!B71)</f>
        <v/>
      </c>
      <c r="G35" t="str">
        <f>IF(ISBLANK('Credit Instruction Record'!C71),"",'Credit Instruction Record'!C71)</f>
        <v>EUR</v>
      </c>
      <c r="H35" s="62" t="str">
        <f>IF(ISBLANK('Credit Instruction Record'!D71),"",'Credit Instruction Record'!D71)</f>
        <v/>
      </c>
      <c r="I35" t="str">
        <f>IF(ISBLANK('Credit Instruction Record'!E71),"",'Credit Instruction Record'!E71)</f>
        <v/>
      </c>
      <c r="J35" t="str">
        <f>IF(ISBLANK('Credit Instruction Record'!F71),"",'Credit Instruction Record'!F71)</f>
        <v/>
      </c>
      <c r="K35" t="str">
        <f>IF(ISBLANK('Credit Instruction Record'!G71),"",'Credit Instruction Record'!G71)</f>
        <v/>
      </c>
      <c r="L35" t="str">
        <f>IF(ISBLANK('Credit Instruction Record'!H71),"",'Credit Instruction Record'!H71)</f>
        <v/>
      </c>
      <c r="M35" t="str">
        <f>IF(ISBLANK('Credit Instruction Record'!M71),"",'Credit Instruction Record'!M71)</f>
        <v/>
      </c>
      <c r="N35" t="str">
        <f>IF(ISBLANK('Credit Instruction Record'!N71),"",'Credit Instruction Record'!N71)</f>
        <v/>
      </c>
      <c r="O35" t="str">
        <f>IF(ISBLANK('Credit Instruction Record'!O71),"",'Credit Instruction Record'!O71)</f>
        <v/>
      </c>
      <c r="P35" s="69" t="b">
        <f t="shared" si="1"/>
        <v>1</v>
      </c>
    </row>
    <row r="36" spans="4:16">
      <c r="D36" s="40">
        <v>35</v>
      </c>
      <c r="E36" t="str">
        <f>IF(ISBLANK('Credit Instruction Record'!A73),"",'Credit Instruction Record'!A73)</f>
        <v/>
      </c>
      <c r="F36" t="str">
        <f>IF(ISBLANK('Credit Instruction Record'!B73),"",'Credit Instruction Record'!B73)</f>
        <v/>
      </c>
      <c r="G36" t="str">
        <f>IF(ISBLANK('Credit Instruction Record'!C73),"",'Credit Instruction Record'!C73)</f>
        <v>EUR</v>
      </c>
      <c r="H36" s="62" t="str">
        <f>IF(ISBLANK('Credit Instruction Record'!D73),"",'Credit Instruction Record'!D73)</f>
        <v/>
      </c>
      <c r="I36" t="str">
        <f>IF(ISBLANK('Credit Instruction Record'!E73),"",'Credit Instruction Record'!E73)</f>
        <v/>
      </c>
      <c r="J36" t="str">
        <f>IF(ISBLANK('Credit Instruction Record'!F73),"",'Credit Instruction Record'!F73)</f>
        <v/>
      </c>
      <c r="K36" t="str">
        <f>IF(ISBLANK('Credit Instruction Record'!G73),"",'Credit Instruction Record'!G73)</f>
        <v/>
      </c>
      <c r="L36" t="str">
        <f>IF(ISBLANK('Credit Instruction Record'!H73),"",'Credit Instruction Record'!H73)</f>
        <v/>
      </c>
      <c r="M36" t="str">
        <f>IF(ISBLANK('Credit Instruction Record'!M73),"",'Credit Instruction Record'!M73)</f>
        <v/>
      </c>
      <c r="N36" t="str">
        <f>IF(ISBLANK('Credit Instruction Record'!N73),"",'Credit Instruction Record'!N73)</f>
        <v/>
      </c>
      <c r="O36" t="str">
        <f>IF(ISBLANK('Credit Instruction Record'!O73),"",'Credit Instruction Record'!O73)</f>
        <v/>
      </c>
      <c r="P36" s="69" t="b">
        <f t="shared" si="1"/>
        <v>1</v>
      </c>
    </row>
    <row r="37" spans="4:16">
      <c r="D37" s="40">
        <v>36</v>
      </c>
      <c r="E37" t="str">
        <f>IF(ISBLANK('Credit Instruction Record'!A75),"",'Credit Instruction Record'!A75)</f>
        <v/>
      </c>
      <c r="F37" t="str">
        <f>IF(ISBLANK('Credit Instruction Record'!B75),"",'Credit Instruction Record'!B75)</f>
        <v/>
      </c>
      <c r="G37" t="str">
        <f>IF(ISBLANK('Credit Instruction Record'!C75),"",'Credit Instruction Record'!C75)</f>
        <v>EUR</v>
      </c>
      <c r="H37" s="62" t="str">
        <f>IF(ISBLANK('Credit Instruction Record'!D75),"",'Credit Instruction Record'!D75)</f>
        <v/>
      </c>
      <c r="I37" t="str">
        <f>IF(ISBLANK('Credit Instruction Record'!E75),"",'Credit Instruction Record'!E75)</f>
        <v/>
      </c>
      <c r="J37" t="str">
        <f>IF(ISBLANK('Credit Instruction Record'!F75),"",'Credit Instruction Record'!F75)</f>
        <v/>
      </c>
      <c r="K37" t="str">
        <f>IF(ISBLANK('Credit Instruction Record'!G75),"",'Credit Instruction Record'!G75)</f>
        <v/>
      </c>
      <c r="L37" t="str">
        <f>IF(ISBLANK('Credit Instruction Record'!H75),"",'Credit Instruction Record'!H75)</f>
        <v/>
      </c>
      <c r="M37" t="str">
        <f>IF(ISBLANK('Credit Instruction Record'!M75),"",'Credit Instruction Record'!M75)</f>
        <v/>
      </c>
      <c r="N37" t="str">
        <f>IF(ISBLANK('Credit Instruction Record'!N75),"",'Credit Instruction Record'!N75)</f>
        <v/>
      </c>
      <c r="O37" t="str">
        <f>IF(ISBLANK('Credit Instruction Record'!O75),"",'Credit Instruction Record'!O75)</f>
        <v/>
      </c>
      <c r="P37" s="69" t="b">
        <f t="shared" si="1"/>
        <v>1</v>
      </c>
    </row>
    <row r="38" spans="4:16">
      <c r="D38" s="40">
        <v>37</v>
      </c>
      <c r="E38" t="str">
        <f>IF(ISBLANK('Credit Instruction Record'!A77),"",'Credit Instruction Record'!A77)</f>
        <v/>
      </c>
      <c r="F38" t="str">
        <f>IF(ISBLANK('Credit Instruction Record'!B77),"",'Credit Instruction Record'!B77)</f>
        <v/>
      </c>
      <c r="G38" t="str">
        <f>IF(ISBLANK('Credit Instruction Record'!C77),"",'Credit Instruction Record'!C77)</f>
        <v>EUR</v>
      </c>
      <c r="H38" s="62" t="str">
        <f>IF(ISBLANK('Credit Instruction Record'!D77),"",'Credit Instruction Record'!D77)</f>
        <v/>
      </c>
      <c r="I38" t="str">
        <f>IF(ISBLANK('Credit Instruction Record'!E77),"",'Credit Instruction Record'!E77)</f>
        <v/>
      </c>
      <c r="J38" t="str">
        <f>IF(ISBLANK('Credit Instruction Record'!F77),"",'Credit Instruction Record'!F77)</f>
        <v/>
      </c>
      <c r="K38" t="str">
        <f>IF(ISBLANK('Credit Instruction Record'!G77),"",'Credit Instruction Record'!G77)</f>
        <v/>
      </c>
      <c r="L38" t="str">
        <f>IF(ISBLANK('Credit Instruction Record'!H77),"",'Credit Instruction Record'!H77)</f>
        <v/>
      </c>
      <c r="M38" t="str">
        <f>IF(ISBLANK('Credit Instruction Record'!M77),"",'Credit Instruction Record'!M77)</f>
        <v/>
      </c>
      <c r="N38" t="str">
        <f>IF(ISBLANK('Credit Instruction Record'!N77),"",'Credit Instruction Record'!N77)</f>
        <v/>
      </c>
      <c r="O38" t="str">
        <f>IF(ISBLANK('Credit Instruction Record'!O77),"",'Credit Instruction Record'!O77)</f>
        <v/>
      </c>
      <c r="P38" s="69" t="b">
        <f t="shared" si="1"/>
        <v>1</v>
      </c>
    </row>
    <row r="39" spans="4:16">
      <c r="D39" s="40">
        <v>38</v>
      </c>
      <c r="E39" t="str">
        <f>IF(ISBLANK('Credit Instruction Record'!A79),"",'Credit Instruction Record'!A79)</f>
        <v/>
      </c>
      <c r="F39" t="str">
        <f>IF(ISBLANK('Credit Instruction Record'!B79),"",'Credit Instruction Record'!B79)</f>
        <v/>
      </c>
      <c r="G39" t="str">
        <f>IF(ISBLANK('Credit Instruction Record'!C79),"",'Credit Instruction Record'!C79)</f>
        <v>EUR</v>
      </c>
      <c r="H39" s="62" t="str">
        <f>IF(ISBLANK('Credit Instruction Record'!D79),"",'Credit Instruction Record'!D79)</f>
        <v/>
      </c>
      <c r="I39" t="str">
        <f>IF(ISBLANK('Credit Instruction Record'!E79),"",'Credit Instruction Record'!E79)</f>
        <v/>
      </c>
      <c r="J39" t="str">
        <f>IF(ISBLANK('Credit Instruction Record'!F79),"",'Credit Instruction Record'!F79)</f>
        <v/>
      </c>
      <c r="K39" t="str">
        <f>IF(ISBLANK('Credit Instruction Record'!G79),"",'Credit Instruction Record'!G79)</f>
        <v/>
      </c>
      <c r="L39" t="str">
        <f>IF(ISBLANK('Credit Instruction Record'!H79),"",'Credit Instruction Record'!H79)</f>
        <v/>
      </c>
      <c r="M39" t="str">
        <f>IF(ISBLANK('Credit Instruction Record'!M79),"",'Credit Instruction Record'!M79)</f>
        <v/>
      </c>
      <c r="N39" t="str">
        <f>IF(ISBLANK('Credit Instruction Record'!N79),"",'Credit Instruction Record'!N79)</f>
        <v/>
      </c>
      <c r="O39" t="str">
        <f>IF(ISBLANK('Credit Instruction Record'!O79),"",'Credit Instruction Record'!O79)</f>
        <v/>
      </c>
      <c r="P39" s="69" t="b">
        <f t="shared" si="1"/>
        <v>1</v>
      </c>
    </row>
    <row r="40" spans="4:16">
      <c r="D40" s="40">
        <v>39</v>
      </c>
      <c r="E40" t="str">
        <f>IF(ISBLANK('Credit Instruction Record'!A81),"",'Credit Instruction Record'!A81)</f>
        <v/>
      </c>
      <c r="F40" t="str">
        <f>IF(ISBLANK('Credit Instruction Record'!B81),"",'Credit Instruction Record'!B81)</f>
        <v/>
      </c>
      <c r="G40" t="str">
        <f>IF(ISBLANK('Credit Instruction Record'!C81),"",'Credit Instruction Record'!C81)</f>
        <v>EUR</v>
      </c>
      <c r="H40" s="62" t="str">
        <f>IF(ISBLANK('Credit Instruction Record'!D81),"",'Credit Instruction Record'!D81)</f>
        <v/>
      </c>
      <c r="I40" t="str">
        <f>IF(ISBLANK('Credit Instruction Record'!E81),"",'Credit Instruction Record'!E81)</f>
        <v/>
      </c>
      <c r="J40" t="str">
        <f>IF(ISBLANK('Credit Instruction Record'!F81),"",'Credit Instruction Record'!F81)</f>
        <v/>
      </c>
      <c r="K40" t="str">
        <f>IF(ISBLANK('Credit Instruction Record'!G81),"",'Credit Instruction Record'!G81)</f>
        <v/>
      </c>
      <c r="L40" t="str">
        <f>IF(ISBLANK('Credit Instruction Record'!H81),"",'Credit Instruction Record'!H81)</f>
        <v/>
      </c>
      <c r="M40" t="str">
        <f>IF(ISBLANK('Credit Instruction Record'!M81),"",'Credit Instruction Record'!M81)</f>
        <v/>
      </c>
      <c r="N40" t="str">
        <f>IF(ISBLANK('Credit Instruction Record'!N81),"",'Credit Instruction Record'!N81)</f>
        <v/>
      </c>
      <c r="O40" t="str">
        <f>IF(ISBLANK('Credit Instruction Record'!O81),"",'Credit Instruction Record'!O81)</f>
        <v/>
      </c>
      <c r="P40" s="69" t="b">
        <f t="shared" si="1"/>
        <v>1</v>
      </c>
    </row>
    <row r="41" spans="4:16">
      <c r="D41" s="40">
        <v>40</v>
      </c>
      <c r="E41" t="str">
        <f>IF(ISBLANK('Credit Instruction Record'!A83),"",'Credit Instruction Record'!A83)</f>
        <v/>
      </c>
      <c r="F41" t="str">
        <f>IF(ISBLANK('Credit Instruction Record'!B83),"",'Credit Instruction Record'!B83)</f>
        <v/>
      </c>
      <c r="G41" t="str">
        <f>IF(ISBLANK('Credit Instruction Record'!C83),"",'Credit Instruction Record'!C83)</f>
        <v>EUR</v>
      </c>
      <c r="H41" s="62" t="str">
        <f>IF(ISBLANK('Credit Instruction Record'!D83),"",'Credit Instruction Record'!D83)</f>
        <v/>
      </c>
      <c r="I41" t="str">
        <f>IF(ISBLANK('Credit Instruction Record'!E83),"",'Credit Instruction Record'!E83)</f>
        <v/>
      </c>
      <c r="J41" t="str">
        <f>IF(ISBLANK('Credit Instruction Record'!F83),"",'Credit Instruction Record'!F83)</f>
        <v/>
      </c>
      <c r="K41" t="str">
        <f>IF(ISBLANK('Credit Instruction Record'!G83),"",'Credit Instruction Record'!G83)</f>
        <v/>
      </c>
      <c r="L41" t="str">
        <f>IF(ISBLANK('Credit Instruction Record'!H83),"",'Credit Instruction Record'!H83)</f>
        <v/>
      </c>
      <c r="M41" t="str">
        <f>IF(ISBLANK('Credit Instruction Record'!M83),"",'Credit Instruction Record'!M83)</f>
        <v/>
      </c>
      <c r="N41" t="str">
        <f>IF(ISBLANK('Credit Instruction Record'!N83),"",'Credit Instruction Record'!N83)</f>
        <v/>
      </c>
      <c r="O41" t="str">
        <f>IF(ISBLANK('Credit Instruction Record'!O83),"",'Credit Instruction Record'!O83)</f>
        <v/>
      </c>
      <c r="P41" s="69" t="b">
        <f t="shared" si="1"/>
        <v>1</v>
      </c>
    </row>
    <row r="42" spans="4:16">
      <c r="D42" s="40">
        <v>41</v>
      </c>
      <c r="E42" t="str">
        <f>IF(ISBLANK('Credit Instruction Record'!A85),"",'Credit Instruction Record'!A85)</f>
        <v/>
      </c>
      <c r="F42" t="str">
        <f>IF(ISBLANK('Credit Instruction Record'!B85),"",'Credit Instruction Record'!B85)</f>
        <v/>
      </c>
      <c r="G42" t="str">
        <f>IF(ISBLANK('Credit Instruction Record'!C85),"",'Credit Instruction Record'!C85)</f>
        <v>EUR</v>
      </c>
      <c r="H42" s="62" t="str">
        <f>IF(ISBLANK('Credit Instruction Record'!D85),"",'Credit Instruction Record'!D85)</f>
        <v/>
      </c>
      <c r="I42" t="str">
        <f>IF(ISBLANK('Credit Instruction Record'!E85),"",'Credit Instruction Record'!E85)</f>
        <v/>
      </c>
      <c r="J42" t="str">
        <f>IF(ISBLANK('Credit Instruction Record'!F85),"",'Credit Instruction Record'!F85)</f>
        <v/>
      </c>
      <c r="K42" t="str">
        <f>IF(ISBLANK('Credit Instruction Record'!G85),"",'Credit Instruction Record'!G85)</f>
        <v/>
      </c>
      <c r="L42" t="str">
        <f>IF(ISBLANK('Credit Instruction Record'!H85),"",'Credit Instruction Record'!H85)</f>
        <v/>
      </c>
      <c r="M42" t="str">
        <f>IF(ISBLANK('Credit Instruction Record'!M85),"",'Credit Instruction Record'!M85)</f>
        <v/>
      </c>
      <c r="N42" t="str">
        <f>IF(ISBLANK('Credit Instruction Record'!N85),"",'Credit Instruction Record'!N85)</f>
        <v/>
      </c>
      <c r="O42" t="str">
        <f>IF(ISBLANK('Credit Instruction Record'!O85),"",'Credit Instruction Record'!O85)</f>
        <v/>
      </c>
      <c r="P42" s="69" t="b">
        <f t="shared" si="1"/>
        <v>1</v>
      </c>
    </row>
    <row r="43" spans="4:16">
      <c r="D43" s="40">
        <v>42</v>
      </c>
      <c r="E43" t="str">
        <f>IF(ISBLANK('Credit Instruction Record'!A87),"",'Credit Instruction Record'!A87)</f>
        <v/>
      </c>
      <c r="F43" t="str">
        <f>IF(ISBLANK('Credit Instruction Record'!B87),"",'Credit Instruction Record'!B87)</f>
        <v/>
      </c>
      <c r="G43" t="str">
        <f>IF(ISBLANK('Credit Instruction Record'!C87),"",'Credit Instruction Record'!C87)</f>
        <v>EUR</v>
      </c>
      <c r="H43" s="62" t="str">
        <f>IF(ISBLANK('Credit Instruction Record'!D87),"",'Credit Instruction Record'!D87)</f>
        <v/>
      </c>
      <c r="I43" t="str">
        <f>IF(ISBLANK('Credit Instruction Record'!E87),"",'Credit Instruction Record'!E87)</f>
        <v/>
      </c>
      <c r="J43" t="str">
        <f>IF(ISBLANK('Credit Instruction Record'!F87),"",'Credit Instruction Record'!F87)</f>
        <v/>
      </c>
      <c r="K43" t="str">
        <f>IF(ISBLANK('Credit Instruction Record'!G87),"",'Credit Instruction Record'!G87)</f>
        <v/>
      </c>
      <c r="L43" t="str">
        <f>IF(ISBLANK('Credit Instruction Record'!H87),"",'Credit Instruction Record'!H87)</f>
        <v/>
      </c>
      <c r="M43" t="str">
        <f>IF(ISBLANK('Credit Instruction Record'!M87),"",'Credit Instruction Record'!M87)</f>
        <v/>
      </c>
      <c r="N43" t="str">
        <f>IF(ISBLANK('Credit Instruction Record'!N87),"",'Credit Instruction Record'!N87)</f>
        <v/>
      </c>
      <c r="O43" t="str">
        <f>IF(ISBLANK('Credit Instruction Record'!O87),"",'Credit Instruction Record'!O87)</f>
        <v/>
      </c>
      <c r="P43" s="69" t="b">
        <f t="shared" ref="P43" si="2">M43=""</f>
        <v>1</v>
      </c>
    </row>
    <row r="44" spans="4:16">
      <c r="D44" s="40">
        <v>43</v>
      </c>
      <c r="E44" t="str">
        <f>IF(ISBLANK('Credit Instruction Record'!A89),"",'Credit Instruction Record'!A89)</f>
        <v/>
      </c>
      <c r="F44" t="str">
        <f>IF(ISBLANK('Credit Instruction Record'!B89),"",'Credit Instruction Record'!B89)</f>
        <v/>
      </c>
      <c r="G44" t="str">
        <f>IF(ISBLANK('Credit Instruction Record'!C89),"",'Credit Instruction Record'!C89)</f>
        <v>EUR</v>
      </c>
      <c r="H44" s="62" t="str">
        <f>IF(ISBLANK('Credit Instruction Record'!D89),"",'Credit Instruction Record'!D89)</f>
        <v/>
      </c>
      <c r="I44" t="str">
        <f>IF(ISBLANK('Credit Instruction Record'!E89),"",'Credit Instruction Record'!E89)</f>
        <v/>
      </c>
      <c r="J44" t="str">
        <f>IF(ISBLANK('Credit Instruction Record'!F89),"",'Credit Instruction Record'!F89)</f>
        <v/>
      </c>
      <c r="K44" t="str">
        <f>IF(ISBLANK('Credit Instruction Record'!G89),"",'Credit Instruction Record'!G89)</f>
        <v/>
      </c>
      <c r="L44" t="str">
        <f>IF(ISBLANK('Credit Instruction Record'!H89),"",'Credit Instruction Record'!H89)</f>
        <v/>
      </c>
      <c r="M44" t="str">
        <f>IF(ISBLANK('Credit Instruction Record'!M89),"",'Credit Instruction Record'!M89)</f>
        <v/>
      </c>
      <c r="N44" t="str">
        <f>IF(ISBLANK('Credit Instruction Record'!N89),"",'Credit Instruction Record'!N89)</f>
        <v/>
      </c>
      <c r="O44" t="str">
        <f>IF(ISBLANK('Credit Instruction Record'!O89),"",'Credit Instruction Record'!O89)</f>
        <v/>
      </c>
      <c r="P44" s="69" t="b">
        <f t="shared" ref="P44:P51" si="3">M44=""</f>
        <v>1</v>
      </c>
    </row>
    <row r="45" spans="4:16">
      <c r="D45" s="40">
        <v>44</v>
      </c>
      <c r="E45" t="str">
        <f>IF(ISBLANK('Credit Instruction Record'!A91),"",'Credit Instruction Record'!A91)</f>
        <v/>
      </c>
      <c r="F45" t="str">
        <f>IF(ISBLANK('Credit Instruction Record'!B91),"",'Credit Instruction Record'!B91)</f>
        <v/>
      </c>
      <c r="G45" t="str">
        <f>IF(ISBLANK('Credit Instruction Record'!C91),"",'Credit Instruction Record'!C91)</f>
        <v>EUR</v>
      </c>
      <c r="H45" s="62" t="str">
        <f>IF(ISBLANK('Credit Instruction Record'!D91),"",'Credit Instruction Record'!D91)</f>
        <v/>
      </c>
      <c r="I45" t="str">
        <f>IF(ISBLANK('Credit Instruction Record'!E91),"",'Credit Instruction Record'!E91)</f>
        <v/>
      </c>
      <c r="J45" t="str">
        <f>IF(ISBLANK('Credit Instruction Record'!F91),"",'Credit Instruction Record'!F91)</f>
        <v/>
      </c>
      <c r="K45" t="str">
        <f>IF(ISBLANK('Credit Instruction Record'!G91),"",'Credit Instruction Record'!G91)</f>
        <v/>
      </c>
      <c r="L45" t="str">
        <f>IF(ISBLANK('Credit Instruction Record'!H91),"",'Credit Instruction Record'!H91)</f>
        <v/>
      </c>
      <c r="M45" t="str">
        <f>IF(ISBLANK('Credit Instruction Record'!M91),"",'Credit Instruction Record'!M91)</f>
        <v/>
      </c>
      <c r="N45" t="str">
        <f>IF(ISBLANK('Credit Instruction Record'!N91),"",'Credit Instruction Record'!N91)</f>
        <v/>
      </c>
      <c r="O45" t="str">
        <f>IF(ISBLANK('Credit Instruction Record'!O91),"",'Credit Instruction Record'!O91)</f>
        <v/>
      </c>
      <c r="P45" s="69" t="b">
        <f t="shared" si="3"/>
        <v>1</v>
      </c>
    </row>
    <row r="46" spans="4:16">
      <c r="D46" s="40">
        <v>45</v>
      </c>
      <c r="E46" t="str">
        <f>IF(ISBLANK('Credit Instruction Record'!A93),"",'Credit Instruction Record'!A93)</f>
        <v/>
      </c>
      <c r="F46" t="str">
        <f>IF(ISBLANK('Credit Instruction Record'!B93),"",'Credit Instruction Record'!B93)</f>
        <v/>
      </c>
      <c r="G46" t="str">
        <f>IF(ISBLANK('Credit Instruction Record'!C93),"",'Credit Instruction Record'!C93)</f>
        <v>EUR</v>
      </c>
      <c r="H46" s="62" t="str">
        <f>IF(ISBLANK('Credit Instruction Record'!D93),"",'Credit Instruction Record'!D93)</f>
        <v/>
      </c>
      <c r="I46" t="str">
        <f>IF(ISBLANK('Credit Instruction Record'!E93),"",'Credit Instruction Record'!E93)</f>
        <v/>
      </c>
      <c r="J46" t="str">
        <f>IF(ISBLANK('Credit Instruction Record'!F93),"",'Credit Instruction Record'!F93)</f>
        <v/>
      </c>
      <c r="K46" t="str">
        <f>IF(ISBLANK('Credit Instruction Record'!G93),"",'Credit Instruction Record'!G93)</f>
        <v/>
      </c>
      <c r="L46" t="str">
        <f>IF(ISBLANK('Credit Instruction Record'!H93),"",'Credit Instruction Record'!H93)</f>
        <v/>
      </c>
      <c r="M46" t="str">
        <f>IF(ISBLANK('Credit Instruction Record'!M93),"",'Credit Instruction Record'!M93)</f>
        <v/>
      </c>
      <c r="N46" t="str">
        <f>IF(ISBLANK('Credit Instruction Record'!N93),"",'Credit Instruction Record'!N93)</f>
        <v/>
      </c>
      <c r="O46" t="str">
        <f>IF(ISBLANK('Credit Instruction Record'!O93),"",'Credit Instruction Record'!O93)</f>
        <v/>
      </c>
      <c r="P46" s="69" t="b">
        <f t="shared" si="3"/>
        <v>1</v>
      </c>
    </row>
    <row r="47" spans="4:16">
      <c r="D47" s="40">
        <v>46</v>
      </c>
      <c r="E47" t="str">
        <f>IF(ISBLANK('Credit Instruction Record'!A95),"",'Credit Instruction Record'!A95)</f>
        <v/>
      </c>
      <c r="F47" t="str">
        <f>IF(ISBLANK('Credit Instruction Record'!B95),"",'Credit Instruction Record'!B95)</f>
        <v/>
      </c>
      <c r="G47" t="str">
        <f>IF(ISBLANK('Credit Instruction Record'!C95),"",'Credit Instruction Record'!C95)</f>
        <v>EUR</v>
      </c>
      <c r="H47" s="62" t="str">
        <f>IF(ISBLANK('Credit Instruction Record'!D95),"",'Credit Instruction Record'!D95)</f>
        <v/>
      </c>
      <c r="I47" t="str">
        <f>IF(ISBLANK('Credit Instruction Record'!E95),"",'Credit Instruction Record'!E95)</f>
        <v/>
      </c>
      <c r="J47" t="str">
        <f>IF(ISBLANK('Credit Instruction Record'!F95),"",'Credit Instruction Record'!F95)</f>
        <v/>
      </c>
      <c r="K47" t="str">
        <f>IF(ISBLANK('Credit Instruction Record'!G95),"",'Credit Instruction Record'!G95)</f>
        <v/>
      </c>
      <c r="L47" t="str">
        <f>IF(ISBLANK('Credit Instruction Record'!H95),"",'Credit Instruction Record'!H95)</f>
        <v/>
      </c>
      <c r="M47" t="str">
        <f>IF(ISBLANK('Credit Instruction Record'!M95),"",'Credit Instruction Record'!M95)</f>
        <v/>
      </c>
      <c r="N47" t="str">
        <f>IF(ISBLANK('Credit Instruction Record'!N95),"",'Credit Instruction Record'!N95)</f>
        <v/>
      </c>
      <c r="O47" t="str">
        <f>IF(ISBLANK('Credit Instruction Record'!O95),"",'Credit Instruction Record'!O95)</f>
        <v/>
      </c>
      <c r="P47" s="69" t="b">
        <f t="shared" si="3"/>
        <v>1</v>
      </c>
    </row>
    <row r="48" spans="4:16">
      <c r="D48" s="40">
        <v>47</v>
      </c>
      <c r="E48" t="str">
        <f>IF(ISBLANK('Credit Instruction Record'!A97),"",'Credit Instruction Record'!A97)</f>
        <v/>
      </c>
      <c r="F48" t="str">
        <f>IF(ISBLANK('Credit Instruction Record'!B97),"",'Credit Instruction Record'!B97)</f>
        <v/>
      </c>
      <c r="G48" t="str">
        <f>IF(ISBLANK('Credit Instruction Record'!C97),"",'Credit Instruction Record'!C97)</f>
        <v>EUR</v>
      </c>
      <c r="H48" s="62" t="str">
        <f>IF(ISBLANK('Credit Instruction Record'!D97),"",'Credit Instruction Record'!D97)</f>
        <v/>
      </c>
      <c r="I48" t="str">
        <f>IF(ISBLANK('Credit Instruction Record'!E97),"",'Credit Instruction Record'!E97)</f>
        <v/>
      </c>
      <c r="J48" t="str">
        <f>IF(ISBLANK('Credit Instruction Record'!F97),"",'Credit Instruction Record'!F97)</f>
        <v/>
      </c>
      <c r="K48" t="str">
        <f>IF(ISBLANK('Credit Instruction Record'!G97),"",'Credit Instruction Record'!G97)</f>
        <v/>
      </c>
      <c r="L48" t="str">
        <f>IF(ISBLANK('Credit Instruction Record'!H97),"",'Credit Instruction Record'!H97)</f>
        <v/>
      </c>
      <c r="M48" t="str">
        <f>IF(ISBLANK('Credit Instruction Record'!M97),"",'Credit Instruction Record'!M97)</f>
        <v/>
      </c>
      <c r="N48" t="str">
        <f>IF(ISBLANK('Credit Instruction Record'!N97),"",'Credit Instruction Record'!N97)</f>
        <v/>
      </c>
      <c r="O48" t="str">
        <f>IF(ISBLANK('Credit Instruction Record'!O97),"",'Credit Instruction Record'!O97)</f>
        <v/>
      </c>
      <c r="P48" s="69" t="b">
        <f t="shared" si="3"/>
        <v>1</v>
      </c>
    </row>
    <row r="49" spans="4:16">
      <c r="D49" s="40">
        <v>48</v>
      </c>
      <c r="E49" t="str">
        <f>IF(ISBLANK('Credit Instruction Record'!A99),"",'Credit Instruction Record'!A99)</f>
        <v/>
      </c>
      <c r="F49" t="str">
        <f>IF(ISBLANK('Credit Instruction Record'!B99),"",'Credit Instruction Record'!B99)</f>
        <v/>
      </c>
      <c r="G49" t="str">
        <f>IF(ISBLANK('Credit Instruction Record'!C99),"",'Credit Instruction Record'!C99)</f>
        <v>EUR</v>
      </c>
      <c r="H49" s="62" t="str">
        <f>IF(ISBLANK('Credit Instruction Record'!D99),"",'Credit Instruction Record'!D99)</f>
        <v/>
      </c>
      <c r="I49" t="str">
        <f>IF(ISBLANK('Credit Instruction Record'!E99),"",'Credit Instruction Record'!E99)</f>
        <v/>
      </c>
      <c r="J49" t="str">
        <f>IF(ISBLANK('Credit Instruction Record'!F99),"",'Credit Instruction Record'!F99)</f>
        <v/>
      </c>
      <c r="K49" t="str">
        <f>IF(ISBLANK('Credit Instruction Record'!G99),"",'Credit Instruction Record'!G99)</f>
        <v/>
      </c>
      <c r="L49" t="str">
        <f>IF(ISBLANK('Credit Instruction Record'!H99),"",'Credit Instruction Record'!H99)</f>
        <v/>
      </c>
      <c r="M49" t="str">
        <f>IF(ISBLANK('Credit Instruction Record'!M99),"",'Credit Instruction Record'!M99)</f>
        <v/>
      </c>
      <c r="N49" t="str">
        <f>IF(ISBLANK('Credit Instruction Record'!N99),"",'Credit Instruction Record'!N99)</f>
        <v/>
      </c>
      <c r="O49" t="str">
        <f>IF(ISBLANK('Credit Instruction Record'!O99),"",'Credit Instruction Record'!O99)</f>
        <v/>
      </c>
      <c r="P49" s="69" t="b">
        <f t="shared" si="3"/>
        <v>1</v>
      </c>
    </row>
    <row r="50" spans="4:16">
      <c r="D50" s="40">
        <v>49</v>
      </c>
      <c r="E50" t="str">
        <f>IF(ISBLANK('Credit Instruction Record'!A101),"",'Credit Instruction Record'!A101)</f>
        <v/>
      </c>
      <c r="F50" t="str">
        <f>IF(ISBLANK('Credit Instruction Record'!B101),"",'Credit Instruction Record'!B101)</f>
        <v/>
      </c>
      <c r="G50" t="str">
        <f>IF(ISBLANK('Credit Instruction Record'!C101),"",'Credit Instruction Record'!C101)</f>
        <v>EUR</v>
      </c>
      <c r="H50" s="62" t="str">
        <f>IF(ISBLANK('Credit Instruction Record'!D101),"",'Credit Instruction Record'!D101)</f>
        <v/>
      </c>
      <c r="I50" t="str">
        <f>IF(ISBLANK('Credit Instruction Record'!E101),"",'Credit Instruction Record'!E101)</f>
        <v/>
      </c>
      <c r="J50" t="str">
        <f>IF(ISBLANK('Credit Instruction Record'!F101),"",'Credit Instruction Record'!F101)</f>
        <v/>
      </c>
      <c r="K50" t="str">
        <f>IF(ISBLANK('Credit Instruction Record'!G101),"",'Credit Instruction Record'!G101)</f>
        <v/>
      </c>
      <c r="L50" t="str">
        <f>IF(ISBLANK('Credit Instruction Record'!H101),"",'Credit Instruction Record'!H101)</f>
        <v/>
      </c>
      <c r="M50" t="str">
        <f>IF(ISBLANK('Credit Instruction Record'!M101),"",'Credit Instruction Record'!M101)</f>
        <v/>
      </c>
      <c r="N50" t="str">
        <f>IF(ISBLANK('Credit Instruction Record'!N101),"",'Credit Instruction Record'!N101)</f>
        <v/>
      </c>
      <c r="O50" t="str">
        <f>IF(ISBLANK('Credit Instruction Record'!O101),"",'Credit Instruction Record'!O101)</f>
        <v/>
      </c>
      <c r="P50" s="69" t="b">
        <f t="shared" si="3"/>
        <v>1</v>
      </c>
    </row>
    <row r="51" spans="4:16">
      <c r="D51" s="40">
        <v>50</v>
      </c>
      <c r="E51" t="str">
        <f>IF(ISBLANK('Credit Instruction Record'!A103),"",'Credit Instruction Record'!A103)</f>
        <v/>
      </c>
      <c r="F51" t="str">
        <f>IF(ISBLANK('Credit Instruction Record'!B103),"",'Credit Instruction Record'!B103)</f>
        <v/>
      </c>
      <c r="G51" t="str">
        <f>IF(ISBLANK('Credit Instruction Record'!C103),"",'Credit Instruction Record'!C103)</f>
        <v>EUR</v>
      </c>
      <c r="H51" s="62" t="str">
        <f>IF(ISBLANK('Credit Instruction Record'!D103),"",'Credit Instruction Record'!D103)</f>
        <v/>
      </c>
      <c r="I51" t="str">
        <f>IF(ISBLANK('Credit Instruction Record'!E103),"",'Credit Instruction Record'!E103)</f>
        <v/>
      </c>
      <c r="J51" t="str">
        <f>IF(ISBLANK('Credit Instruction Record'!F103),"",'Credit Instruction Record'!F103)</f>
        <v/>
      </c>
      <c r="K51" t="str">
        <f>IF(ISBLANK('Credit Instruction Record'!G103),"",'Credit Instruction Record'!G103)</f>
        <v/>
      </c>
      <c r="L51" t="str">
        <f>IF(ISBLANK('Credit Instruction Record'!H103),"",'Credit Instruction Record'!H103)</f>
        <v/>
      </c>
      <c r="M51" t="str">
        <f>IF(ISBLANK('Credit Instruction Record'!M103),"",'Credit Instruction Record'!M103)</f>
        <v/>
      </c>
      <c r="N51" t="str">
        <f>IF(ISBLANK('Credit Instruction Record'!N103),"",'Credit Instruction Record'!N103)</f>
        <v/>
      </c>
      <c r="O51" t="str">
        <f>IF(ISBLANK('Credit Instruction Record'!O103),"",'Credit Instruction Record'!O103)</f>
        <v/>
      </c>
      <c r="P51" s="69" t="b">
        <f t="shared" si="3"/>
        <v>1</v>
      </c>
    </row>
    <row r="52" spans="4:16" ht="15.75" thickBot="1">
      <c r="D52" s="41">
        <v>51</v>
      </c>
      <c r="E52" s="42" t="str">
        <f>IF(ISBLANK('Credit Instruction Record'!A105),"",'Credit Instruction Record'!A105)</f>
        <v/>
      </c>
      <c r="F52" s="42" t="str">
        <f>IF(ISBLANK('Credit Instruction Record'!B105),"",'Credit Instruction Record'!B105)</f>
        <v/>
      </c>
      <c r="G52" s="42" t="str">
        <f>IF(ISBLANK('Credit Instruction Record'!C105),"",'Credit Instruction Record'!C105)</f>
        <v>EUR</v>
      </c>
      <c r="H52" s="70" t="str">
        <f>IF(ISBLANK('Credit Instruction Record'!D105),"",'Credit Instruction Record'!D105)</f>
        <v/>
      </c>
      <c r="I52" s="42" t="str">
        <f>IF(ISBLANK('Credit Instruction Record'!E105),"",'Credit Instruction Record'!E105)</f>
        <v/>
      </c>
      <c r="J52" s="42" t="str">
        <f>IF(ISBLANK('Credit Instruction Record'!F105),"",'Credit Instruction Record'!F105)</f>
        <v/>
      </c>
      <c r="K52" s="42" t="str">
        <f>IF(ISBLANK('Credit Instruction Record'!G105),"",'Credit Instruction Record'!G105)</f>
        <v/>
      </c>
      <c r="L52" s="42" t="str">
        <f>IF(ISBLANK('Credit Instruction Record'!H105),"",'Credit Instruction Record'!H105)</f>
        <v/>
      </c>
      <c r="M52" s="42" t="str">
        <f>IF(ISBLANK('Credit Instruction Record'!M105),"",'Credit Instruction Record'!M105)</f>
        <v/>
      </c>
      <c r="N52" s="42" t="str">
        <f>IF(ISBLANK('Credit Instruction Record'!N105),"",'Credit Instruction Record'!N105)</f>
        <v/>
      </c>
      <c r="O52" s="42" t="str">
        <f>IF(ISBLANK('Credit Instruction Record'!O105),"",'Credit Instruction Record'!O105)</f>
        <v/>
      </c>
      <c r="P52" s="51" t="b">
        <f t="shared" ref="P52" si="4">M52=""</f>
        <v>1</v>
      </c>
    </row>
  </sheetData>
  <sheetProtection algorithmName="SHA-512" hashValue="jz/el20hVw/hTuy4RLU7cceiP5TpiO8K93WKpHPfdUlOAqwSSdKfiiXCMjrzB8T4jHmzk7L9xR6XDu44qIlZMg==" saltValue="Z3gw7O67CnU2AzwSmcGtpw==" spinCount="100000" sheet="1" objects="1" scenarios="1" selectLockedCells="1"/>
  <mergeCells count="2">
    <mergeCell ref="R2:X14"/>
    <mergeCell ref="R16:X28"/>
  </mergeCell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D84"/>
  <sheetViews>
    <sheetView workbookViewId="0">
      <selection activeCell="B2" sqref="B2"/>
    </sheetView>
  </sheetViews>
  <sheetFormatPr defaultRowHeight="15"/>
  <cols>
    <col min="1" max="1" width="25.28515625" style="55" bestFit="1" customWidth="1"/>
    <col min="2" max="2" width="12" style="55" bestFit="1" customWidth="1"/>
    <col min="3" max="3" width="38.28515625" style="55" bestFit="1" customWidth="1"/>
    <col min="4" max="4" width="34.7109375" style="55" bestFit="1" customWidth="1"/>
    <col min="5" max="9" width="18.5703125" style="55" customWidth="1"/>
    <col min="10" max="10" width="35.28515625" style="55" bestFit="1" customWidth="1"/>
    <col min="11" max="11" width="18.42578125" style="55" bestFit="1" customWidth="1"/>
    <col min="12" max="12" width="1.140625" style="55" customWidth="1"/>
    <col min="13" max="18" width="9.28515625"/>
    <col min="19" max="30" width="9.28515625" style="55"/>
  </cols>
  <sheetData>
    <row r="1" spans="1:30" s="60" customFormat="1" ht="31.5">
      <c r="A1" s="57" t="s">
        <v>101</v>
      </c>
      <c r="B1" s="57" t="s">
        <v>35</v>
      </c>
      <c r="C1" s="58" t="s">
        <v>10</v>
      </c>
      <c r="D1" s="61" t="s">
        <v>164</v>
      </c>
      <c r="E1" s="61" t="s">
        <v>165</v>
      </c>
      <c r="F1" s="61" t="s">
        <v>166</v>
      </c>
      <c r="G1" s="61" t="s">
        <v>167</v>
      </c>
      <c r="H1" s="61" t="s">
        <v>168</v>
      </c>
      <c r="I1" s="61" t="s">
        <v>169</v>
      </c>
      <c r="J1" s="57" t="s">
        <v>33</v>
      </c>
      <c r="K1" s="61" t="s">
        <v>103</v>
      </c>
      <c r="L1" s="59"/>
      <c r="S1" s="59"/>
      <c r="T1" s="59"/>
      <c r="U1" s="59"/>
      <c r="V1" s="59"/>
      <c r="W1" s="59"/>
      <c r="X1" s="59"/>
      <c r="Y1" s="59"/>
      <c r="Z1" s="59"/>
      <c r="AA1" s="59"/>
      <c r="AB1" s="59"/>
      <c r="AC1" s="59"/>
      <c r="AD1" s="59"/>
    </row>
    <row r="2" spans="1:30">
      <c r="A2" t="s">
        <v>120</v>
      </c>
      <c r="B2" t="s">
        <v>121</v>
      </c>
      <c r="C2" t="s">
        <v>122</v>
      </c>
      <c r="E2"/>
      <c r="F2"/>
      <c r="G2"/>
      <c r="H2" t="s">
        <v>171</v>
      </c>
      <c r="I2" t="s">
        <v>170</v>
      </c>
      <c r="J2" t="s">
        <v>124</v>
      </c>
      <c r="K2" s="67" t="s">
        <v>123</v>
      </c>
    </row>
    <row r="3" spans="1:30" ht="15.75" thickBot="1">
      <c r="A3"/>
      <c r="B3"/>
      <c r="C3"/>
      <c r="E3"/>
      <c r="F3"/>
      <c r="G3"/>
      <c r="H3"/>
      <c r="I3"/>
      <c r="J3"/>
      <c r="K3" s="67"/>
    </row>
    <row r="4" spans="1:30">
      <c r="A4"/>
      <c r="B4"/>
      <c r="C4"/>
      <c r="E4"/>
      <c r="F4"/>
      <c r="G4"/>
      <c r="H4"/>
      <c r="I4"/>
      <c r="J4"/>
      <c r="K4" s="67"/>
      <c r="M4" s="119" t="s">
        <v>115</v>
      </c>
      <c r="N4" s="120"/>
      <c r="O4" s="120"/>
      <c r="P4" s="120"/>
      <c r="Q4" s="121"/>
    </row>
    <row r="5" spans="1:30">
      <c r="A5"/>
      <c r="B5"/>
      <c r="C5"/>
      <c r="E5"/>
      <c r="F5"/>
      <c r="G5"/>
      <c r="H5"/>
      <c r="I5"/>
      <c r="J5"/>
      <c r="K5" s="67"/>
      <c r="M5" s="122"/>
      <c r="N5" s="123"/>
      <c r="O5" s="123"/>
      <c r="P5" s="123"/>
      <c r="Q5" s="124"/>
    </row>
    <row r="6" spans="1:30">
      <c r="A6"/>
      <c r="B6"/>
      <c r="C6"/>
      <c r="E6"/>
      <c r="F6"/>
      <c r="G6"/>
      <c r="H6"/>
      <c r="I6"/>
      <c r="J6"/>
      <c r="K6" s="67"/>
      <c r="M6" s="122"/>
      <c r="N6" s="123"/>
      <c r="O6" s="123"/>
      <c r="P6" s="123"/>
      <c r="Q6" s="124"/>
    </row>
    <row r="7" spans="1:30">
      <c r="A7"/>
      <c r="B7"/>
      <c r="C7"/>
      <c r="E7"/>
      <c r="F7"/>
      <c r="G7"/>
      <c r="H7"/>
      <c r="I7"/>
      <c r="J7"/>
      <c r="K7" s="67"/>
      <c r="M7" s="122"/>
      <c r="N7" s="123"/>
      <c r="O7" s="123"/>
      <c r="P7" s="123"/>
      <c r="Q7" s="124"/>
    </row>
    <row r="8" spans="1:30">
      <c r="A8"/>
      <c r="B8"/>
      <c r="C8"/>
      <c r="E8"/>
      <c r="F8"/>
      <c r="G8"/>
      <c r="H8"/>
      <c r="I8"/>
      <c r="J8"/>
      <c r="K8" s="67"/>
      <c r="M8" s="122"/>
      <c r="N8" s="123"/>
      <c r="O8" s="123"/>
      <c r="P8" s="123"/>
      <c r="Q8" s="124"/>
    </row>
    <row r="9" spans="1:30">
      <c r="A9"/>
      <c r="B9"/>
      <c r="C9"/>
      <c r="E9"/>
      <c r="F9"/>
      <c r="G9"/>
      <c r="H9"/>
      <c r="I9"/>
      <c r="J9"/>
      <c r="K9" s="67"/>
      <c r="M9" s="122"/>
      <c r="N9" s="123"/>
      <c r="O9" s="123"/>
      <c r="P9" s="123"/>
      <c r="Q9" s="124"/>
    </row>
    <row r="10" spans="1:30">
      <c r="A10"/>
      <c r="B10"/>
      <c r="C10"/>
      <c r="E10"/>
      <c r="F10"/>
      <c r="G10"/>
      <c r="H10"/>
      <c r="I10"/>
      <c r="J10"/>
      <c r="K10" s="67"/>
      <c r="M10" s="122"/>
      <c r="N10" s="123"/>
      <c r="O10" s="123"/>
      <c r="P10" s="123"/>
      <c r="Q10" s="124"/>
    </row>
    <row r="11" spans="1:30">
      <c r="A11"/>
      <c r="B11"/>
      <c r="C11"/>
      <c r="E11"/>
      <c r="F11"/>
      <c r="G11"/>
      <c r="H11"/>
      <c r="I11"/>
      <c r="J11"/>
      <c r="K11" s="67"/>
      <c r="M11" s="122"/>
      <c r="N11" s="123"/>
      <c r="O11" s="123"/>
      <c r="P11" s="123"/>
      <c r="Q11" s="124"/>
    </row>
    <row r="12" spans="1:30" ht="15.75" thickBot="1">
      <c r="A12"/>
      <c r="B12"/>
      <c r="C12"/>
      <c r="E12"/>
      <c r="F12"/>
      <c r="G12"/>
      <c r="H12"/>
      <c r="I12"/>
      <c r="J12"/>
      <c r="K12" s="67"/>
      <c r="M12" s="125"/>
      <c r="N12" s="126"/>
      <c r="O12" s="126"/>
      <c r="P12" s="126"/>
      <c r="Q12" s="127"/>
    </row>
    <row r="13" spans="1:30">
      <c r="A13"/>
      <c r="B13"/>
      <c r="C13"/>
      <c r="E13"/>
      <c r="F13"/>
      <c r="G13"/>
      <c r="H13"/>
      <c r="I13"/>
      <c r="J13"/>
      <c r="K13" s="67"/>
    </row>
    <row r="14" spans="1:30">
      <c r="A14"/>
      <c r="B14"/>
      <c r="C14"/>
      <c r="E14"/>
      <c r="F14"/>
      <c r="G14"/>
      <c r="H14"/>
      <c r="I14"/>
      <c r="J14"/>
      <c r="K14" s="67"/>
    </row>
    <row r="15" spans="1:30">
      <c r="A15"/>
      <c r="B15"/>
      <c r="C15"/>
      <c r="E15"/>
      <c r="F15"/>
      <c r="G15"/>
      <c r="H15"/>
      <c r="I15"/>
      <c r="J15"/>
      <c r="K15" s="67"/>
    </row>
    <row r="16" spans="1:30">
      <c r="A16"/>
      <c r="B16"/>
      <c r="C16"/>
      <c r="E16"/>
      <c r="F16"/>
      <c r="G16"/>
      <c r="H16"/>
      <c r="I16"/>
      <c r="J16"/>
      <c r="K16" s="67"/>
    </row>
    <row r="17" spans="1:11">
      <c r="A17"/>
      <c r="B17"/>
      <c r="C17"/>
      <c r="E17"/>
      <c r="F17"/>
      <c r="G17"/>
      <c r="H17"/>
      <c r="I17"/>
      <c r="J17"/>
      <c r="K17" s="67"/>
    </row>
    <row r="18" spans="1:11">
      <c r="A18"/>
      <c r="B18"/>
      <c r="C18"/>
      <c r="E18"/>
      <c r="F18"/>
      <c r="G18"/>
      <c r="H18"/>
      <c r="I18"/>
      <c r="J18"/>
      <c r="K18" s="67"/>
    </row>
    <row r="19" spans="1:11">
      <c r="A19"/>
      <c r="B19"/>
      <c r="C19"/>
      <c r="E19"/>
      <c r="F19"/>
      <c r="G19"/>
      <c r="H19"/>
      <c r="I19"/>
      <c r="J19"/>
      <c r="K19" s="67"/>
    </row>
    <row r="20" spans="1:11">
      <c r="A20"/>
      <c r="B20"/>
      <c r="C20"/>
      <c r="E20"/>
      <c r="F20"/>
      <c r="G20"/>
      <c r="H20"/>
      <c r="I20"/>
      <c r="J20"/>
      <c r="K20" s="67"/>
    </row>
    <row r="21" spans="1:11">
      <c r="A21"/>
      <c r="B21"/>
      <c r="C21"/>
      <c r="E21"/>
      <c r="F21"/>
      <c r="G21"/>
      <c r="H21"/>
      <c r="I21"/>
      <c r="J21"/>
      <c r="K21" s="67"/>
    </row>
    <row r="22" spans="1:11">
      <c r="A22"/>
      <c r="B22"/>
      <c r="C22"/>
      <c r="E22"/>
      <c r="F22"/>
      <c r="G22"/>
      <c r="H22"/>
      <c r="I22"/>
      <c r="J22"/>
      <c r="K22" s="67"/>
    </row>
    <row r="23" spans="1:11">
      <c r="A23"/>
      <c r="B23"/>
      <c r="C23"/>
      <c r="E23"/>
      <c r="F23"/>
      <c r="G23"/>
      <c r="H23"/>
      <c r="I23"/>
      <c r="J23"/>
      <c r="K23" s="67"/>
    </row>
    <row r="24" spans="1:11">
      <c r="A24"/>
      <c r="B24"/>
      <c r="C24"/>
      <c r="E24"/>
      <c r="F24"/>
      <c r="G24"/>
      <c r="H24"/>
      <c r="I24"/>
      <c r="J24"/>
      <c r="K24" s="67"/>
    </row>
    <row r="25" spans="1:11">
      <c r="A25"/>
      <c r="B25"/>
      <c r="C25"/>
      <c r="E25"/>
      <c r="F25"/>
      <c r="G25"/>
      <c r="H25"/>
      <c r="I25"/>
      <c r="J25"/>
      <c r="K25" s="67"/>
    </row>
    <row r="26" spans="1:11">
      <c r="A26"/>
      <c r="B26"/>
      <c r="C26"/>
      <c r="E26"/>
      <c r="F26"/>
      <c r="G26"/>
      <c r="H26"/>
      <c r="I26"/>
      <c r="J26"/>
      <c r="K26" s="67"/>
    </row>
    <row r="27" spans="1:11">
      <c r="A27"/>
      <c r="B27"/>
      <c r="C27"/>
      <c r="E27"/>
      <c r="F27"/>
      <c r="G27"/>
      <c r="H27"/>
      <c r="I27"/>
      <c r="J27"/>
      <c r="K27" s="67"/>
    </row>
    <row r="28" spans="1:11">
      <c r="A28"/>
      <c r="B28"/>
      <c r="C28"/>
      <c r="E28"/>
      <c r="F28"/>
      <c r="G28"/>
      <c r="H28"/>
      <c r="I28"/>
      <c r="J28"/>
      <c r="K28" s="67"/>
    </row>
    <row r="29" spans="1:11">
      <c r="A29"/>
      <c r="B29"/>
      <c r="C29"/>
      <c r="E29"/>
      <c r="F29"/>
      <c r="G29"/>
      <c r="H29"/>
      <c r="I29"/>
      <c r="J29"/>
      <c r="K29" s="67"/>
    </row>
    <row r="30" spans="1:11">
      <c r="A30"/>
      <c r="B30"/>
      <c r="C30"/>
      <c r="E30"/>
      <c r="F30"/>
      <c r="G30"/>
      <c r="H30"/>
      <c r="I30"/>
      <c r="J30"/>
      <c r="K30" s="67"/>
    </row>
    <row r="31" spans="1:11">
      <c r="A31"/>
      <c r="B31"/>
      <c r="C31"/>
      <c r="E31"/>
      <c r="F31"/>
      <c r="G31"/>
      <c r="H31"/>
      <c r="I31"/>
      <c r="J31"/>
      <c r="K31" s="67"/>
    </row>
    <row r="32" spans="1:11">
      <c r="A32"/>
      <c r="B32"/>
      <c r="C32"/>
      <c r="E32"/>
      <c r="F32"/>
      <c r="G32"/>
      <c r="H32"/>
      <c r="I32"/>
      <c r="J32"/>
      <c r="K32" s="67"/>
    </row>
    <row r="33" spans="1:11">
      <c r="A33"/>
      <c r="B33"/>
      <c r="C33"/>
      <c r="E33"/>
      <c r="F33"/>
      <c r="G33"/>
      <c r="H33"/>
      <c r="I33"/>
      <c r="J33"/>
      <c r="K33" s="67"/>
    </row>
    <row r="34" spans="1:11">
      <c r="A34"/>
      <c r="B34"/>
      <c r="C34"/>
      <c r="E34"/>
      <c r="F34"/>
      <c r="G34"/>
      <c r="H34"/>
      <c r="I34"/>
      <c r="J34"/>
      <c r="K34" s="67"/>
    </row>
    <row r="35" spans="1:11">
      <c r="A35"/>
      <c r="B35"/>
      <c r="C35"/>
      <c r="E35"/>
      <c r="F35"/>
      <c r="G35"/>
      <c r="H35"/>
      <c r="I35"/>
      <c r="J35"/>
      <c r="K35" s="67"/>
    </row>
    <row r="36" spans="1:11">
      <c r="A36"/>
      <c r="B36"/>
      <c r="C36"/>
      <c r="E36"/>
      <c r="F36"/>
      <c r="G36"/>
      <c r="H36"/>
      <c r="I36"/>
      <c r="J36"/>
      <c r="K36" s="67"/>
    </row>
    <row r="37" spans="1:11">
      <c r="A37"/>
      <c r="B37"/>
      <c r="C37"/>
      <c r="E37"/>
      <c r="F37"/>
      <c r="G37"/>
      <c r="H37"/>
      <c r="I37"/>
      <c r="J37"/>
      <c r="K37" s="67"/>
    </row>
    <row r="38" spans="1:11">
      <c r="A38"/>
      <c r="B38"/>
      <c r="C38"/>
      <c r="E38"/>
      <c r="F38"/>
      <c r="G38"/>
      <c r="H38"/>
      <c r="I38"/>
      <c r="J38"/>
      <c r="K38" s="67"/>
    </row>
    <row r="39" spans="1:11">
      <c r="A39"/>
      <c r="B39"/>
      <c r="C39"/>
      <c r="E39"/>
      <c r="F39"/>
      <c r="G39"/>
      <c r="H39"/>
      <c r="I39"/>
      <c r="J39"/>
      <c r="K39" s="67"/>
    </row>
    <row r="40" spans="1:11">
      <c r="A40"/>
      <c r="B40"/>
      <c r="C40"/>
      <c r="E40"/>
      <c r="F40"/>
      <c r="G40"/>
      <c r="H40"/>
      <c r="I40"/>
      <c r="J40"/>
      <c r="K40" s="67"/>
    </row>
    <row r="41" spans="1:11">
      <c r="A41"/>
      <c r="B41"/>
      <c r="C41"/>
      <c r="E41"/>
      <c r="F41"/>
      <c r="G41"/>
      <c r="H41"/>
      <c r="I41"/>
      <c r="J41"/>
      <c r="K41" s="67"/>
    </row>
    <row r="42" spans="1:11">
      <c r="A42"/>
      <c r="B42"/>
      <c r="C42"/>
      <c r="E42"/>
      <c r="F42"/>
      <c r="G42"/>
      <c r="H42"/>
      <c r="I42"/>
      <c r="J42"/>
      <c r="K42" s="67"/>
    </row>
    <row r="43" spans="1:11">
      <c r="A43"/>
      <c r="B43"/>
      <c r="C43"/>
      <c r="E43"/>
      <c r="F43"/>
      <c r="G43"/>
      <c r="H43"/>
      <c r="I43"/>
      <c r="J43"/>
      <c r="K43" s="68"/>
    </row>
    <row r="44" spans="1:11">
      <c r="A44"/>
      <c r="B44"/>
      <c r="C44"/>
      <c r="E44"/>
      <c r="F44"/>
      <c r="G44"/>
      <c r="H44"/>
      <c r="I44"/>
      <c r="J44"/>
      <c r="K44" s="67"/>
    </row>
    <row r="45" spans="1:11">
      <c r="A45"/>
      <c r="B45"/>
      <c r="C45"/>
      <c r="E45"/>
      <c r="F45"/>
      <c r="G45"/>
      <c r="H45"/>
      <c r="I45"/>
      <c r="J45"/>
      <c r="K45" s="67"/>
    </row>
    <row r="46" spans="1:11">
      <c r="A46"/>
      <c r="B46"/>
      <c r="C46"/>
      <c r="E46"/>
      <c r="F46"/>
      <c r="G46"/>
      <c r="H46"/>
      <c r="I46"/>
      <c r="J46"/>
      <c r="K46" s="67"/>
    </row>
    <row r="47" spans="1:11">
      <c r="A47"/>
      <c r="B47"/>
      <c r="C47"/>
      <c r="E47"/>
      <c r="F47"/>
      <c r="G47"/>
      <c r="H47"/>
      <c r="I47"/>
      <c r="J47"/>
      <c r="K47" s="67"/>
    </row>
    <row r="48" spans="1:11">
      <c r="A48"/>
      <c r="B48"/>
      <c r="C48"/>
      <c r="E48"/>
      <c r="F48"/>
      <c r="G48"/>
      <c r="H48"/>
      <c r="I48"/>
      <c r="J48"/>
      <c r="K48" s="67"/>
    </row>
    <row r="49" spans="1:11">
      <c r="A49"/>
      <c r="B49"/>
      <c r="C49"/>
      <c r="E49"/>
      <c r="F49"/>
      <c r="G49"/>
      <c r="H49"/>
      <c r="I49"/>
      <c r="J49"/>
      <c r="K49" s="67"/>
    </row>
    <row r="50" spans="1:11">
      <c r="A50"/>
      <c r="B50"/>
      <c r="C50"/>
      <c r="E50"/>
      <c r="F50"/>
      <c r="G50"/>
      <c r="H50"/>
      <c r="I50"/>
      <c r="J50"/>
      <c r="K50" s="67"/>
    </row>
    <row r="51" spans="1:11">
      <c r="A51"/>
      <c r="B51"/>
      <c r="C51"/>
      <c r="E51"/>
      <c r="F51"/>
      <c r="G51"/>
      <c r="H51"/>
      <c r="I51"/>
      <c r="J51"/>
      <c r="K51" s="67"/>
    </row>
    <row r="52" spans="1:11">
      <c r="A52"/>
      <c r="B52"/>
      <c r="C52"/>
      <c r="E52"/>
      <c r="F52"/>
      <c r="G52"/>
      <c r="H52"/>
      <c r="I52"/>
      <c r="J52"/>
      <c r="K52" s="67"/>
    </row>
    <row r="53" spans="1:11">
      <c r="A53"/>
      <c r="B53"/>
      <c r="C53"/>
      <c r="E53"/>
      <c r="F53"/>
      <c r="G53"/>
      <c r="H53"/>
      <c r="I53"/>
      <c r="J53"/>
      <c r="K53" s="67"/>
    </row>
    <row r="54" spans="1:11">
      <c r="A54"/>
      <c r="B54"/>
      <c r="C54"/>
      <c r="E54"/>
      <c r="F54"/>
      <c r="G54"/>
      <c r="H54"/>
      <c r="I54"/>
      <c r="J54"/>
      <c r="K54" s="67"/>
    </row>
    <row r="55" spans="1:11">
      <c r="A55"/>
      <c r="B55"/>
      <c r="C55"/>
      <c r="E55"/>
      <c r="F55"/>
      <c r="G55"/>
      <c r="H55"/>
      <c r="I55"/>
      <c r="J55"/>
      <c r="K55" s="67"/>
    </row>
    <row r="56" spans="1:11">
      <c r="A56"/>
      <c r="B56"/>
      <c r="C56"/>
      <c r="E56"/>
      <c r="F56"/>
      <c r="G56"/>
      <c r="H56"/>
      <c r="I56"/>
      <c r="J56"/>
      <c r="K56" s="67"/>
    </row>
    <row r="57" spans="1:11">
      <c r="A57"/>
      <c r="B57"/>
      <c r="C57"/>
      <c r="E57"/>
      <c r="F57"/>
      <c r="G57"/>
      <c r="H57"/>
      <c r="I57"/>
      <c r="J57"/>
      <c r="K57" s="67"/>
    </row>
    <row r="58" spans="1:11">
      <c r="A58"/>
      <c r="B58"/>
      <c r="C58"/>
      <c r="E58"/>
      <c r="F58"/>
      <c r="G58"/>
      <c r="H58"/>
      <c r="I58"/>
      <c r="J58"/>
      <c r="K58" s="67"/>
    </row>
    <row r="59" spans="1:11">
      <c r="A59"/>
      <c r="B59"/>
      <c r="C59"/>
      <c r="E59"/>
      <c r="F59"/>
      <c r="G59"/>
      <c r="H59"/>
      <c r="I59"/>
      <c r="J59"/>
      <c r="K59" s="67"/>
    </row>
    <row r="60" spans="1:11">
      <c r="A60"/>
      <c r="B60"/>
      <c r="C60"/>
      <c r="E60"/>
      <c r="F60"/>
      <c r="G60"/>
      <c r="H60"/>
      <c r="I60"/>
      <c r="J60"/>
      <c r="K60" s="67"/>
    </row>
    <row r="61" spans="1:11">
      <c r="A61"/>
      <c r="B61"/>
      <c r="C61"/>
      <c r="E61"/>
      <c r="F61"/>
      <c r="G61"/>
      <c r="H61"/>
      <c r="I61"/>
      <c r="J61"/>
      <c r="K61" s="67"/>
    </row>
    <row r="62" spans="1:11">
      <c r="A62"/>
      <c r="B62"/>
      <c r="C62"/>
      <c r="E62"/>
      <c r="F62"/>
      <c r="G62"/>
      <c r="H62"/>
      <c r="I62"/>
      <c r="J62"/>
      <c r="K62" s="67"/>
    </row>
    <row r="63" spans="1:11">
      <c r="A63"/>
      <c r="B63"/>
      <c r="C63"/>
      <c r="E63"/>
      <c r="F63"/>
      <c r="G63"/>
      <c r="H63"/>
      <c r="I63"/>
      <c r="J63"/>
      <c r="K63" s="67"/>
    </row>
    <row r="64" spans="1:11">
      <c r="A64"/>
      <c r="B64"/>
      <c r="C64"/>
      <c r="E64"/>
      <c r="F64"/>
      <c r="G64"/>
      <c r="H64"/>
      <c r="I64"/>
      <c r="J64"/>
      <c r="K64" s="67"/>
    </row>
    <row r="65" spans="1:11">
      <c r="A65"/>
      <c r="B65"/>
      <c r="C65"/>
      <c r="E65"/>
      <c r="F65"/>
      <c r="G65"/>
      <c r="H65"/>
      <c r="I65"/>
      <c r="J65"/>
      <c r="K65" s="67"/>
    </row>
    <row r="66" spans="1:11">
      <c r="A66"/>
      <c r="B66"/>
      <c r="C66"/>
      <c r="E66"/>
      <c r="F66"/>
      <c r="G66"/>
      <c r="H66"/>
      <c r="I66"/>
      <c r="J66"/>
      <c r="K66" s="67"/>
    </row>
    <row r="67" spans="1:11">
      <c r="A67"/>
      <c r="B67"/>
      <c r="C67"/>
      <c r="E67"/>
      <c r="F67"/>
      <c r="G67"/>
      <c r="H67"/>
      <c r="I67"/>
      <c r="J67"/>
      <c r="K67" s="67"/>
    </row>
    <row r="68" spans="1:11">
      <c r="A68"/>
      <c r="B68"/>
      <c r="C68"/>
      <c r="E68"/>
      <c r="F68"/>
      <c r="G68"/>
      <c r="H68"/>
      <c r="I68"/>
      <c r="J68"/>
      <c r="K68" s="67"/>
    </row>
    <row r="69" spans="1:11">
      <c r="A69"/>
      <c r="B69"/>
      <c r="C69"/>
      <c r="E69"/>
      <c r="F69"/>
      <c r="G69"/>
      <c r="H69"/>
      <c r="I69"/>
      <c r="J69"/>
      <c r="K69" s="67"/>
    </row>
    <row r="70" spans="1:11">
      <c r="A70"/>
      <c r="B70"/>
      <c r="C70"/>
      <c r="E70"/>
      <c r="F70"/>
      <c r="G70"/>
      <c r="H70"/>
      <c r="I70"/>
      <c r="J70"/>
      <c r="K70" s="67"/>
    </row>
    <row r="71" spans="1:11">
      <c r="A71"/>
      <c r="B71"/>
      <c r="C71"/>
      <c r="E71"/>
      <c r="F71"/>
      <c r="G71"/>
      <c r="H71"/>
      <c r="I71"/>
      <c r="J71"/>
      <c r="K71" s="67"/>
    </row>
    <row r="72" spans="1:11">
      <c r="A72"/>
      <c r="B72"/>
      <c r="C72"/>
      <c r="E72"/>
      <c r="F72"/>
      <c r="G72"/>
      <c r="H72"/>
      <c r="I72"/>
      <c r="J72"/>
      <c r="K72" s="67"/>
    </row>
    <row r="73" spans="1:11">
      <c r="A73"/>
      <c r="B73"/>
      <c r="C73"/>
      <c r="E73"/>
      <c r="F73"/>
      <c r="G73"/>
      <c r="H73"/>
      <c r="I73"/>
      <c r="J73"/>
      <c r="K73" s="67"/>
    </row>
    <row r="74" spans="1:11">
      <c r="A74"/>
      <c r="B74"/>
      <c r="C74"/>
      <c r="E74"/>
      <c r="F74"/>
      <c r="G74"/>
      <c r="H74"/>
      <c r="I74"/>
      <c r="J74"/>
      <c r="K74" s="67"/>
    </row>
    <row r="75" spans="1:11">
      <c r="A75"/>
      <c r="B75"/>
      <c r="C75"/>
      <c r="E75"/>
      <c r="F75"/>
      <c r="G75"/>
      <c r="H75"/>
      <c r="I75"/>
      <c r="J75"/>
      <c r="K75" s="67"/>
    </row>
    <row r="76" spans="1:11">
      <c r="A76"/>
      <c r="B76"/>
      <c r="C76"/>
      <c r="E76"/>
      <c r="F76"/>
      <c r="G76"/>
      <c r="H76"/>
      <c r="I76"/>
      <c r="J76"/>
      <c r="K76" s="67"/>
    </row>
    <row r="77" spans="1:11">
      <c r="A77"/>
      <c r="B77"/>
      <c r="C77"/>
      <c r="E77"/>
      <c r="F77"/>
      <c r="G77"/>
      <c r="H77"/>
      <c r="I77"/>
      <c r="J77"/>
      <c r="K77" s="67"/>
    </row>
    <row r="78" spans="1:11">
      <c r="A78"/>
      <c r="B78"/>
      <c r="C78"/>
      <c r="E78"/>
      <c r="F78"/>
      <c r="G78"/>
      <c r="H78"/>
      <c r="I78"/>
      <c r="J78"/>
      <c r="K78" s="67"/>
    </row>
    <row r="79" spans="1:11">
      <c r="A79"/>
      <c r="B79"/>
      <c r="C79"/>
      <c r="E79"/>
      <c r="F79"/>
      <c r="G79"/>
      <c r="H79"/>
      <c r="I79"/>
      <c r="J79"/>
      <c r="K79" s="67"/>
    </row>
    <row r="80" spans="1:11">
      <c r="A80"/>
      <c r="B80"/>
      <c r="C80"/>
      <c r="E80"/>
      <c r="F80"/>
      <c r="G80"/>
      <c r="H80"/>
      <c r="I80"/>
      <c r="J80"/>
      <c r="K80" s="67"/>
    </row>
    <row r="81" spans="1:11">
      <c r="A81"/>
      <c r="B81"/>
      <c r="C81"/>
      <c r="E81"/>
      <c r="F81"/>
      <c r="G81"/>
      <c r="H81"/>
      <c r="I81"/>
      <c r="J81"/>
      <c r="K81" s="67"/>
    </row>
    <row r="82" spans="1:11">
      <c r="A82"/>
      <c r="B82"/>
      <c r="C82"/>
      <c r="E82"/>
      <c r="F82"/>
      <c r="G82"/>
      <c r="H82"/>
      <c r="I82"/>
      <c r="J82"/>
      <c r="K82" s="67"/>
    </row>
    <row r="83" spans="1:11">
      <c r="A83"/>
      <c r="B83"/>
      <c r="C83"/>
      <c r="E83"/>
      <c r="F83"/>
      <c r="G83"/>
      <c r="H83"/>
      <c r="I83"/>
      <c r="J83"/>
      <c r="K83" s="67"/>
    </row>
    <row r="84" spans="1:11">
      <c r="A84"/>
      <c r="B84"/>
      <c r="C84"/>
      <c r="E84"/>
      <c r="F84"/>
      <c r="G84"/>
      <c r="H84"/>
      <c r="I84"/>
      <c r="J84"/>
      <c r="K84" s="67"/>
    </row>
  </sheetData>
  <sortState xmlns:xlrd2="http://schemas.microsoft.com/office/spreadsheetml/2017/richdata2" ref="A2:K70">
    <sortCondition ref="A2:A70"/>
  </sortState>
  <mergeCells count="1">
    <mergeCell ref="M4:Q1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errorStyle="information" allowBlank="1" showInputMessage="1" showErrorMessage="1" errorTitle="Code is not in the list" xr:uid="{7D5B8E90-50B8-4445-9246-4B751986AD75}">
          <x14:formula1>
            <xm:f>'Control Data (Hidden)'!$B$279:$B$335</xm:f>
          </x14:formula1>
          <xm:sqref>B2 B4:B1048576</xm:sqref>
        </x14:dataValidation>
        <x14:dataValidation type="list" errorStyle="warning" allowBlank="1" showErrorMessage="1" errorTitle="Code is not in list" xr:uid="{08D1CD7B-453A-4125-ABBB-DCDE1D8B4E2B}">
          <x14:formula1>
            <xm:f>'Control Data (Hidden)'!$B$279:$B$335</xm:f>
          </x14:formula1>
          <xm:sqref>B3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335"/>
  <sheetViews>
    <sheetView topLeftCell="A268" workbookViewId="0">
      <selection activeCell="B284" sqref="B284"/>
    </sheetView>
  </sheetViews>
  <sheetFormatPr defaultRowHeight="15"/>
  <cols>
    <col min="1" max="1" width="27" bestFit="1" customWidth="1"/>
    <col min="2" max="2" width="19.28515625" customWidth="1"/>
    <col min="3" max="3" width="10.7109375" bestFit="1" customWidth="1"/>
    <col min="13" max="13" width="95.5703125" customWidth="1"/>
  </cols>
  <sheetData>
    <row r="1" spans="1:13" ht="15.75" thickBot="1">
      <c r="A1" s="35" t="s">
        <v>92</v>
      </c>
      <c r="B1" s="36" t="s">
        <v>91</v>
      </c>
      <c r="C1" s="36" t="s">
        <v>172</v>
      </c>
      <c r="D1" s="36"/>
      <c r="E1" s="36"/>
      <c r="F1" s="36"/>
      <c r="G1" s="36"/>
      <c r="H1" s="36"/>
      <c r="I1" s="37"/>
      <c r="L1" t="s">
        <v>88</v>
      </c>
      <c r="M1" t="s">
        <v>110</v>
      </c>
    </row>
    <row r="2" spans="1:13" ht="15.75" thickBot="1">
      <c r="L2" t="s">
        <v>86</v>
      </c>
      <c r="M2" t="s">
        <v>111</v>
      </c>
    </row>
    <row r="3" spans="1:13" ht="15.75" thickBot="1">
      <c r="A3" s="35" t="s">
        <v>93</v>
      </c>
      <c r="B3" s="37" t="s">
        <v>173</v>
      </c>
      <c r="L3" t="s">
        <v>109</v>
      </c>
      <c r="M3" t="s">
        <v>113</v>
      </c>
    </row>
    <row r="4" spans="1:13" ht="15.75" thickBot="1">
      <c r="M4" t="s">
        <v>112</v>
      </c>
    </row>
    <row r="5" spans="1:13" ht="368.25" customHeight="1">
      <c r="A5" s="38" t="s">
        <v>139</v>
      </c>
      <c r="B5" s="39" t="s">
        <v>87</v>
      </c>
      <c r="C5" s="128" t="s">
        <v>174</v>
      </c>
      <c r="D5" s="128"/>
      <c r="E5" s="128"/>
      <c r="F5" s="128"/>
      <c r="G5" s="128"/>
      <c r="H5" s="128"/>
      <c r="I5" s="129"/>
      <c r="M5" s="18" t="s">
        <v>114</v>
      </c>
    </row>
    <row r="6" spans="1:13" ht="75">
      <c r="A6" s="40"/>
      <c r="B6" t="s">
        <v>88</v>
      </c>
      <c r="C6" s="130" t="s">
        <v>89</v>
      </c>
      <c r="D6" s="130"/>
      <c r="E6" s="130"/>
      <c r="F6" s="130"/>
      <c r="G6" s="130"/>
      <c r="H6" s="130"/>
      <c r="I6" s="131"/>
      <c r="L6" s="2" t="s">
        <v>128</v>
      </c>
      <c r="M6" s="18" t="s">
        <v>130</v>
      </c>
    </row>
    <row r="7" spans="1:13" ht="105.75" thickBot="1">
      <c r="A7" s="41"/>
      <c r="B7" s="42" t="s">
        <v>90</v>
      </c>
      <c r="C7" s="132" t="s">
        <v>144</v>
      </c>
      <c r="D7" s="132"/>
      <c r="E7" s="132"/>
      <c r="F7" s="132"/>
      <c r="G7" s="132"/>
      <c r="H7" s="132"/>
      <c r="I7" s="133"/>
      <c r="L7" s="2" t="s">
        <v>129</v>
      </c>
      <c r="M7" s="18" t="s">
        <v>131</v>
      </c>
    </row>
    <row r="8" spans="1:13" ht="135.75" thickBot="1">
      <c r="L8" s="2" t="s">
        <v>132</v>
      </c>
      <c r="M8" s="18" t="s">
        <v>134</v>
      </c>
    </row>
    <row r="9" spans="1:13" ht="30.75" thickBot="1">
      <c r="A9" s="35" t="s">
        <v>24</v>
      </c>
      <c r="B9" s="43" t="s">
        <v>21</v>
      </c>
      <c r="C9" s="36"/>
      <c r="D9" s="44" t="s">
        <v>25</v>
      </c>
      <c r="E9" s="45" t="s">
        <v>26</v>
      </c>
      <c r="L9" s="2" t="s">
        <v>138</v>
      </c>
      <c r="M9" s="18" t="s">
        <v>140</v>
      </c>
    </row>
    <row r="10" spans="1:13" ht="15.75" thickBot="1">
      <c r="B10" s="1"/>
      <c r="D10" s="46"/>
      <c r="E10" s="47"/>
      <c r="L10" s="2" t="s">
        <v>141</v>
      </c>
      <c r="M10" s="18" t="s">
        <v>142</v>
      </c>
    </row>
    <row r="11" spans="1:13">
      <c r="A11" s="48" t="s">
        <v>37</v>
      </c>
      <c r="B11" s="49" t="s">
        <v>38</v>
      </c>
      <c r="C11" s="49"/>
      <c r="D11" s="49" t="s">
        <v>39</v>
      </c>
      <c r="E11" s="49" t="s">
        <v>40</v>
      </c>
      <c r="F11" s="49" t="s">
        <v>41</v>
      </c>
      <c r="G11" s="49" t="s">
        <v>42</v>
      </c>
      <c r="H11" s="49" t="s">
        <v>43</v>
      </c>
      <c r="I11" s="49" t="s">
        <v>44</v>
      </c>
      <c r="J11" s="49" t="s">
        <v>45</v>
      </c>
      <c r="K11" s="50"/>
      <c r="L11" s="2" t="s">
        <v>143</v>
      </c>
      <c r="M11" s="18" t="s">
        <v>175</v>
      </c>
    </row>
    <row r="12" spans="1:13" ht="105.75" thickBot="1">
      <c r="A12" s="41"/>
      <c r="B12" s="42"/>
      <c r="C12" s="42"/>
      <c r="D12" s="42" t="s">
        <v>46</v>
      </c>
      <c r="E12" s="42" t="s">
        <v>47</v>
      </c>
      <c r="F12" s="42" t="s">
        <v>48</v>
      </c>
      <c r="G12" s="42" t="s">
        <v>49</v>
      </c>
      <c r="H12" s="42" t="s">
        <v>50</v>
      </c>
      <c r="I12" s="42" t="s">
        <v>51</v>
      </c>
      <c r="J12" s="42" t="s">
        <v>52</v>
      </c>
      <c r="K12" s="51"/>
      <c r="L12" s="2" t="s">
        <v>172</v>
      </c>
      <c r="M12" s="18" t="s">
        <v>176</v>
      </c>
    </row>
    <row r="13" spans="1:13" ht="15.75" thickBot="1"/>
    <row r="14" spans="1:13" ht="15.75" thickBot="1">
      <c r="A14" s="35" t="s">
        <v>81</v>
      </c>
      <c r="B14" s="52">
        <f>DATE(2025,1,1)</f>
        <v>45658</v>
      </c>
      <c r="C14" s="53">
        <f>DATE(2034,12,31)</f>
        <v>49309</v>
      </c>
    </row>
    <row r="15" spans="1:13" ht="15.75" thickBot="1"/>
    <row r="16" spans="1:13" ht="15.75" thickBot="1">
      <c r="A16" s="35" t="s">
        <v>96</v>
      </c>
      <c r="B16" s="36" t="str">
        <f ca="1">CONCATENATE(DEC2HEX(RANDBETWEEN(0,4294967295),8),"-", DEC2HEX(RANDBETWEEN(0,42949),4),"-",DEC2HEX(RANDBETWEEN(0,42949),4),"-", DEC2HEX(RANDBETWEEN(0,42949),4),"-",DEC2HEX(RANDBETWEEN(0,4294967295),8),"-",DEC2HEX(RANDBETWEEN(0,42949),4))</f>
        <v>A7DB28A9-8374-8D07-8F4A-A8F88568-5243</v>
      </c>
      <c r="C16" s="36"/>
      <c r="D16" s="37"/>
    </row>
    <row r="17" spans="1:4" ht="15.75" thickBot="1"/>
    <row r="18" spans="1:4" ht="15.75" thickBot="1">
      <c r="A18" s="35" t="s">
        <v>97</v>
      </c>
      <c r="B18" s="36" t="str">
        <f ca="1">CONCATENATE("M",YEAR('Header Record'!B5),TEXT(MONTH('Header Record'!B5),"mm"),TEXT(DAY('Header Record'!B5),"dd"),"-",LEFT('Control Data (Hidden)'!B16,23))</f>
        <v>M20250117-A7DB28A9-8374-8D07-8F4A</v>
      </c>
      <c r="C18" s="36"/>
      <c r="D18" s="37"/>
    </row>
    <row r="19" spans="1:4" ht="15.75" thickBot="1"/>
    <row r="20" spans="1:4" ht="15.75" thickBot="1">
      <c r="A20" s="35" t="s">
        <v>100</v>
      </c>
      <c r="B20" s="36" t="str">
        <f ca="1">CONCATENATE("P",YEAR('Header Record'!B5),TEXT(MONTH('Header Record'!B5),"mm"),TEXT(DAY('Header Record'!B5),"dd"),"-",LEFT('Control Data (Hidden)'!B16,23))</f>
        <v>P20250117-A7DB28A9-8374-8D07-8F4A</v>
      </c>
      <c r="C20" s="36"/>
      <c r="D20" s="37"/>
    </row>
    <row r="21" spans="1:4" ht="15.75" thickBot="1"/>
    <row r="22" spans="1:4">
      <c r="A22" s="48" t="s">
        <v>177</v>
      </c>
      <c r="B22" s="50" t="s">
        <v>178</v>
      </c>
    </row>
    <row r="23" spans="1:4">
      <c r="A23" s="40" t="s">
        <v>179</v>
      </c>
      <c r="B23" s="69" t="s">
        <v>180</v>
      </c>
    </row>
    <row r="24" spans="1:4">
      <c r="A24" s="40" t="s">
        <v>181</v>
      </c>
      <c r="B24" s="69" t="s">
        <v>182</v>
      </c>
    </row>
    <row r="25" spans="1:4">
      <c r="A25" s="40" t="s">
        <v>183</v>
      </c>
      <c r="B25" s="69" t="s">
        <v>184</v>
      </c>
    </row>
    <row r="26" spans="1:4">
      <c r="A26" s="40" t="s">
        <v>185</v>
      </c>
      <c r="B26" s="69" t="s">
        <v>186</v>
      </c>
    </row>
    <row r="27" spans="1:4">
      <c r="A27" s="40" t="s">
        <v>187</v>
      </c>
      <c r="B27" s="69" t="s">
        <v>188</v>
      </c>
    </row>
    <row r="28" spans="1:4">
      <c r="A28" s="40" t="s">
        <v>189</v>
      </c>
      <c r="B28" s="69" t="s">
        <v>190</v>
      </c>
    </row>
    <row r="29" spans="1:4">
      <c r="A29" s="40" t="s">
        <v>191</v>
      </c>
      <c r="B29" s="69" t="s">
        <v>192</v>
      </c>
    </row>
    <row r="30" spans="1:4">
      <c r="A30" s="40" t="s">
        <v>193</v>
      </c>
      <c r="B30" s="69" t="s">
        <v>194</v>
      </c>
    </row>
    <row r="31" spans="1:4">
      <c r="A31" s="40" t="s">
        <v>195</v>
      </c>
      <c r="B31" s="69" t="s">
        <v>196</v>
      </c>
    </row>
    <row r="32" spans="1:4">
      <c r="A32" s="40" t="s">
        <v>197</v>
      </c>
      <c r="B32" s="69" t="s">
        <v>198</v>
      </c>
    </row>
    <row r="33" spans="1:2">
      <c r="A33" s="40" t="s">
        <v>199</v>
      </c>
      <c r="B33" s="69" t="s">
        <v>200</v>
      </c>
    </row>
    <row r="34" spans="1:2">
      <c r="A34" s="40" t="s">
        <v>201</v>
      </c>
      <c r="B34" s="69" t="s">
        <v>202</v>
      </c>
    </row>
    <row r="35" spans="1:2">
      <c r="A35" s="40" t="s">
        <v>203</v>
      </c>
      <c r="B35" s="69" t="s">
        <v>204</v>
      </c>
    </row>
    <row r="36" spans="1:2">
      <c r="A36" s="40" t="s">
        <v>205</v>
      </c>
      <c r="B36" s="69" t="s">
        <v>206</v>
      </c>
    </row>
    <row r="37" spans="1:2">
      <c r="A37" s="40" t="s">
        <v>207</v>
      </c>
      <c r="B37" s="69" t="s">
        <v>208</v>
      </c>
    </row>
    <row r="38" spans="1:2">
      <c r="A38" s="40" t="s">
        <v>209</v>
      </c>
      <c r="B38" s="69" t="s">
        <v>210</v>
      </c>
    </row>
    <row r="39" spans="1:2">
      <c r="A39" s="40" t="s">
        <v>211</v>
      </c>
      <c r="B39" s="69" t="s">
        <v>212</v>
      </c>
    </row>
    <row r="40" spans="1:2">
      <c r="A40" s="40" t="s">
        <v>213</v>
      </c>
      <c r="B40" s="69" t="s">
        <v>214</v>
      </c>
    </row>
    <row r="41" spans="1:2">
      <c r="A41" s="40" t="s">
        <v>215</v>
      </c>
      <c r="B41" s="69" t="s">
        <v>216</v>
      </c>
    </row>
    <row r="42" spans="1:2">
      <c r="A42" s="40" t="s">
        <v>217</v>
      </c>
      <c r="B42" s="69" t="s">
        <v>218</v>
      </c>
    </row>
    <row r="43" spans="1:2">
      <c r="A43" s="40" t="s">
        <v>219</v>
      </c>
      <c r="B43" s="69" t="s">
        <v>220</v>
      </c>
    </row>
    <row r="44" spans="1:2">
      <c r="A44" s="40" t="s">
        <v>221</v>
      </c>
      <c r="B44" s="69" t="s">
        <v>222</v>
      </c>
    </row>
    <row r="45" spans="1:2">
      <c r="A45" s="40" t="s">
        <v>223</v>
      </c>
      <c r="B45" s="69" t="s">
        <v>224</v>
      </c>
    </row>
    <row r="46" spans="1:2">
      <c r="A46" s="40" t="s">
        <v>225</v>
      </c>
      <c r="B46" s="69" t="s">
        <v>226</v>
      </c>
    </row>
    <row r="47" spans="1:2">
      <c r="A47" s="40" t="s">
        <v>227</v>
      </c>
      <c r="B47" s="69" t="s">
        <v>228</v>
      </c>
    </row>
    <row r="48" spans="1:2">
      <c r="A48" s="40" t="s">
        <v>229</v>
      </c>
      <c r="B48" s="69" t="s">
        <v>230</v>
      </c>
    </row>
    <row r="49" spans="1:2">
      <c r="A49" s="40" t="s">
        <v>231</v>
      </c>
      <c r="B49" s="69" t="s">
        <v>232</v>
      </c>
    </row>
    <row r="50" spans="1:2">
      <c r="A50" s="40" t="s">
        <v>233</v>
      </c>
      <c r="B50" s="69" t="s">
        <v>234</v>
      </c>
    </row>
    <row r="51" spans="1:2">
      <c r="A51" s="40" t="s">
        <v>235</v>
      </c>
      <c r="B51" s="69" t="s">
        <v>236</v>
      </c>
    </row>
    <row r="52" spans="1:2">
      <c r="A52" s="40" t="s">
        <v>237</v>
      </c>
      <c r="B52" s="69" t="s">
        <v>238</v>
      </c>
    </row>
    <row r="53" spans="1:2">
      <c r="A53" s="40" t="s">
        <v>239</v>
      </c>
      <c r="B53" s="69" t="s">
        <v>240</v>
      </c>
    </row>
    <row r="54" spans="1:2">
      <c r="A54" s="40" t="s">
        <v>241</v>
      </c>
      <c r="B54" s="69" t="s">
        <v>242</v>
      </c>
    </row>
    <row r="55" spans="1:2">
      <c r="A55" s="40" t="s">
        <v>243</v>
      </c>
      <c r="B55" s="69" t="s">
        <v>244</v>
      </c>
    </row>
    <row r="56" spans="1:2">
      <c r="A56" s="40" t="s">
        <v>245</v>
      </c>
      <c r="B56" s="69" t="s">
        <v>246</v>
      </c>
    </row>
    <row r="57" spans="1:2">
      <c r="A57" s="40" t="s">
        <v>247</v>
      </c>
      <c r="B57" s="69" t="s">
        <v>248</v>
      </c>
    </row>
    <row r="58" spans="1:2">
      <c r="A58" s="40" t="s">
        <v>249</v>
      </c>
      <c r="B58" s="69" t="s">
        <v>250</v>
      </c>
    </row>
    <row r="59" spans="1:2">
      <c r="A59" s="40" t="s">
        <v>251</v>
      </c>
      <c r="B59" s="69" t="s">
        <v>252</v>
      </c>
    </row>
    <row r="60" spans="1:2">
      <c r="A60" s="40" t="s">
        <v>253</v>
      </c>
      <c r="B60" s="69" t="s">
        <v>254</v>
      </c>
    </row>
    <row r="61" spans="1:2">
      <c r="A61" s="40" t="s">
        <v>255</v>
      </c>
      <c r="B61" s="69" t="s">
        <v>256</v>
      </c>
    </row>
    <row r="62" spans="1:2">
      <c r="A62" s="40" t="s">
        <v>257</v>
      </c>
      <c r="B62" s="69" t="s">
        <v>258</v>
      </c>
    </row>
    <row r="63" spans="1:2">
      <c r="A63" s="40" t="s">
        <v>259</v>
      </c>
      <c r="B63" s="69" t="s">
        <v>260</v>
      </c>
    </row>
    <row r="64" spans="1:2">
      <c r="A64" s="40" t="s">
        <v>261</v>
      </c>
      <c r="B64" s="69" t="s">
        <v>262</v>
      </c>
    </row>
    <row r="65" spans="1:2">
      <c r="A65" s="40" t="s">
        <v>263</v>
      </c>
      <c r="B65" s="69" t="s">
        <v>264</v>
      </c>
    </row>
    <row r="66" spans="1:2">
      <c r="A66" s="40" t="s">
        <v>265</v>
      </c>
      <c r="B66" s="69" t="s">
        <v>266</v>
      </c>
    </row>
    <row r="67" spans="1:2">
      <c r="A67" s="40" t="s">
        <v>267</v>
      </c>
      <c r="B67" s="69" t="s">
        <v>268</v>
      </c>
    </row>
    <row r="68" spans="1:2">
      <c r="A68" s="40" t="s">
        <v>269</v>
      </c>
      <c r="B68" s="69" t="s">
        <v>270</v>
      </c>
    </row>
    <row r="69" spans="1:2">
      <c r="A69" s="40" t="s">
        <v>271</v>
      </c>
      <c r="B69" s="69" t="s">
        <v>272</v>
      </c>
    </row>
    <row r="70" spans="1:2">
      <c r="A70" s="40" t="s">
        <v>273</v>
      </c>
      <c r="B70" s="69" t="s">
        <v>274</v>
      </c>
    </row>
    <row r="71" spans="1:2">
      <c r="A71" s="40" t="s">
        <v>275</v>
      </c>
      <c r="B71" s="69" t="s">
        <v>276</v>
      </c>
    </row>
    <row r="72" spans="1:2">
      <c r="A72" s="40" t="s">
        <v>277</v>
      </c>
      <c r="B72" s="69" t="s">
        <v>278</v>
      </c>
    </row>
    <row r="73" spans="1:2">
      <c r="A73" s="40" t="s">
        <v>279</v>
      </c>
      <c r="B73" s="69" t="s">
        <v>280</v>
      </c>
    </row>
    <row r="74" spans="1:2">
      <c r="A74" s="40" t="s">
        <v>281</v>
      </c>
      <c r="B74" s="69" t="s">
        <v>282</v>
      </c>
    </row>
    <row r="75" spans="1:2">
      <c r="A75" s="40" t="s">
        <v>283</v>
      </c>
      <c r="B75" s="69" t="s">
        <v>284</v>
      </c>
    </row>
    <row r="76" spans="1:2">
      <c r="A76" s="40" t="s">
        <v>285</v>
      </c>
      <c r="B76" s="69" t="s">
        <v>286</v>
      </c>
    </row>
    <row r="77" spans="1:2">
      <c r="A77" s="40" t="s">
        <v>287</v>
      </c>
      <c r="B77" s="69" t="s">
        <v>288</v>
      </c>
    </row>
    <row r="78" spans="1:2">
      <c r="A78" s="40" t="s">
        <v>289</v>
      </c>
      <c r="B78" s="69" t="s">
        <v>290</v>
      </c>
    </row>
    <row r="79" spans="1:2">
      <c r="A79" s="40" t="s">
        <v>291</v>
      </c>
      <c r="B79" s="69" t="s">
        <v>292</v>
      </c>
    </row>
    <row r="80" spans="1:2">
      <c r="A80" s="40" t="s">
        <v>293</v>
      </c>
      <c r="B80" s="69" t="s">
        <v>294</v>
      </c>
    </row>
    <row r="81" spans="1:2">
      <c r="A81" s="40" t="s">
        <v>295</v>
      </c>
      <c r="B81" s="69" t="s">
        <v>296</v>
      </c>
    </row>
    <row r="82" spans="1:2">
      <c r="A82" s="40" t="s">
        <v>297</v>
      </c>
      <c r="B82" s="69" t="s">
        <v>298</v>
      </c>
    </row>
    <row r="83" spans="1:2">
      <c r="A83" s="40" t="s">
        <v>299</v>
      </c>
      <c r="B83" s="69" t="s">
        <v>300</v>
      </c>
    </row>
    <row r="84" spans="1:2">
      <c r="A84" s="40" t="s">
        <v>301</v>
      </c>
      <c r="B84" s="69" t="s">
        <v>302</v>
      </c>
    </row>
    <row r="85" spans="1:2">
      <c r="A85" s="40" t="s">
        <v>303</v>
      </c>
      <c r="B85" s="69" t="s">
        <v>304</v>
      </c>
    </row>
    <row r="86" spans="1:2">
      <c r="A86" s="40" t="s">
        <v>305</v>
      </c>
      <c r="B86" s="69" t="s">
        <v>306</v>
      </c>
    </row>
    <row r="87" spans="1:2">
      <c r="A87" s="40" t="s">
        <v>307</v>
      </c>
      <c r="B87" s="69" t="s">
        <v>308</v>
      </c>
    </row>
    <row r="88" spans="1:2">
      <c r="A88" s="40" t="s">
        <v>309</v>
      </c>
      <c r="B88" s="69" t="s">
        <v>310</v>
      </c>
    </row>
    <row r="89" spans="1:2">
      <c r="A89" s="40" t="s">
        <v>311</v>
      </c>
      <c r="B89" s="69" t="s">
        <v>312</v>
      </c>
    </row>
    <row r="90" spans="1:2">
      <c r="A90" s="40" t="s">
        <v>313</v>
      </c>
      <c r="B90" s="69" t="s">
        <v>314</v>
      </c>
    </row>
    <row r="91" spans="1:2">
      <c r="A91" s="40" t="s">
        <v>315</v>
      </c>
      <c r="B91" s="69" t="s">
        <v>316</v>
      </c>
    </row>
    <row r="92" spans="1:2">
      <c r="A92" s="40" t="s">
        <v>317</v>
      </c>
      <c r="B92" s="69" t="s">
        <v>318</v>
      </c>
    </row>
    <row r="93" spans="1:2">
      <c r="A93" s="40" t="s">
        <v>319</v>
      </c>
      <c r="B93" s="69" t="s">
        <v>320</v>
      </c>
    </row>
    <row r="94" spans="1:2">
      <c r="A94" s="40" t="s">
        <v>321</v>
      </c>
      <c r="B94" s="69" t="s">
        <v>322</v>
      </c>
    </row>
    <row r="95" spans="1:2">
      <c r="A95" s="40" t="s">
        <v>323</v>
      </c>
      <c r="B95" s="69" t="s">
        <v>324</v>
      </c>
    </row>
    <row r="96" spans="1:2">
      <c r="A96" s="40" t="s">
        <v>325</v>
      </c>
      <c r="B96" s="69" t="s">
        <v>326</v>
      </c>
    </row>
    <row r="97" spans="1:2">
      <c r="A97" s="40" t="s">
        <v>327</v>
      </c>
      <c r="B97" s="69" t="s">
        <v>328</v>
      </c>
    </row>
    <row r="98" spans="1:2">
      <c r="A98" s="40" t="s">
        <v>329</v>
      </c>
      <c r="B98" s="69" t="s">
        <v>330</v>
      </c>
    </row>
    <row r="99" spans="1:2">
      <c r="A99" s="40" t="s">
        <v>331</v>
      </c>
      <c r="B99" s="69" t="s">
        <v>332</v>
      </c>
    </row>
    <row r="100" spans="1:2">
      <c r="A100" s="40" t="s">
        <v>333</v>
      </c>
      <c r="B100" s="69" t="s">
        <v>334</v>
      </c>
    </row>
    <row r="101" spans="1:2">
      <c r="A101" s="40" t="s">
        <v>335</v>
      </c>
      <c r="B101" s="69" t="s">
        <v>336</v>
      </c>
    </row>
    <row r="102" spans="1:2">
      <c r="A102" s="40" t="s">
        <v>337</v>
      </c>
      <c r="B102" s="69" t="s">
        <v>338</v>
      </c>
    </row>
    <row r="103" spans="1:2">
      <c r="A103" s="40" t="s">
        <v>339</v>
      </c>
      <c r="B103" s="69" t="s">
        <v>340</v>
      </c>
    </row>
    <row r="104" spans="1:2">
      <c r="A104" s="40" t="s">
        <v>341</v>
      </c>
      <c r="B104" s="69" t="s">
        <v>342</v>
      </c>
    </row>
    <row r="105" spans="1:2">
      <c r="A105" s="40" t="s">
        <v>343</v>
      </c>
      <c r="B105" s="69" t="s">
        <v>344</v>
      </c>
    </row>
    <row r="106" spans="1:2">
      <c r="A106" s="40" t="s">
        <v>345</v>
      </c>
      <c r="B106" s="69" t="s">
        <v>346</v>
      </c>
    </row>
    <row r="107" spans="1:2">
      <c r="A107" s="40" t="s">
        <v>347</v>
      </c>
      <c r="B107" s="69" t="s">
        <v>348</v>
      </c>
    </row>
    <row r="108" spans="1:2">
      <c r="A108" s="40" t="s">
        <v>349</v>
      </c>
      <c r="B108" s="69" t="s">
        <v>350</v>
      </c>
    </row>
    <row r="109" spans="1:2">
      <c r="A109" s="40" t="s">
        <v>351</v>
      </c>
      <c r="B109" s="69" t="s">
        <v>352</v>
      </c>
    </row>
    <row r="110" spans="1:2">
      <c r="A110" s="40" t="s">
        <v>353</v>
      </c>
      <c r="B110" s="69" t="s">
        <v>354</v>
      </c>
    </row>
    <row r="111" spans="1:2">
      <c r="A111" s="40" t="s">
        <v>355</v>
      </c>
      <c r="B111" s="69" t="s">
        <v>356</v>
      </c>
    </row>
    <row r="112" spans="1:2">
      <c r="A112" s="40" t="s">
        <v>357</v>
      </c>
      <c r="B112" s="69" t="s">
        <v>358</v>
      </c>
    </row>
    <row r="113" spans="1:2">
      <c r="A113" s="40" t="s">
        <v>359</v>
      </c>
      <c r="B113" s="69" t="s">
        <v>360</v>
      </c>
    </row>
    <row r="114" spans="1:2">
      <c r="A114" s="40" t="s">
        <v>361</v>
      </c>
      <c r="B114" s="69" t="s">
        <v>362</v>
      </c>
    </row>
    <row r="115" spans="1:2">
      <c r="A115" s="40" t="s">
        <v>363</v>
      </c>
      <c r="B115" s="69" t="s">
        <v>364</v>
      </c>
    </row>
    <row r="116" spans="1:2">
      <c r="A116" s="40" t="s">
        <v>365</v>
      </c>
      <c r="B116" s="69" t="s">
        <v>366</v>
      </c>
    </row>
    <row r="117" spans="1:2">
      <c r="A117" s="40" t="s">
        <v>367</v>
      </c>
      <c r="B117" s="69" t="s">
        <v>368</v>
      </c>
    </row>
    <row r="118" spans="1:2">
      <c r="A118" s="40" t="s">
        <v>369</v>
      </c>
      <c r="B118" s="69" t="s">
        <v>370</v>
      </c>
    </row>
    <row r="119" spans="1:2">
      <c r="A119" s="40" t="s">
        <v>371</v>
      </c>
      <c r="B119" s="69" t="s">
        <v>372</v>
      </c>
    </row>
    <row r="120" spans="1:2">
      <c r="A120" s="40" t="s">
        <v>373</v>
      </c>
      <c r="B120" s="69" t="s">
        <v>374</v>
      </c>
    </row>
    <row r="121" spans="1:2">
      <c r="A121" s="40" t="s">
        <v>375</v>
      </c>
      <c r="B121" s="69" t="s">
        <v>376</v>
      </c>
    </row>
    <row r="122" spans="1:2">
      <c r="A122" s="40" t="s">
        <v>377</v>
      </c>
      <c r="B122" s="69" t="s">
        <v>378</v>
      </c>
    </row>
    <row r="123" spans="1:2">
      <c r="A123" s="40" t="s">
        <v>379</v>
      </c>
      <c r="B123" s="69" t="s">
        <v>380</v>
      </c>
    </row>
    <row r="124" spans="1:2">
      <c r="A124" s="40" t="s">
        <v>381</v>
      </c>
      <c r="B124" s="69" t="s">
        <v>382</v>
      </c>
    </row>
    <row r="125" spans="1:2">
      <c r="A125" s="40" t="s">
        <v>383</v>
      </c>
      <c r="B125" s="69" t="s">
        <v>384</v>
      </c>
    </row>
    <row r="126" spans="1:2">
      <c r="A126" s="40" t="s">
        <v>385</v>
      </c>
      <c r="B126" s="69" t="s">
        <v>386</v>
      </c>
    </row>
    <row r="127" spans="1:2">
      <c r="A127" s="40" t="s">
        <v>387</v>
      </c>
      <c r="B127" s="69" t="s">
        <v>388</v>
      </c>
    </row>
    <row r="128" spans="1:2">
      <c r="A128" s="40" t="s">
        <v>389</v>
      </c>
      <c r="B128" s="69" t="s">
        <v>390</v>
      </c>
    </row>
    <row r="129" spans="1:2">
      <c r="A129" s="40" t="s">
        <v>391</v>
      </c>
      <c r="B129" s="69" t="s">
        <v>392</v>
      </c>
    </row>
    <row r="130" spans="1:2">
      <c r="A130" s="40" t="s">
        <v>393</v>
      </c>
      <c r="B130" s="69" t="s">
        <v>394</v>
      </c>
    </row>
    <row r="131" spans="1:2">
      <c r="A131" s="40" t="s">
        <v>395</v>
      </c>
      <c r="B131" s="69" t="s">
        <v>396</v>
      </c>
    </row>
    <row r="132" spans="1:2">
      <c r="A132" s="40" t="s">
        <v>397</v>
      </c>
      <c r="B132" s="69" t="s">
        <v>398</v>
      </c>
    </row>
    <row r="133" spans="1:2">
      <c r="A133" s="40" t="s">
        <v>399</v>
      </c>
      <c r="B133" s="69" t="s">
        <v>400</v>
      </c>
    </row>
    <row r="134" spans="1:2">
      <c r="A134" s="40" t="s">
        <v>401</v>
      </c>
      <c r="B134" s="69" t="s">
        <v>402</v>
      </c>
    </row>
    <row r="135" spans="1:2">
      <c r="A135" s="40" t="s">
        <v>403</v>
      </c>
      <c r="B135" s="69" t="s">
        <v>404</v>
      </c>
    </row>
    <row r="136" spans="1:2">
      <c r="A136" s="40" t="s">
        <v>405</v>
      </c>
      <c r="B136" s="69" t="s">
        <v>406</v>
      </c>
    </row>
    <row r="137" spans="1:2">
      <c r="A137" s="40" t="s">
        <v>407</v>
      </c>
      <c r="B137" s="69" t="s">
        <v>408</v>
      </c>
    </row>
    <row r="138" spans="1:2">
      <c r="A138" s="40" t="s">
        <v>409</v>
      </c>
      <c r="B138" s="69" t="s">
        <v>410</v>
      </c>
    </row>
    <row r="139" spans="1:2">
      <c r="A139" s="40" t="s">
        <v>411</v>
      </c>
      <c r="B139" s="69" t="s">
        <v>412</v>
      </c>
    </row>
    <row r="140" spans="1:2">
      <c r="A140" s="40" t="s">
        <v>413</v>
      </c>
      <c r="B140" s="69" t="s">
        <v>414</v>
      </c>
    </row>
    <row r="141" spans="1:2">
      <c r="A141" s="40" t="s">
        <v>415</v>
      </c>
      <c r="B141" s="69" t="s">
        <v>416</v>
      </c>
    </row>
    <row r="142" spans="1:2">
      <c r="A142" s="40" t="s">
        <v>417</v>
      </c>
      <c r="B142" s="69" t="s">
        <v>418</v>
      </c>
    </row>
    <row r="143" spans="1:2">
      <c r="A143" s="40" t="s">
        <v>419</v>
      </c>
      <c r="B143" s="69" t="s">
        <v>420</v>
      </c>
    </row>
    <row r="144" spans="1:2">
      <c r="A144" s="40" t="s">
        <v>421</v>
      </c>
      <c r="B144" s="69" t="s">
        <v>422</v>
      </c>
    </row>
    <row r="145" spans="1:2">
      <c r="A145" s="40" t="s">
        <v>423</v>
      </c>
      <c r="B145" s="69" t="s">
        <v>424</v>
      </c>
    </row>
    <row r="146" spans="1:2">
      <c r="A146" s="40" t="s">
        <v>425</v>
      </c>
      <c r="B146" s="69" t="s">
        <v>426</v>
      </c>
    </row>
    <row r="147" spans="1:2">
      <c r="A147" s="40" t="s">
        <v>427</v>
      </c>
      <c r="B147" s="69" t="s">
        <v>428</v>
      </c>
    </row>
    <row r="148" spans="1:2">
      <c r="A148" s="40" t="s">
        <v>429</v>
      </c>
      <c r="B148" s="69" t="s">
        <v>430</v>
      </c>
    </row>
    <row r="149" spans="1:2">
      <c r="A149" s="40" t="s">
        <v>431</v>
      </c>
      <c r="B149" s="69" t="s">
        <v>432</v>
      </c>
    </row>
    <row r="150" spans="1:2">
      <c r="A150" s="40" t="s">
        <v>433</v>
      </c>
      <c r="B150" s="69" t="s">
        <v>434</v>
      </c>
    </row>
    <row r="151" spans="1:2">
      <c r="A151" s="40" t="s">
        <v>435</v>
      </c>
      <c r="B151" s="69" t="s">
        <v>436</v>
      </c>
    </row>
    <row r="152" spans="1:2">
      <c r="A152" s="40" t="s">
        <v>437</v>
      </c>
      <c r="B152" s="69" t="s">
        <v>438</v>
      </c>
    </row>
    <row r="153" spans="1:2">
      <c r="A153" s="40" t="s">
        <v>439</v>
      </c>
      <c r="B153" s="69" t="s">
        <v>440</v>
      </c>
    </row>
    <row r="154" spans="1:2">
      <c r="A154" s="40" t="s">
        <v>441</v>
      </c>
      <c r="B154" s="69" t="s">
        <v>442</v>
      </c>
    </row>
    <row r="155" spans="1:2">
      <c r="A155" s="40" t="s">
        <v>443</v>
      </c>
      <c r="B155" s="69" t="s">
        <v>444</v>
      </c>
    </row>
    <row r="156" spans="1:2">
      <c r="A156" s="40" t="s">
        <v>445</v>
      </c>
      <c r="B156" s="69" t="s">
        <v>446</v>
      </c>
    </row>
    <row r="157" spans="1:2">
      <c r="A157" s="40" t="s">
        <v>447</v>
      </c>
      <c r="B157" s="69" t="s">
        <v>448</v>
      </c>
    </row>
    <row r="158" spans="1:2">
      <c r="A158" s="40" t="s">
        <v>449</v>
      </c>
      <c r="B158" s="69" t="s">
        <v>450</v>
      </c>
    </row>
    <row r="159" spans="1:2">
      <c r="A159" s="40" t="s">
        <v>451</v>
      </c>
      <c r="B159" s="69" t="s">
        <v>452</v>
      </c>
    </row>
    <row r="160" spans="1:2">
      <c r="A160" s="40" t="s">
        <v>453</v>
      </c>
      <c r="B160" s="69" t="s">
        <v>170</v>
      </c>
    </row>
    <row r="161" spans="1:2">
      <c r="A161" s="40" t="s">
        <v>454</v>
      </c>
      <c r="B161" s="69" t="s">
        <v>455</v>
      </c>
    </row>
    <row r="162" spans="1:2">
      <c r="A162" s="40" t="s">
        <v>456</v>
      </c>
      <c r="B162" s="69" t="s">
        <v>457</v>
      </c>
    </row>
    <row r="163" spans="1:2">
      <c r="A163" s="40" t="s">
        <v>458</v>
      </c>
      <c r="B163" s="69" t="s">
        <v>459</v>
      </c>
    </row>
    <row r="164" spans="1:2">
      <c r="A164" s="40" t="s">
        <v>460</v>
      </c>
      <c r="B164" s="69" t="s">
        <v>461</v>
      </c>
    </row>
    <row r="165" spans="1:2">
      <c r="A165" s="40" t="s">
        <v>462</v>
      </c>
      <c r="B165" s="69" t="s">
        <v>463</v>
      </c>
    </row>
    <row r="166" spans="1:2">
      <c r="A166" s="40" t="s">
        <v>464</v>
      </c>
      <c r="B166" s="69" t="s">
        <v>465</v>
      </c>
    </row>
    <row r="167" spans="1:2">
      <c r="A167" s="40" t="s">
        <v>466</v>
      </c>
      <c r="B167" s="69" t="s">
        <v>467</v>
      </c>
    </row>
    <row r="168" spans="1:2">
      <c r="A168" s="40" t="s">
        <v>468</v>
      </c>
      <c r="B168" s="69" t="s">
        <v>469</v>
      </c>
    </row>
    <row r="169" spans="1:2">
      <c r="A169" s="40" t="s">
        <v>470</v>
      </c>
      <c r="B169" s="69" t="s">
        <v>471</v>
      </c>
    </row>
    <row r="170" spans="1:2">
      <c r="A170" s="40" t="s">
        <v>472</v>
      </c>
      <c r="B170" s="69" t="s">
        <v>473</v>
      </c>
    </row>
    <row r="171" spans="1:2">
      <c r="A171" s="40" t="s">
        <v>474</v>
      </c>
      <c r="B171" s="69" t="s">
        <v>475</v>
      </c>
    </row>
    <row r="172" spans="1:2">
      <c r="A172" s="40" t="s">
        <v>476</v>
      </c>
      <c r="B172" s="69" t="s">
        <v>477</v>
      </c>
    </row>
    <row r="173" spans="1:2">
      <c r="A173" s="40" t="s">
        <v>478</v>
      </c>
      <c r="B173" s="69" t="s">
        <v>479</v>
      </c>
    </row>
    <row r="174" spans="1:2">
      <c r="A174" s="40" t="s">
        <v>480</v>
      </c>
      <c r="B174" s="69" t="s">
        <v>481</v>
      </c>
    </row>
    <row r="175" spans="1:2">
      <c r="A175" s="40" t="s">
        <v>482</v>
      </c>
      <c r="B175" s="69" t="s">
        <v>483</v>
      </c>
    </row>
    <row r="176" spans="1:2">
      <c r="A176" s="40" t="s">
        <v>484</v>
      </c>
      <c r="B176" s="69" t="s">
        <v>485</v>
      </c>
    </row>
    <row r="177" spans="1:2">
      <c r="A177" s="40" t="s">
        <v>486</v>
      </c>
      <c r="B177" s="69" t="s">
        <v>487</v>
      </c>
    </row>
    <row r="178" spans="1:2">
      <c r="A178" s="40" t="s">
        <v>488</v>
      </c>
      <c r="B178" s="69" t="s">
        <v>489</v>
      </c>
    </row>
    <row r="179" spans="1:2">
      <c r="A179" s="40" t="s">
        <v>490</v>
      </c>
      <c r="B179" s="69" t="s">
        <v>491</v>
      </c>
    </row>
    <row r="180" spans="1:2">
      <c r="A180" s="40" t="s">
        <v>492</v>
      </c>
      <c r="B180" s="69" t="s">
        <v>493</v>
      </c>
    </row>
    <row r="181" spans="1:2">
      <c r="A181" s="40" t="s">
        <v>494</v>
      </c>
      <c r="B181" s="69" t="s">
        <v>495</v>
      </c>
    </row>
    <row r="182" spans="1:2">
      <c r="A182" s="40" t="s">
        <v>496</v>
      </c>
      <c r="B182" s="69" t="s">
        <v>497</v>
      </c>
    </row>
    <row r="183" spans="1:2">
      <c r="A183" s="40" t="s">
        <v>498</v>
      </c>
      <c r="B183" s="69" t="s">
        <v>499</v>
      </c>
    </row>
    <row r="184" spans="1:2">
      <c r="A184" s="40" t="s">
        <v>500</v>
      </c>
      <c r="B184" s="69" t="s">
        <v>501</v>
      </c>
    </row>
    <row r="185" spans="1:2">
      <c r="A185" s="40" t="s">
        <v>502</v>
      </c>
      <c r="B185" s="69" t="s">
        <v>503</v>
      </c>
    </row>
    <row r="186" spans="1:2">
      <c r="A186" s="40" t="s">
        <v>504</v>
      </c>
      <c r="B186" s="69" t="s">
        <v>505</v>
      </c>
    </row>
    <row r="187" spans="1:2">
      <c r="A187" s="40" t="s">
        <v>506</v>
      </c>
      <c r="B187" s="69" t="s">
        <v>507</v>
      </c>
    </row>
    <row r="188" spans="1:2">
      <c r="A188" s="40" t="s">
        <v>508</v>
      </c>
      <c r="B188" s="69" t="s">
        <v>509</v>
      </c>
    </row>
    <row r="189" spans="1:2">
      <c r="A189" s="40" t="s">
        <v>510</v>
      </c>
      <c r="B189" s="69" t="s">
        <v>511</v>
      </c>
    </row>
    <row r="190" spans="1:2">
      <c r="A190" s="40" t="s">
        <v>512</v>
      </c>
      <c r="B190" s="69" t="s">
        <v>513</v>
      </c>
    </row>
    <row r="191" spans="1:2">
      <c r="A191" s="40" t="s">
        <v>514</v>
      </c>
      <c r="B191" s="69" t="s">
        <v>515</v>
      </c>
    </row>
    <row r="192" spans="1:2">
      <c r="A192" s="40" t="s">
        <v>516</v>
      </c>
      <c r="B192" s="69" t="s">
        <v>517</v>
      </c>
    </row>
    <row r="193" spans="1:2">
      <c r="A193" s="40" t="s">
        <v>518</v>
      </c>
      <c r="B193" s="69" t="s">
        <v>519</v>
      </c>
    </row>
    <row r="194" spans="1:2">
      <c r="A194" s="40" t="s">
        <v>520</v>
      </c>
      <c r="B194" s="69" t="s">
        <v>521</v>
      </c>
    </row>
    <row r="195" spans="1:2">
      <c r="A195" s="40" t="s">
        <v>522</v>
      </c>
      <c r="B195" s="69" t="s">
        <v>523</v>
      </c>
    </row>
    <row r="196" spans="1:2">
      <c r="A196" s="40" t="s">
        <v>524</v>
      </c>
      <c r="B196" s="69" t="s">
        <v>525</v>
      </c>
    </row>
    <row r="197" spans="1:2">
      <c r="A197" s="40" t="s">
        <v>526</v>
      </c>
      <c r="B197" s="69" t="s">
        <v>527</v>
      </c>
    </row>
    <row r="198" spans="1:2">
      <c r="A198" s="40" t="s">
        <v>528</v>
      </c>
      <c r="B198" s="69" t="s">
        <v>529</v>
      </c>
    </row>
    <row r="199" spans="1:2">
      <c r="A199" s="40" t="s">
        <v>530</v>
      </c>
      <c r="B199" s="69" t="s">
        <v>531</v>
      </c>
    </row>
    <row r="200" spans="1:2">
      <c r="A200" s="40" t="s">
        <v>532</v>
      </c>
      <c r="B200" s="69" t="s">
        <v>533</v>
      </c>
    </row>
    <row r="201" spans="1:2">
      <c r="A201" s="40" t="s">
        <v>534</v>
      </c>
      <c r="B201" s="69" t="s">
        <v>535</v>
      </c>
    </row>
    <row r="202" spans="1:2">
      <c r="A202" s="40" t="s">
        <v>536</v>
      </c>
      <c r="B202" s="69" t="s">
        <v>537</v>
      </c>
    </row>
    <row r="203" spans="1:2">
      <c r="A203" s="40" t="s">
        <v>538</v>
      </c>
      <c r="B203" s="69" t="s">
        <v>539</v>
      </c>
    </row>
    <row r="204" spans="1:2">
      <c r="A204" s="40" t="s">
        <v>540</v>
      </c>
      <c r="B204" s="69" t="s">
        <v>541</v>
      </c>
    </row>
    <row r="205" spans="1:2">
      <c r="A205" s="40" t="s">
        <v>542</v>
      </c>
      <c r="B205" s="69" t="s">
        <v>543</v>
      </c>
    </row>
    <row r="206" spans="1:2">
      <c r="A206" s="40" t="s">
        <v>544</v>
      </c>
      <c r="B206" s="69" t="s">
        <v>545</v>
      </c>
    </row>
    <row r="207" spans="1:2">
      <c r="A207" s="40" t="s">
        <v>546</v>
      </c>
      <c r="B207" s="69" t="s">
        <v>547</v>
      </c>
    </row>
    <row r="208" spans="1:2">
      <c r="A208" s="40" t="s">
        <v>548</v>
      </c>
      <c r="B208" s="69" t="s">
        <v>549</v>
      </c>
    </row>
    <row r="209" spans="1:2">
      <c r="A209" s="40" t="s">
        <v>550</v>
      </c>
      <c r="B209" s="69" t="s">
        <v>551</v>
      </c>
    </row>
    <row r="210" spans="1:2">
      <c r="A210" s="40" t="s">
        <v>552</v>
      </c>
      <c r="B210" s="69" t="s">
        <v>553</v>
      </c>
    </row>
    <row r="211" spans="1:2">
      <c r="A211" s="40" t="s">
        <v>554</v>
      </c>
      <c r="B211" s="69" t="s">
        <v>555</v>
      </c>
    </row>
    <row r="212" spans="1:2">
      <c r="A212" s="40" t="s">
        <v>556</v>
      </c>
      <c r="B212" s="69" t="s">
        <v>557</v>
      </c>
    </row>
    <row r="213" spans="1:2">
      <c r="A213" s="40" t="s">
        <v>558</v>
      </c>
      <c r="B213" s="69" t="s">
        <v>559</v>
      </c>
    </row>
    <row r="214" spans="1:2">
      <c r="A214" s="40" t="s">
        <v>560</v>
      </c>
      <c r="B214" s="69" t="s">
        <v>561</v>
      </c>
    </row>
    <row r="215" spans="1:2">
      <c r="A215" s="40" t="s">
        <v>562</v>
      </c>
      <c r="B215" s="69" t="s">
        <v>563</v>
      </c>
    </row>
    <row r="216" spans="1:2">
      <c r="A216" s="40" t="s">
        <v>564</v>
      </c>
      <c r="B216" s="69" t="s">
        <v>565</v>
      </c>
    </row>
    <row r="217" spans="1:2">
      <c r="A217" s="40" t="s">
        <v>566</v>
      </c>
      <c r="B217" s="69" t="s">
        <v>567</v>
      </c>
    </row>
    <row r="218" spans="1:2">
      <c r="A218" s="40" t="s">
        <v>568</v>
      </c>
      <c r="B218" s="69" t="s">
        <v>569</v>
      </c>
    </row>
    <row r="219" spans="1:2">
      <c r="A219" s="40" t="s">
        <v>570</v>
      </c>
      <c r="B219" s="69" t="s">
        <v>571</v>
      </c>
    </row>
    <row r="220" spans="1:2">
      <c r="A220" s="40" t="s">
        <v>572</v>
      </c>
      <c r="B220" s="69" t="s">
        <v>573</v>
      </c>
    </row>
    <row r="221" spans="1:2">
      <c r="A221" s="40" t="s">
        <v>574</v>
      </c>
      <c r="B221" s="69" t="s">
        <v>575</v>
      </c>
    </row>
    <row r="222" spans="1:2">
      <c r="A222" s="40" t="s">
        <v>576</v>
      </c>
      <c r="B222" s="69" t="s">
        <v>577</v>
      </c>
    </row>
    <row r="223" spans="1:2">
      <c r="A223" s="40" t="s">
        <v>578</v>
      </c>
      <c r="B223" s="69" t="s">
        <v>579</v>
      </c>
    </row>
    <row r="224" spans="1:2">
      <c r="A224" s="40" t="s">
        <v>580</v>
      </c>
      <c r="B224" s="69" t="s">
        <v>581</v>
      </c>
    </row>
    <row r="225" spans="1:2">
      <c r="A225" s="40" t="s">
        <v>582</v>
      </c>
      <c r="B225" s="69" t="s">
        <v>583</v>
      </c>
    </row>
    <row r="226" spans="1:2">
      <c r="A226" s="40" t="s">
        <v>584</v>
      </c>
      <c r="B226" s="69" t="s">
        <v>585</v>
      </c>
    </row>
    <row r="227" spans="1:2">
      <c r="A227" s="40" t="s">
        <v>586</v>
      </c>
      <c r="B227" s="69" t="s">
        <v>587</v>
      </c>
    </row>
    <row r="228" spans="1:2">
      <c r="A228" s="40" t="s">
        <v>588</v>
      </c>
      <c r="B228" s="69" t="s">
        <v>589</v>
      </c>
    </row>
    <row r="229" spans="1:2">
      <c r="A229" s="40" t="s">
        <v>590</v>
      </c>
      <c r="B229" s="69" t="s">
        <v>591</v>
      </c>
    </row>
    <row r="230" spans="1:2">
      <c r="A230" s="40" t="s">
        <v>592</v>
      </c>
      <c r="B230" s="69" t="s">
        <v>593</v>
      </c>
    </row>
    <row r="231" spans="1:2">
      <c r="A231" s="40" t="s">
        <v>594</v>
      </c>
      <c r="B231" s="69" t="s">
        <v>595</v>
      </c>
    </row>
    <row r="232" spans="1:2">
      <c r="A232" s="40" t="s">
        <v>596</v>
      </c>
      <c r="B232" s="69" t="s">
        <v>597</v>
      </c>
    </row>
    <row r="233" spans="1:2">
      <c r="A233" s="40" t="s">
        <v>598</v>
      </c>
      <c r="B233" s="69" t="s">
        <v>599</v>
      </c>
    </row>
    <row r="234" spans="1:2">
      <c r="A234" s="40" t="s">
        <v>600</v>
      </c>
      <c r="B234" s="69" t="s">
        <v>601</v>
      </c>
    </row>
    <row r="235" spans="1:2">
      <c r="A235" s="40" t="s">
        <v>602</v>
      </c>
      <c r="B235" s="69" t="s">
        <v>603</v>
      </c>
    </row>
    <row r="236" spans="1:2">
      <c r="A236" s="40" t="s">
        <v>604</v>
      </c>
      <c r="B236" s="69" t="s">
        <v>605</v>
      </c>
    </row>
    <row r="237" spans="1:2">
      <c r="A237" s="40" t="s">
        <v>606</v>
      </c>
      <c r="B237" s="69" t="s">
        <v>607</v>
      </c>
    </row>
    <row r="238" spans="1:2">
      <c r="A238" s="40" t="s">
        <v>608</v>
      </c>
      <c r="B238" s="69" t="s">
        <v>609</v>
      </c>
    </row>
    <row r="239" spans="1:2">
      <c r="A239" s="40" t="s">
        <v>610</v>
      </c>
      <c r="B239" s="69" t="s">
        <v>611</v>
      </c>
    </row>
    <row r="240" spans="1:2">
      <c r="A240" s="40" t="s">
        <v>612</v>
      </c>
      <c r="B240" s="69" t="s">
        <v>613</v>
      </c>
    </row>
    <row r="241" spans="1:2">
      <c r="A241" s="40" t="s">
        <v>614</v>
      </c>
      <c r="B241" s="69" t="s">
        <v>615</v>
      </c>
    </row>
    <row r="242" spans="1:2">
      <c r="A242" s="40" t="s">
        <v>616</v>
      </c>
      <c r="B242" s="69" t="s">
        <v>617</v>
      </c>
    </row>
    <row r="243" spans="1:2">
      <c r="A243" s="40" t="s">
        <v>618</v>
      </c>
      <c r="B243" s="69" t="s">
        <v>619</v>
      </c>
    </row>
    <row r="244" spans="1:2">
      <c r="A244" s="40" t="s">
        <v>620</v>
      </c>
      <c r="B244" s="69" t="s">
        <v>621</v>
      </c>
    </row>
    <row r="245" spans="1:2">
      <c r="A245" s="40" t="s">
        <v>622</v>
      </c>
      <c r="B245" s="69" t="s">
        <v>623</v>
      </c>
    </row>
    <row r="246" spans="1:2">
      <c r="A246" s="40" t="s">
        <v>624</v>
      </c>
      <c r="B246" s="69" t="s">
        <v>625</v>
      </c>
    </row>
    <row r="247" spans="1:2">
      <c r="A247" s="40" t="s">
        <v>626</v>
      </c>
      <c r="B247" s="69" t="s">
        <v>627</v>
      </c>
    </row>
    <row r="248" spans="1:2">
      <c r="A248" s="40" t="s">
        <v>628</v>
      </c>
      <c r="B248" s="69" t="s">
        <v>629</v>
      </c>
    </row>
    <row r="249" spans="1:2">
      <c r="A249" s="40" t="s">
        <v>630</v>
      </c>
      <c r="B249" s="69" t="s">
        <v>631</v>
      </c>
    </row>
    <row r="250" spans="1:2">
      <c r="A250" s="40" t="s">
        <v>632</v>
      </c>
      <c r="B250" s="69" t="s">
        <v>633</v>
      </c>
    </row>
    <row r="251" spans="1:2">
      <c r="A251" s="40" t="s">
        <v>634</v>
      </c>
      <c r="B251" s="69" t="s">
        <v>635</v>
      </c>
    </row>
    <row r="252" spans="1:2">
      <c r="A252" s="40" t="s">
        <v>636</v>
      </c>
      <c r="B252" s="69" t="s">
        <v>637</v>
      </c>
    </row>
    <row r="253" spans="1:2">
      <c r="A253" s="40" t="s">
        <v>638</v>
      </c>
      <c r="B253" s="69" t="s">
        <v>639</v>
      </c>
    </row>
    <row r="254" spans="1:2">
      <c r="A254" s="40" t="s">
        <v>640</v>
      </c>
      <c r="B254" s="69" t="s">
        <v>641</v>
      </c>
    </row>
    <row r="255" spans="1:2">
      <c r="A255" s="40" t="s">
        <v>642</v>
      </c>
      <c r="B255" s="69" t="s">
        <v>643</v>
      </c>
    </row>
    <row r="256" spans="1:2">
      <c r="A256" s="40" t="s">
        <v>644</v>
      </c>
      <c r="B256" s="69" t="s">
        <v>645</v>
      </c>
    </row>
    <row r="257" spans="1:2">
      <c r="A257" s="40" t="s">
        <v>646</v>
      </c>
      <c r="B257" s="69" t="s">
        <v>647</v>
      </c>
    </row>
    <row r="258" spans="1:2">
      <c r="A258" s="40" t="s">
        <v>648</v>
      </c>
      <c r="B258" s="69" t="s">
        <v>649</v>
      </c>
    </row>
    <row r="259" spans="1:2">
      <c r="A259" s="40" t="s">
        <v>650</v>
      </c>
      <c r="B259" s="69" t="s">
        <v>651</v>
      </c>
    </row>
    <row r="260" spans="1:2">
      <c r="A260" s="40" t="s">
        <v>652</v>
      </c>
      <c r="B260" s="69" t="s">
        <v>653</v>
      </c>
    </row>
    <row r="261" spans="1:2">
      <c r="A261" s="40" t="s">
        <v>654</v>
      </c>
      <c r="B261" s="69" t="s">
        <v>655</v>
      </c>
    </row>
    <row r="262" spans="1:2">
      <c r="A262" s="40" t="s">
        <v>656</v>
      </c>
      <c r="B262" s="69" t="s">
        <v>657</v>
      </c>
    </row>
    <row r="263" spans="1:2">
      <c r="A263" s="40" t="s">
        <v>658</v>
      </c>
      <c r="B263" s="69" t="s">
        <v>659</v>
      </c>
    </row>
    <row r="264" spans="1:2">
      <c r="A264" s="40" t="s">
        <v>660</v>
      </c>
      <c r="B264" s="69" t="s">
        <v>661</v>
      </c>
    </row>
    <row r="265" spans="1:2">
      <c r="A265" s="40" t="s">
        <v>662</v>
      </c>
      <c r="B265" s="69" t="s">
        <v>663</v>
      </c>
    </row>
    <row r="266" spans="1:2">
      <c r="A266" s="40" t="s">
        <v>664</v>
      </c>
      <c r="B266" s="69" t="s">
        <v>665</v>
      </c>
    </row>
    <row r="267" spans="1:2">
      <c r="A267" s="40" t="s">
        <v>666</v>
      </c>
      <c r="B267" s="69" t="s">
        <v>667</v>
      </c>
    </row>
    <row r="268" spans="1:2">
      <c r="A268" s="40" t="s">
        <v>668</v>
      </c>
      <c r="B268" s="69" t="s">
        <v>669</v>
      </c>
    </row>
    <row r="269" spans="1:2">
      <c r="A269" s="40" t="s">
        <v>670</v>
      </c>
      <c r="B269" s="69" t="s">
        <v>671</v>
      </c>
    </row>
    <row r="270" spans="1:2">
      <c r="A270" s="40" t="s">
        <v>672</v>
      </c>
      <c r="B270" s="69" t="s">
        <v>673</v>
      </c>
    </row>
    <row r="271" spans="1:2" ht="15.75" thickBot="1">
      <c r="A271" s="41" t="s">
        <v>674</v>
      </c>
      <c r="B271" s="51" t="s">
        <v>675</v>
      </c>
    </row>
    <row r="276" spans="1:3">
      <c r="A276" t="s">
        <v>676</v>
      </c>
    </row>
    <row r="277" spans="1:3">
      <c r="A277" s="134" t="s">
        <v>677</v>
      </c>
      <c r="B277" s="138" t="s">
        <v>678</v>
      </c>
      <c r="C277" s="136" t="s">
        <v>679</v>
      </c>
    </row>
    <row r="278" spans="1:3" ht="15.75" thickBot="1">
      <c r="A278" s="135"/>
      <c r="B278" s="139"/>
      <c r="C278" s="137"/>
    </row>
    <row r="279" spans="1:3">
      <c r="A279" s="86" t="s">
        <v>680</v>
      </c>
      <c r="B279" s="87" t="s">
        <v>681</v>
      </c>
      <c r="C279" s="88" t="s">
        <v>682</v>
      </c>
    </row>
    <row r="280" spans="1:3">
      <c r="A280" s="89" t="s">
        <v>683</v>
      </c>
      <c r="B280" s="81" t="s">
        <v>684</v>
      </c>
      <c r="C280" s="85" t="s">
        <v>685</v>
      </c>
    </row>
    <row r="281" spans="1:3">
      <c r="A281" s="89" t="s">
        <v>686</v>
      </c>
      <c r="B281" s="81" t="s">
        <v>687</v>
      </c>
      <c r="C281" s="85" t="s">
        <v>688</v>
      </c>
    </row>
    <row r="282" spans="1:3">
      <c r="A282" s="89" t="s">
        <v>689</v>
      </c>
      <c r="B282" s="81" t="s">
        <v>690</v>
      </c>
      <c r="C282" s="85" t="s">
        <v>691</v>
      </c>
    </row>
    <row r="283" spans="1:3">
      <c r="A283" s="89" t="s">
        <v>692</v>
      </c>
      <c r="B283" s="81" t="s">
        <v>693</v>
      </c>
      <c r="C283" s="85" t="s">
        <v>694</v>
      </c>
    </row>
    <row r="284" spans="1:3">
      <c r="A284" s="89" t="s">
        <v>695</v>
      </c>
      <c r="B284" s="81" t="s">
        <v>696</v>
      </c>
      <c r="C284" s="85" t="s">
        <v>697</v>
      </c>
    </row>
    <row r="285" spans="1:3">
      <c r="A285" s="89" t="s">
        <v>698</v>
      </c>
      <c r="B285" s="81" t="s">
        <v>699</v>
      </c>
      <c r="C285" s="85" t="s">
        <v>700</v>
      </c>
    </row>
    <row r="286" spans="1:3">
      <c r="A286" s="90" t="s">
        <v>701</v>
      </c>
      <c r="B286" s="80" t="s">
        <v>84</v>
      </c>
      <c r="C286" s="83" t="s">
        <v>702</v>
      </c>
    </row>
    <row r="287" spans="1:3">
      <c r="A287" s="90" t="s">
        <v>703</v>
      </c>
      <c r="B287" s="80" t="s">
        <v>704</v>
      </c>
      <c r="C287" s="83" t="s">
        <v>705</v>
      </c>
    </row>
    <row r="288" spans="1:3">
      <c r="A288" s="90" t="s">
        <v>703</v>
      </c>
      <c r="B288" s="80" t="s">
        <v>706</v>
      </c>
      <c r="C288" s="83" t="s">
        <v>707</v>
      </c>
    </row>
    <row r="289" spans="1:3">
      <c r="A289" s="90" t="s">
        <v>708</v>
      </c>
      <c r="B289" s="80" t="s">
        <v>709</v>
      </c>
      <c r="C289" s="82" t="s">
        <v>710</v>
      </c>
    </row>
    <row r="290" spans="1:3">
      <c r="A290" s="90" t="s">
        <v>711</v>
      </c>
      <c r="B290" s="80" t="s">
        <v>712</v>
      </c>
      <c r="C290" s="83" t="s">
        <v>713</v>
      </c>
    </row>
    <row r="291" spans="1:3">
      <c r="A291" s="90" t="s">
        <v>714</v>
      </c>
      <c r="B291" s="80" t="s">
        <v>715</v>
      </c>
      <c r="C291" s="83" t="s">
        <v>716</v>
      </c>
    </row>
    <row r="292" spans="1:3">
      <c r="A292" s="90" t="s">
        <v>717</v>
      </c>
      <c r="B292" s="80" t="s">
        <v>718</v>
      </c>
      <c r="C292" s="83" t="s">
        <v>719</v>
      </c>
    </row>
    <row r="293" spans="1:3">
      <c r="A293" s="90" t="s">
        <v>720</v>
      </c>
      <c r="B293" s="80" t="s">
        <v>721</v>
      </c>
      <c r="C293" s="83" t="s">
        <v>722</v>
      </c>
    </row>
    <row r="294" spans="1:3">
      <c r="A294" s="90" t="s">
        <v>723</v>
      </c>
      <c r="B294" s="80" t="s">
        <v>724</v>
      </c>
      <c r="C294" s="83" t="s">
        <v>725</v>
      </c>
    </row>
    <row r="295" spans="1:3">
      <c r="A295" s="90" t="s">
        <v>726</v>
      </c>
      <c r="B295" s="80" t="s">
        <v>727</v>
      </c>
      <c r="C295" s="83" t="s">
        <v>728</v>
      </c>
    </row>
    <row r="296" spans="1:3">
      <c r="A296" s="90" t="s">
        <v>729</v>
      </c>
      <c r="B296" s="80" t="s">
        <v>730</v>
      </c>
      <c r="C296" s="83" t="s">
        <v>731</v>
      </c>
    </row>
    <row r="297" spans="1:3">
      <c r="A297" s="90" t="s">
        <v>732</v>
      </c>
      <c r="B297" s="80" t="s">
        <v>733</v>
      </c>
      <c r="C297" s="83" t="s">
        <v>734</v>
      </c>
    </row>
    <row r="298" spans="1:3">
      <c r="A298" s="90" t="s">
        <v>732</v>
      </c>
      <c r="B298" s="80" t="s">
        <v>735</v>
      </c>
      <c r="C298" s="83" t="s">
        <v>734</v>
      </c>
    </row>
    <row r="299" spans="1:3">
      <c r="A299" s="90" t="s">
        <v>736</v>
      </c>
      <c r="B299" s="80" t="s">
        <v>737</v>
      </c>
      <c r="C299" s="83" t="s">
        <v>738</v>
      </c>
    </row>
    <row r="300" spans="1:3">
      <c r="A300" s="90" t="s">
        <v>739</v>
      </c>
      <c r="B300" s="80" t="s">
        <v>740</v>
      </c>
      <c r="C300" s="83" t="s">
        <v>741</v>
      </c>
    </row>
    <row r="301" spans="1:3">
      <c r="A301" s="90" t="s">
        <v>742</v>
      </c>
      <c r="B301" s="80" t="s">
        <v>743</v>
      </c>
      <c r="C301" s="83" t="s">
        <v>744</v>
      </c>
    </row>
    <row r="302" spans="1:3">
      <c r="A302" s="90" t="s">
        <v>745</v>
      </c>
      <c r="B302" s="80" t="s">
        <v>746</v>
      </c>
      <c r="C302" s="83" t="s">
        <v>747</v>
      </c>
    </row>
    <row r="303" spans="1:3">
      <c r="A303" s="90" t="s">
        <v>745</v>
      </c>
      <c r="B303" s="80" t="s">
        <v>748</v>
      </c>
      <c r="C303" s="83" t="s">
        <v>747</v>
      </c>
    </row>
    <row r="304" spans="1:3">
      <c r="A304" s="90" t="s">
        <v>749</v>
      </c>
      <c r="B304" s="80" t="s">
        <v>750</v>
      </c>
      <c r="C304" s="83" t="s">
        <v>751</v>
      </c>
    </row>
    <row r="305" spans="1:3">
      <c r="A305" s="90" t="s">
        <v>752</v>
      </c>
      <c r="B305" s="80" t="s">
        <v>753</v>
      </c>
      <c r="C305" s="83" t="s">
        <v>754</v>
      </c>
    </row>
    <row r="306" spans="1:3">
      <c r="A306" s="90" t="s">
        <v>755</v>
      </c>
      <c r="B306" s="80" t="s">
        <v>756</v>
      </c>
      <c r="C306" s="83" t="s">
        <v>757</v>
      </c>
    </row>
    <row r="307" spans="1:3">
      <c r="A307" s="90" t="s">
        <v>758</v>
      </c>
      <c r="B307" s="80" t="s">
        <v>759</v>
      </c>
      <c r="C307" s="83" t="s">
        <v>760</v>
      </c>
    </row>
    <row r="308" spans="1:3">
      <c r="A308" s="90" t="s">
        <v>761</v>
      </c>
      <c r="B308" s="80" t="s">
        <v>762</v>
      </c>
      <c r="C308" s="83" t="s">
        <v>763</v>
      </c>
    </row>
    <row r="309" spans="1:3">
      <c r="A309" s="90" t="s">
        <v>764</v>
      </c>
      <c r="B309" s="80" t="s">
        <v>765</v>
      </c>
      <c r="C309" s="83" t="s">
        <v>766</v>
      </c>
    </row>
    <row r="310" spans="1:3">
      <c r="A310" s="90" t="s">
        <v>767</v>
      </c>
      <c r="B310" s="80" t="s">
        <v>768</v>
      </c>
      <c r="C310" s="83" t="s">
        <v>769</v>
      </c>
    </row>
    <row r="311" spans="1:3">
      <c r="A311" s="90" t="s">
        <v>770</v>
      </c>
      <c r="B311" s="80" t="s">
        <v>771</v>
      </c>
      <c r="C311" s="83" t="s">
        <v>772</v>
      </c>
    </row>
    <row r="312" spans="1:3">
      <c r="A312" s="90" t="s">
        <v>770</v>
      </c>
      <c r="B312" s="80" t="s">
        <v>773</v>
      </c>
      <c r="C312" s="83" t="s">
        <v>772</v>
      </c>
    </row>
    <row r="313" spans="1:3">
      <c r="A313" s="90" t="s">
        <v>774</v>
      </c>
      <c r="B313" s="80" t="s">
        <v>775</v>
      </c>
      <c r="C313" s="83" t="s">
        <v>776</v>
      </c>
    </row>
    <row r="314" spans="1:3">
      <c r="A314" s="90" t="s">
        <v>777</v>
      </c>
      <c r="B314" s="80" t="s">
        <v>778</v>
      </c>
      <c r="C314" s="97" t="s">
        <v>779</v>
      </c>
    </row>
    <row r="315" spans="1:3">
      <c r="A315" s="90" t="s">
        <v>777</v>
      </c>
      <c r="B315" s="80" t="s">
        <v>780</v>
      </c>
      <c r="C315" s="97" t="s">
        <v>779</v>
      </c>
    </row>
    <row r="316" spans="1:3">
      <c r="A316" s="90" t="s">
        <v>781</v>
      </c>
      <c r="B316" s="80" t="s">
        <v>782</v>
      </c>
      <c r="C316" s="91" t="s">
        <v>783</v>
      </c>
    </row>
    <row r="317" spans="1:3">
      <c r="A317" s="90" t="s">
        <v>784</v>
      </c>
      <c r="B317" s="80" t="s">
        <v>785</v>
      </c>
      <c r="C317" s="83" t="s">
        <v>786</v>
      </c>
    </row>
    <row r="318" spans="1:3">
      <c r="A318" s="90" t="s">
        <v>787</v>
      </c>
      <c r="B318" s="81" t="s">
        <v>788</v>
      </c>
      <c r="C318" s="84" t="s">
        <v>789</v>
      </c>
    </row>
    <row r="319" spans="1:3">
      <c r="A319" s="90" t="s">
        <v>790</v>
      </c>
      <c r="B319" s="80" t="s">
        <v>791</v>
      </c>
      <c r="C319" s="83" t="s">
        <v>792</v>
      </c>
    </row>
    <row r="320" spans="1:3">
      <c r="A320" s="90" t="s">
        <v>793</v>
      </c>
      <c r="B320" s="80" t="s">
        <v>794</v>
      </c>
      <c r="C320" s="83" t="s">
        <v>795</v>
      </c>
    </row>
    <row r="321" spans="1:3">
      <c r="A321" s="90" t="s">
        <v>796</v>
      </c>
      <c r="B321" s="80" t="s">
        <v>797</v>
      </c>
      <c r="C321" s="83" t="s">
        <v>798</v>
      </c>
    </row>
    <row r="322" spans="1:3">
      <c r="A322" s="89" t="s">
        <v>799</v>
      </c>
      <c r="B322" s="81" t="s">
        <v>800</v>
      </c>
      <c r="C322" s="83" t="s">
        <v>801</v>
      </c>
    </row>
    <row r="323" spans="1:3">
      <c r="A323" s="89" t="s">
        <v>802</v>
      </c>
      <c r="B323" s="81" t="s">
        <v>803</v>
      </c>
      <c r="C323" s="83" t="s">
        <v>804</v>
      </c>
    </row>
    <row r="324" spans="1:3">
      <c r="A324" s="89" t="s">
        <v>805</v>
      </c>
      <c r="B324" s="81" t="s">
        <v>806</v>
      </c>
      <c r="C324" s="83" t="s">
        <v>807</v>
      </c>
    </row>
    <row r="325" spans="1:3">
      <c r="A325" s="89" t="s">
        <v>808</v>
      </c>
      <c r="B325" s="81" t="s">
        <v>809</v>
      </c>
      <c r="C325" s="83" t="s">
        <v>810</v>
      </c>
    </row>
    <row r="326" spans="1:3">
      <c r="A326" s="89" t="s">
        <v>811</v>
      </c>
      <c r="B326" s="81" t="s">
        <v>812</v>
      </c>
      <c r="C326" s="83" t="s">
        <v>813</v>
      </c>
    </row>
    <row r="327" spans="1:3">
      <c r="A327" s="89" t="s">
        <v>811</v>
      </c>
      <c r="B327" s="81" t="s">
        <v>814</v>
      </c>
      <c r="C327" s="83" t="s">
        <v>813</v>
      </c>
    </row>
    <row r="328" spans="1:3">
      <c r="A328" s="89" t="s">
        <v>815</v>
      </c>
      <c r="B328" s="81" t="s">
        <v>816</v>
      </c>
      <c r="C328" s="83" t="s">
        <v>817</v>
      </c>
    </row>
    <row r="329" spans="1:3">
      <c r="A329" s="89" t="s">
        <v>818</v>
      </c>
      <c r="B329" s="81" t="s">
        <v>819</v>
      </c>
      <c r="C329" s="83" t="s">
        <v>820</v>
      </c>
    </row>
    <row r="330" spans="1:3">
      <c r="A330" s="89" t="s">
        <v>821</v>
      </c>
      <c r="B330" s="81" t="s">
        <v>822</v>
      </c>
      <c r="C330" s="83" t="s">
        <v>823</v>
      </c>
    </row>
    <row r="331" spans="1:3">
      <c r="A331" s="89" t="s">
        <v>824</v>
      </c>
      <c r="B331" s="81" t="s">
        <v>825</v>
      </c>
      <c r="C331" s="83" t="s">
        <v>826</v>
      </c>
    </row>
    <row r="332" spans="1:3">
      <c r="A332" s="89" t="s">
        <v>827</v>
      </c>
      <c r="B332" s="81" t="s">
        <v>828</v>
      </c>
      <c r="C332" s="83" t="s">
        <v>829</v>
      </c>
    </row>
    <row r="333" spans="1:3">
      <c r="A333" s="89" t="s">
        <v>830</v>
      </c>
      <c r="B333" s="81" t="s">
        <v>831</v>
      </c>
      <c r="C333" s="83" t="s">
        <v>832</v>
      </c>
    </row>
    <row r="334" spans="1:3">
      <c r="A334" s="95" t="s">
        <v>833</v>
      </c>
      <c r="B334" s="96" t="s">
        <v>834</v>
      </c>
      <c r="C334" s="84" t="s">
        <v>835</v>
      </c>
    </row>
    <row r="335" spans="1:3" ht="15.75" thickBot="1">
      <c r="A335" s="92" t="s">
        <v>836</v>
      </c>
      <c r="B335" s="93" t="s">
        <v>837</v>
      </c>
      <c r="C335" s="94" t="s">
        <v>838</v>
      </c>
    </row>
  </sheetData>
  <sheetProtection formatColumns="0" selectLockedCells="1"/>
  <mergeCells count="6">
    <mergeCell ref="C5:I5"/>
    <mergeCell ref="C6:I6"/>
    <mergeCell ref="C7:I7"/>
    <mergeCell ref="A277:A278"/>
    <mergeCell ref="C277:C278"/>
    <mergeCell ref="B277:B278"/>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ACB</cp:lastModifiedBy>
  <dcterms:created xsi:type="dcterms:W3CDTF">2020-09-21T07:24:46Z</dcterms:created>
  <dcterms:modified xsi:type="dcterms:W3CDTF">2025-05-17T09:37:48Z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