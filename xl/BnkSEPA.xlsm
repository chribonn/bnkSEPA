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showInkAnnotation="0" backupFile="1" codeName="ThisWorkbook"/>
  <mc:AlternateContent xmlns:mc="http://schemas.openxmlformats.org/markup-compatibility/2006">
    <mc:Choice Requires="x15">
      <x15ac:absPath xmlns:x15ac="http://schemas.microsoft.com/office/spreadsheetml/2010/11/ac" url="C:\Users\Syncovery\Documents\bnkSEPA\xl\"/>
    </mc:Choice>
  </mc:AlternateContent>
  <xr:revisionPtr revIDLastSave="0" documentId="13_ncr:1_{02159172-18AE-4AA7-A788-259412F861B6}" xr6:coauthVersionLast="47" xr6:coauthVersionMax="47" xr10:uidLastSave="{00000000-0000-0000-0000-000000000000}"/>
  <bookViews>
    <workbookView xWindow="-120" yWindow="-120" windowWidth="29040" windowHeight="15720" tabRatio="508" firstSheet="1" activeTab="5"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r:id="rId6"/>
  </sheets>
  <definedNames>
    <definedName name="Payee" comment="This rapresents the payee list.  It must be sorted on the account">'Client Payee Data'!$A$2:$K$9999</definedName>
  </definedNames>
  <calcPr calcId="191029"/>
  <pivotCaches>
    <pivotCache cacheId="18"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2" l="1"/>
  <c r="D5" i="2"/>
  <c r="E106" i="4"/>
  <c r="E104" i="4"/>
  <c r="E102" i="4"/>
  <c r="E100" i="4"/>
  <c r="E98" i="4"/>
  <c r="E96" i="4"/>
  <c r="E94" i="4"/>
  <c r="E92" i="4"/>
  <c r="E90" i="4"/>
  <c r="E88" i="4"/>
  <c r="E86" i="4"/>
  <c r="E84" i="4"/>
  <c r="E82" i="4"/>
  <c r="E80" i="4"/>
  <c r="E78" i="4"/>
  <c r="E76" i="4"/>
  <c r="E74" i="4"/>
  <c r="E72" i="4"/>
  <c r="E70" i="4"/>
  <c r="E68" i="4"/>
  <c r="E66" i="4"/>
  <c r="E64" i="4"/>
  <c r="E62" i="4"/>
  <c r="E60" i="4"/>
  <c r="E58" i="4"/>
  <c r="E56" i="4"/>
  <c r="E54" i="4"/>
  <c r="E52" i="4"/>
  <c r="E50" i="4"/>
  <c r="E48" i="4"/>
  <c r="E46" i="4"/>
  <c r="E44" i="4"/>
  <c r="E42" i="4"/>
  <c r="E40" i="4"/>
  <c r="E38" i="4"/>
  <c r="E36" i="4"/>
  <c r="E34" i="4"/>
  <c r="E32" i="4"/>
  <c r="E30" i="4"/>
  <c r="E28" i="4"/>
  <c r="E26" i="4"/>
  <c r="E24" i="4"/>
  <c r="E22" i="4"/>
  <c r="E20" i="4"/>
  <c r="E18" i="4"/>
  <c r="E16" i="4"/>
  <c r="E14" i="4"/>
  <c r="E12" i="4"/>
  <c r="E10" i="4"/>
  <c r="E8" i="4"/>
  <c r="E6" i="4"/>
  <c r="A6" i="4"/>
  <c r="L6" i="4"/>
  <c r="C14" i="3"/>
  <c r="B14" i="3"/>
  <c r="L106" i="4"/>
  <c r="L104" i="4"/>
  <c r="L102" i="4"/>
  <c r="L100" i="4"/>
  <c r="L98" i="4"/>
  <c r="L96" i="4"/>
  <c r="L94" i="4"/>
  <c r="L92" i="4"/>
  <c r="L90" i="4"/>
  <c r="L88" i="4"/>
  <c r="L86" i="4"/>
  <c r="L84" i="4"/>
  <c r="L82" i="4"/>
  <c r="L80" i="4"/>
  <c r="L78" i="4"/>
  <c r="L76" i="4"/>
  <c r="L74" i="4"/>
  <c r="L72" i="4"/>
  <c r="L70" i="4"/>
  <c r="L68" i="4"/>
  <c r="L66" i="4"/>
  <c r="L64" i="4"/>
  <c r="L62" i="4"/>
  <c r="L60" i="4"/>
  <c r="L58" i="4"/>
  <c r="L56" i="4"/>
  <c r="L54" i="4"/>
  <c r="L52" i="4"/>
  <c r="L50" i="4"/>
  <c r="L48" i="4"/>
  <c r="L46" i="4"/>
  <c r="L44" i="4"/>
  <c r="L42" i="4"/>
  <c r="L40" i="4"/>
  <c r="L38" i="4"/>
  <c r="L36" i="4"/>
  <c r="L34" i="4"/>
  <c r="L32" i="4"/>
  <c r="L30" i="4"/>
  <c r="L28" i="4"/>
  <c r="L26" i="4"/>
  <c r="L24" i="4"/>
  <c r="L22" i="4"/>
  <c r="L20" i="4"/>
  <c r="L18" i="4"/>
  <c r="L16" i="4"/>
  <c r="L14" i="4"/>
  <c r="L12" i="4"/>
  <c r="L10" i="4"/>
  <c r="L8" i="4"/>
  <c r="K106" i="4"/>
  <c r="K104" i="4"/>
  <c r="K102" i="4"/>
  <c r="K100" i="4"/>
  <c r="K98" i="4"/>
  <c r="K96" i="4"/>
  <c r="K94" i="4"/>
  <c r="K92" i="4"/>
  <c r="K90" i="4"/>
  <c r="K88" i="4"/>
  <c r="K86" i="4"/>
  <c r="K84" i="4"/>
  <c r="K82" i="4"/>
  <c r="K80" i="4"/>
  <c r="K78" i="4"/>
  <c r="K76" i="4"/>
  <c r="K74" i="4"/>
  <c r="K72" i="4"/>
  <c r="K70" i="4"/>
  <c r="K68" i="4"/>
  <c r="K66" i="4"/>
  <c r="K64" i="4"/>
  <c r="K62" i="4"/>
  <c r="K60" i="4"/>
  <c r="K58" i="4"/>
  <c r="K56" i="4"/>
  <c r="K54" i="4"/>
  <c r="K52" i="4"/>
  <c r="K50" i="4"/>
  <c r="K48" i="4"/>
  <c r="K46" i="4"/>
  <c r="K44" i="4"/>
  <c r="K42" i="4"/>
  <c r="K40" i="4"/>
  <c r="K38" i="4"/>
  <c r="K36" i="4"/>
  <c r="K34" i="4"/>
  <c r="K32" i="4"/>
  <c r="K30" i="4"/>
  <c r="K28" i="4"/>
  <c r="K26" i="4"/>
  <c r="K24" i="4"/>
  <c r="K22" i="4"/>
  <c r="K20" i="4"/>
  <c r="K18" i="4"/>
  <c r="K16" i="4"/>
  <c r="K14" i="4"/>
  <c r="K12" i="4"/>
  <c r="K10" i="4"/>
  <c r="K8" i="4"/>
  <c r="K6" i="4"/>
  <c r="J106" i="4"/>
  <c r="J104" i="4"/>
  <c r="J102" i="4"/>
  <c r="J100" i="4"/>
  <c r="J98" i="4"/>
  <c r="J96" i="4"/>
  <c r="J94" i="4"/>
  <c r="J92" i="4"/>
  <c r="J90" i="4"/>
  <c r="J88" i="4"/>
  <c r="J86" i="4"/>
  <c r="J84" i="4"/>
  <c r="J82" i="4"/>
  <c r="J80" i="4"/>
  <c r="J78" i="4"/>
  <c r="J76" i="4"/>
  <c r="J74" i="4"/>
  <c r="J72" i="4"/>
  <c r="J70" i="4"/>
  <c r="J68" i="4"/>
  <c r="J66" i="4"/>
  <c r="J64" i="4"/>
  <c r="J62" i="4"/>
  <c r="J60" i="4"/>
  <c r="J58" i="4"/>
  <c r="J56" i="4"/>
  <c r="J54" i="4"/>
  <c r="J52" i="4"/>
  <c r="J50" i="4"/>
  <c r="J48" i="4"/>
  <c r="J46" i="4"/>
  <c r="J44" i="4"/>
  <c r="J42" i="4"/>
  <c r="J40" i="4"/>
  <c r="J38" i="4"/>
  <c r="J36" i="4"/>
  <c r="J34" i="4"/>
  <c r="J32" i="4"/>
  <c r="J30" i="4"/>
  <c r="J28" i="4"/>
  <c r="J26" i="4"/>
  <c r="J24" i="4"/>
  <c r="J22" i="4"/>
  <c r="J20" i="4"/>
  <c r="J18" i="4"/>
  <c r="J16" i="4"/>
  <c r="J14" i="4"/>
  <c r="J12" i="4"/>
  <c r="J10" i="4"/>
  <c r="J8" i="4"/>
  <c r="H8" i="4"/>
  <c r="H6" i="4"/>
  <c r="J6" i="4"/>
  <c r="I106" i="4"/>
  <c r="I104" i="4"/>
  <c r="I102" i="4"/>
  <c r="I100" i="4"/>
  <c r="I98" i="4"/>
  <c r="I96" i="4"/>
  <c r="I94" i="4"/>
  <c r="I92" i="4"/>
  <c r="I90" i="4"/>
  <c r="I88" i="4"/>
  <c r="I86"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H106" i="4"/>
  <c r="H104" i="4"/>
  <c r="H102" i="4"/>
  <c r="H100" i="4"/>
  <c r="H98" i="4"/>
  <c r="H96" i="4"/>
  <c r="H94" i="4"/>
  <c r="H92" i="4"/>
  <c r="H90" i="4"/>
  <c r="H88" i="4"/>
  <c r="H86" i="4"/>
  <c r="H84" i="4"/>
  <c r="H82" i="4"/>
  <c r="H80" i="4"/>
  <c r="H78" i="4"/>
  <c r="H76" i="4"/>
  <c r="H74" i="4"/>
  <c r="H72" i="4"/>
  <c r="H70" i="4"/>
  <c r="H68" i="4"/>
  <c r="H66" i="4"/>
  <c r="H64" i="4"/>
  <c r="H62" i="4"/>
  <c r="H60" i="4"/>
  <c r="H58" i="4"/>
  <c r="H56" i="4"/>
  <c r="H54" i="4"/>
  <c r="H52" i="4"/>
  <c r="H50" i="4"/>
  <c r="H48" i="4"/>
  <c r="H46" i="4"/>
  <c r="H44" i="4"/>
  <c r="H42" i="4"/>
  <c r="H40" i="4"/>
  <c r="H38" i="4"/>
  <c r="H36" i="4"/>
  <c r="H34" i="4"/>
  <c r="H32" i="4"/>
  <c r="H30" i="4"/>
  <c r="H28" i="4"/>
  <c r="H26" i="4"/>
  <c r="H24" i="4"/>
  <c r="H22" i="4"/>
  <c r="H20" i="4"/>
  <c r="H18" i="4"/>
  <c r="H16" i="4"/>
  <c r="H14" i="4"/>
  <c r="H12" i="4"/>
  <c r="H10" i="4"/>
  <c r="I6" i="2" l="1"/>
  <c r="A2" i="5"/>
  <c r="C5" i="1"/>
  <c r="D5" i="1"/>
  <c r="B5" i="5" s="1"/>
  <c r="E52" i="5"/>
  <c r="F52" i="5"/>
  <c r="G52" i="5"/>
  <c r="H52" i="5"/>
  <c r="I52" i="5"/>
  <c r="J52" i="5"/>
  <c r="K52" i="5"/>
  <c r="L52" i="5"/>
  <c r="M52" i="5"/>
  <c r="P52" i="5" s="1"/>
  <c r="N52" i="5"/>
  <c r="O52" i="5"/>
  <c r="O106" i="4"/>
  <c r="N106" i="4"/>
  <c r="M106" i="4"/>
  <c r="G106" i="4"/>
  <c r="F106" i="4"/>
  <c r="D106" i="4"/>
  <c r="B106" i="4"/>
  <c r="A106" i="4"/>
  <c r="O104" i="4"/>
  <c r="N104" i="4"/>
  <c r="M104" i="4"/>
  <c r="G104" i="4"/>
  <c r="F104" i="4"/>
  <c r="D104" i="4"/>
  <c r="B104" i="4"/>
  <c r="A104" i="4"/>
  <c r="O102" i="4"/>
  <c r="N102" i="4"/>
  <c r="M102" i="4"/>
  <c r="G102" i="4"/>
  <c r="F102" i="4"/>
  <c r="D102" i="4"/>
  <c r="B102" i="4"/>
  <c r="A102" i="4"/>
  <c r="O100" i="4"/>
  <c r="N100" i="4"/>
  <c r="M100" i="4"/>
  <c r="G100" i="4"/>
  <c r="F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O98" i="4"/>
  <c r="N98" i="4"/>
  <c r="M98" i="4"/>
  <c r="G98" i="4"/>
  <c r="F98" i="4"/>
  <c r="D98" i="4"/>
  <c r="B98" i="4"/>
  <c r="A98" i="4"/>
  <c r="O96" i="4"/>
  <c r="N96" i="4"/>
  <c r="M96" i="4"/>
  <c r="G96" i="4"/>
  <c r="F96" i="4"/>
  <c r="D96" i="4"/>
  <c r="B96" i="4"/>
  <c r="A96" i="4"/>
  <c r="O94" i="4"/>
  <c r="N94" i="4"/>
  <c r="M94" i="4"/>
  <c r="G94" i="4"/>
  <c r="F94" i="4"/>
  <c r="D94" i="4"/>
  <c r="B94" i="4"/>
  <c r="A94" i="4"/>
  <c r="O92" i="4"/>
  <c r="N92" i="4"/>
  <c r="M92" i="4"/>
  <c r="G92" i="4"/>
  <c r="F92" i="4"/>
  <c r="D92" i="4"/>
  <c r="B92" i="4"/>
  <c r="A92" i="4"/>
  <c r="O90" i="4"/>
  <c r="N90" i="4"/>
  <c r="M90" i="4"/>
  <c r="G90" i="4"/>
  <c r="F90" i="4"/>
  <c r="D90" i="4"/>
  <c r="B90" i="4"/>
  <c r="A90" i="4"/>
  <c r="O88" i="4"/>
  <c r="N88" i="4"/>
  <c r="M88" i="4"/>
  <c r="G88" i="4"/>
  <c r="F88" i="4"/>
  <c r="D88" i="4"/>
  <c r="B88" i="4"/>
  <c r="A88" i="4"/>
  <c r="O86" i="4"/>
  <c r="N86" i="4"/>
  <c r="M86" i="4"/>
  <c r="G86" i="4"/>
  <c r="F86" i="4"/>
  <c r="D86" i="4"/>
  <c r="B86" i="4"/>
  <c r="A86" i="4"/>
  <c r="O84" i="4"/>
  <c r="N84" i="4"/>
  <c r="M84" i="4"/>
  <c r="G84" i="4"/>
  <c r="F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O82" i="4"/>
  <c r="N82" i="4"/>
  <c r="M82" i="4"/>
  <c r="G82" i="4"/>
  <c r="F82" i="4"/>
  <c r="D82" i="4"/>
  <c r="B82" i="4"/>
  <c r="A82" i="4"/>
  <c r="O80" i="4"/>
  <c r="N80" i="4"/>
  <c r="M80" i="4"/>
  <c r="G80" i="4"/>
  <c r="F80" i="4"/>
  <c r="D80" i="4"/>
  <c r="B80" i="4"/>
  <c r="A80" i="4"/>
  <c r="O78" i="4"/>
  <c r="N78" i="4"/>
  <c r="M78" i="4"/>
  <c r="G78" i="4"/>
  <c r="F78" i="4"/>
  <c r="D78" i="4"/>
  <c r="B78" i="4"/>
  <c r="A78" i="4"/>
  <c r="O76" i="4"/>
  <c r="N76" i="4"/>
  <c r="M76" i="4"/>
  <c r="G76" i="4"/>
  <c r="F76" i="4"/>
  <c r="D76" i="4"/>
  <c r="B76" i="4"/>
  <c r="A76" i="4"/>
  <c r="O74" i="4"/>
  <c r="N74" i="4"/>
  <c r="M74" i="4"/>
  <c r="G74" i="4"/>
  <c r="F74" i="4"/>
  <c r="D74" i="4"/>
  <c r="B74" i="4"/>
  <c r="A74" i="4"/>
  <c r="O72" i="4"/>
  <c r="N72" i="4"/>
  <c r="M72" i="4"/>
  <c r="G72" i="4"/>
  <c r="F72" i="4"/>
  <c r="D72" i="4"/>
  <c r="B72" i="4"/>
  <c r="A72" i="4"/>
  <c r="O70" i="4"/>
  <c r="N70" i="4"/>
  <c r="M70" i="4"/>
  <c r="G70" i="4"/>
  <c r="F70" i="4"/>
  <c r="D70" i="4"/>
  <c r="B70" i="4"/>
  <c r="A70" i="4"/>
  <c r="N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H2" i="5"/>
  <c r="G2" i="5"/>
  <c r="F2" i="5"/>
  <c r="E2" i="5"/>
  <c r="O1" i="5"/>
  <c r="N1" i="5"/>
  <c r="M1" i="5"/>
  <c r="L1" i="5"/>
  <c r="K1" i="5"/>
  <c r="J1" i="5"/>
  <c r="I1" i="5"/>
  <c r="H1" i="5"/>
  <c r="G1" i="5"/>
  <c r="F1" i="5"/>
  <c r="E1" i="5"/>
  <c r="B5" i="1" l="1"/>
  <c r="A6" i="2" l="1"/>
  <c r="B16" i="3"/>
  <c r="B20" i="3" s="1"/>
  <c r="A6" i="1"/>
  <c r="B18" i="3" l="1"/>
  <c r="G7" i="2"/>
  <c r="G6" i="2"/>
  <c r="H6" i="2"/>
  <c r="E5" i="1" l="1"/>
  <c r="A3" i="5" l="1"/>
  <c r="B2" i="5" l="1"/>
  <c r="N68" i="4" l="1"/>
  <c r="N66" i="4"/>
  <c r="N64" i="4"/>
  <c r="N62" i="4"/>
  <c r="N60" i="4"/>
  <c r="N58" i="4"/>
  <c r="N56" i="4"/>
  <c r="N54" i="4"/>
  <c r="N52" i="4"/>
  <c r="N50" i="4"/>
  <c r="N48" i="4"/>
  <c r="N46" i="4"/>
  <c r="N44" i="4"/>
  <c r="N42" i="4"/>
  <c r="N40" i="4"/>
  <c r="N36" i="4"/>
  <c r="N34" i="4"/>
  <c r="N32" i="4"/>
  <c r="N30" i="4"/>
  <c r="N28" i="4"/>
  <c r="N26" i="4"/>
  <c r="N24" i="4"/>
  <c r="N22" i="4"/>
  <c r="N20" i="4"/>
  <c r="N18" i="4"/>
  <c r="N16" i="4"/>
  <c r="N14" i="4"/>
  <c r="N12" i="4"/>
  <c r="N10" i="4"/>
  <c r="N8" i="4"/>
  <c r="N6" i="4"/>
  <c r="A5" i="5" l="1"/>
  <c r="A8" i="4"/>
  <c r="O68" i="4" l="1"/>
  <c r="M68" i="4"/>
  <c r="G68" i="4"/>
  <c r="F68" i="4"/>
  <c r="D68" i="4"/>
  <c r="B68" i="4"/>
  <c r="A68" i="4"/>
  <c r="O66" i="4"/>
  <c r="M66" i="4"/>
  <c r="G66" i="4"/>
  <c r="F66" i="4"/>
  <c r="D66" i="4"/>
  <c r="B66" i="4"/>
  <c r="A66" i="4"/>
  <c r="O64" i="4"/>
  <c r="M64" i="4"/>
  <c r="G64" i="4"/>
  <c r="F64" i="4"/>
  <c r="D64" i="4"/>
  <c r="B64" i="4"/>
  <c r="A64" i="4"/>
  <c r="O62" i="4"/>
  <c r="M62" i="4"/>
  <c r="G62" i="4"/>
  <c r="F62" i="4"/>
  <c r="D62" i="4"/>
  <c r="B62" i="4"/>
  <c r="A62" i="4"/>
  <c r="O60" i="4"/>
  <c r="M60" i="4"/>
  <c r="G60" i="4"/>
  <c r="F60" i="4"/>
  <c r="D60" i="4"/>
  <c r="B60" i="4"/>
  <c r="A60" i="4"/>
  <c r="O58" i="4"/>
  <c r="M58" i="4"/>
  <c r="G58" i="4"/>
  <c r="F58" i="4"/>
  <c r="D58" i="4"/>
  <c r="B58" i="4"/>
  <c r="A58" i="4"/>
  <c r="O56" i="4"/>
  <c r="M56" i="4"/>
  <c r="G56" i="4"/>
  <c r="F56" i="4"/>
  <c r="D56" i="4"/>
  <c r="B56" i="4"/>
  <c r="A56" i="4"/>
  <c r="O54" i="4"/>
  <c r="M54" i="4"/>
  <c r="G54" i="4"/>
  <c r="F54" i="4"/>
  <c r="D54" i="4"/>
  <c r="B54" i="4"/>
  <c r="A54" i="4"/>
  <c r="O52" i="4"/>
  <c r="M52" i="4"/>
  <c r="G52" i="4"/>
  <c r="F52" i="4"/>
  <c r="D52" i="4"/>
  <c r="B52" i="4"/>
  <c r="A52" i="4"/>
  <c r="O50" i="4"/>
  <c r="M50" i="4"/>
  <c r="G50" i="4"/>
  <c r="F50" i="4"/>
  <c r="D50" i="4"/>
  <c r="B50" i="4"/>
  <c r="A50" i="4"/>
  <c r="O48" i="4"/>
  <c r="M48" i="4"/>
  <c r="G48" i="4"/>
  <c r="F48" i="4"/>
  <c r="D48" i="4"/>
  <c r="B48" i="4"/>
  <c r="A48" i="4"/>
  <c r="O46" i="4"/>
  <c r="M46" i="4"/>
  <c r="G46" i="4"/>
  <c r="F46" i="4"/>
  <c r="D46" i="4"/>
  <c r="B46" i="4"/>
  <c r="A46" i="4"/>
  <c r="O44" i="4"/>
  <c r="M44" i="4"/>
  <c r="G44" i="4"/>
  <c r="F44" i="4"/>
  <c r="D44" i="4"/>
  <c r="B44" i="4"/>
  <c r="A44" i="4"/>
  <c r="O42" i="4"/>
  <c r="M42" i="4"/>
  <c r="G42" i="4"/>
  <c r="F42" i="4"/>
  <c r="D42" i="4"/>
  <c r="B42" i="4"/>
  <c r="A42" i="4"/>
  <c r="O40" i="4"/>
  <c r="M40" i="4"/>
  <c r="G40" i="4"/>
  <c r="F40" i="4"/>
  <c r="D40" i="4"/>
  <c r="B40" i="4"/>
  <c r="A40" i="4"/>
  <c r="O38" i="4"/>
  <c r="M38" i="4"/>
  <c r="G38" i="4"/>
  <c r="F38" i="4"/>
  <c r="D38" i="4"/>
  <c r="B38" i="4"/>
  <c r="A38" i="4"/>
  <c r="O36" i="4"/>
  <c r="M36" i="4"/>
  <c r="G36" i="4"/>
  <c r="F36" i="4"/>
  <c r="D36" i="4"/>
  <c r="B36" i="4"/>
  <c r="A36" i="4"/>
  <c r="O34" i="4"/>
  <c r="M34" i="4"/>
  <c r="G34" i="4"/>
  <c r="F34" i="4"/>
  <c r="D34" i="4"/>
  <c r="B34" i="4"/>
  <c r="A34" i="4"/>
  <c r="O32" i="4"/>
  <c r="M32" i="4"/>
  <c r="G32" i="4"/>
  <c r="F32" i="4"/>
  <c r="D32" i="4"/>
  <c r="B32" i="4"/>
  <c r="A32" i="4"/>
  <c r="O30" i="4"/>
  <c r="M30" i="4"/>
  <c r="G30" i="4"/>
  <c r="F30" i="4"/>
  <c r="D30" i="4"/>
  <c r="B30" i="4"/>
  <c r="A30" i="4"/>
  <c r="O28" i="4"/>
  <c r="M28" i="4"/>
  <c r="G28" i="4"/>
  <c r="F28" i="4"/>
  <c r="D28" i="4"/>
  <c r="B28" i="4"/>
  <c r="A28" i="4"/>
  <c r="O26" i="4"/>
  <c r="M26" i="4"/>
  <c r="G26" i="4"/>
  <c r="F26" i="4"/>
  <c r="D26" i="4"/>
  <c r="B26" i="4"/>
  <c r="A26" i="4"/>
  <c r="O24" i="4"/>
  <c r="M24" i="4"/>
  <c r="G24" i="4"/>
  <c r="F24" i="4"/>
  <c r="D24" i="4"/>
  <c r="B24" i="4"/>
  <c r="A24" i="4"/>
  <c r="O22" i="4"/>
  <c r="M22" i="4"/>
  <c r="G22" i="4"/>
  <c r="F22" i="4"/>
  <c r="D22" i="4"/>
  <c r="B22" i="4"/>
  <c r="A22" i="4"/>
  <c r="O20" i="4"/>
  <c r="M20" i="4"/>
  <c r="G20" i="4"/>
  <c r="F20" i="4"/>
  <c r="D20" i="4"/>
  <c r="B20" i="4"/>
  <c r="A20" i="4"/>
  <c r="O18" i="4"/>
  <c r="M18" i="4"/>
  <c r="G18" i="4"/>
  <c r="F18" i="4"/>
  <c r="D18" i="4"/>
  <c r="B18" i="4"/>
  <c r="A18" i="4"/>
  <c r="O16" i="4"/>
  <c r="M16" i="4"/>
  <c r="G16" i="4"/>
  <c r="F16" i="4"/>
  <c r="D16" i="4"/>
  <c r="B16" i="4"/>
  <c r="A16" i="4"/>
  <c r="O14" i="4"/>
  <c r="M14" i="4"/>
  <c r="G14" i="4"/>
  <c r="F14" i="4"/>
  <c r="D14" i="4"/>
  <c r="B14" i="4"/>
  <c r="A14" i="4"/>
  <c r="O12" i="4"/>
  <c r="M12" i="4"/>
  <c r="G12" i="4"/>
  <c r="F12" i="4"/>
  <c r="D12" i="4"/>
  <c r="B12" i="4"/>
  <c r="A12" i="4"/>
  <c r="O10" i="4"/>
  <c r="M10" i="4"/>
  <c r="G10" i="4"/>
  <c r="F10" i="4"/>
  <c r="D10" i="4"/>
  <c r="B10" i="4"/>
  <c r="A10" i="4"/>
  <c r="O8" i="4"/>
  <c r="M8" i="4"/>
  <c r="G8" i="4"/>
  <c r="F8" i="4"/>
  <c r="D8" i="4"/>
  <c r="B8" i="4"/>
  <c r="O6" i="4"/>
  <c r="M6" i="4"/>
  <c r="G6" i="4"/>
  <c r="D6" i="4"/>
  <c r="B6" i="4"/>
  <c r="M6" i="2" l="1"/>
  <c r="K6" i="2"/>
  <c r="J6" i="2"/>
  <c r="C6" i="2"/>
  <c r="E6" i="1"/>
  <c r="B6" i="1"/>
  <c r="F6" i="1" l="1"/>
  <c r="F6" i="4"/>
  <c r="J2" i="5"/>
  <c r="I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Syncovery</author>
  </authors>
  <commentList>
    <comment ref="I1" authorId="0" shapeId="0" xr:uid="{C0880860-9208-4F96-A847-1457FE8A0432}">
      <text>
        <r>
          <rPr>
            <b/>
            <sz val="9"/>
            <color indexed="81"/>
            <rFont val="Tahoma"/>
            <charset val="1"/>
          </rPr>
          <t>Ignored in SEPA Credit Transfers file layout Pain.001.001.03 - 202503</t>
        </r>
      </text>
    </comment>
    <comment ref="J1" authorId="0" shapeId="0" xr:uid="{3B944C10-5AEE-417E-9F35-9EF21D38A0B5}">
      <text>
        <r>
          <rPr>
            <b/>
            <sz val="9"/>
            <color indexed="81"/>
            <rFont val="Tahoma"/>
            <charset val="1"/>
          </rPr>
          <t>Ignored in SEPA Credit Transfers file layout Pain.001.001.03 - 202503</t>
        </r>
      </text>
    </comment>
    <comment ref="L1" authorId="0" shapeId="0" xr:uid="{718B0FB9-D575-4A8D-B33F-53B87CB137F8}">
      <text>
        <r>
          <rPr>
            <b/>
            <sz val="9"/>
            <color indexed="81"/>
            <rFont val="Tahoma"/>
            <charset val="1"/>
          </rPr>
          <t>Ignored in SEPA Credit Transfers file layout Pain.001.001.03 - 202503</t>
        </r>
      </text>
    </comment>
  </commentList>
</comments>
</file>

<file path=xl/sharedStrings.xml><?xml version="1.0" encoding="utf-8"?>
<sst xmlns="http://schemas.openxmlformats.org/spreadsheetml/2006/main" count="1047" uniqueCount="839">
  <si>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</si>
  <si>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</si>
  <si>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</si>
  <si>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</si>
  <si>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</si>
  <si>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</si>
  <si>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</si>
  <si>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</si>
  <si>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</si>
  <si>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</si>
  <si>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</si>
  <si>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</si>
  <si>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</si>
  <si>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</si>
  <si>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</si>
  <si>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</si>
  <si>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</si>
  <si>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</si>
  <si>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</si>
  <si>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</si>
  <si>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</si>
  <si>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</si>
  <si>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</si>
  <si>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</si>
  <si>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</si>
  <si>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</si>
  <si>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</si>
  <si>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</si>
  <si>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</si>
  <si>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</si>
  <si>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</si>
  <si>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</si>
  <si>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</si>
  <si>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</si>
  <si>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</si>
  <si>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</si>
  <si>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</si>
  <si>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</si>
  <si>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</si>
  <si>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</si>
  <si>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</si>
  <si>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</si>
  <si>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</si>
  <si>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</si>
  <si>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</si>
  <si>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</si>
  <si>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</si>
  <si>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</si>
  <si>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</si>
  <si>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</si>
  <si>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</si>
  <si>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</si>
  <si>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</si>
  <si>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</si>
  <si>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</si>
  <si>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</si>
  <si>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</si>
  <si>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</si>
  <si>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</si>
  <si>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</si>
  <si>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</si>
  <si>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</si>
  <si>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</si>
  <si>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</si>
  <si>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</si>
  <si>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</si>
  <si>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</si>
  <si>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</si>
  <si>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</si>
  <si>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</si>
  <si>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</si>
  <si>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</si>
  <si>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</si>
  <si>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</si>
  <si>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</si>
  <si>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</si>
  <si>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</si>
  <si>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</si>
  <si>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</si>
  <si>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</si>
  <si>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</si>
  <si>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</si>
  <si>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</si>
  <si>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</si>
  <si>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</si>
  <si>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1.00.00</t>
  </si>
  <si>
    <t>Document Name</t>
  </si>
  <si>
    <t>Version</t>
  </si>
  <si>
    <t>7.0</t>
  </si>
  <si>
    <t xml:space="preserve">Last updated: </t>
  </si>
  <si>
    <t xml:space="preserve"> Version</t>
  </si>
  <si>
    <t>This Excel SpreadSheet</t>
  </si>
  <si>
    <t>©</t>
  </si>
  <si>
    <t>Number of transactions</t>
  </si>
  <si>
    <t>FileName</t>
  </si>
  <si>
    <t>GUID</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</si>
  <si>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</si>
  <si>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</si>
  <si>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</si>
  <si>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</si>
  <si>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</si>
  <si>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t>Unreferenced: Notes</t>
  </si>
  <si>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</si>
  <si>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</si>
  <si>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</si>
  <si>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</si>
  <si>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</si>
  <si>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</si>
  <si>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</si>
  <si>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</si>
  <si>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</si>
  <si>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</si>
  <si>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</si>
  <si>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</si>
  <si>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</si>
  <si>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</si>
  <si>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</si>
  <si>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</si>
  <si>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</si>
  <si>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</si>
  <si>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</si>
  <si>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</si>
  <si>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</si>
  <si>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</si>
  <si>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</si>
  <si>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1.20.00</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</si>
  <si>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</si>
  <si>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</si>
  <si>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</si>
  <si>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</si>
  <si>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</si>
  <si>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</si>
  <si>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Address Line 1</t>
  </si>
  <si>
    <t>Length: 1-70
Content: ([A-Za-z0-9]|[+|\?|/|\-|:|\(|\)|\.|,|'|\s]){0,70}</t>
  </si>
  <si>
    <t>ADDRESS 1</t>
  </si>
  <si>
    <t>1.37.00</t>
  </si>
  <si>
    <t>Documention</t>
  </si>
  <si>
    <t>* Applied changes defined in the SEPA Credit Transfers file layout document dated 2022-03
* Added the button call the macro that blanked the CIR Worksheet</t>
  </si>
  <si>
    <t>1.37.01</t>
  </si>
  <si>
    <t>* Increased row count</t>
  </si>
  <si>
    <t>1.38.01</t>
  </si>
  <si>
    <t>Sept 2023</t>
  </si>
  <si>
    <t>PstlAdr:StrtNm</t>
  </si>
  <si>
    <t>Street Name  (Optional)</t>
  </si>
  <si>
    <t>PstlAdr:BldgNb</t>
  </si>
  <si>
    <t>Building Number (Optional)</t>
  </si>
  <si>
    <t>PstlAdr:BldgNm</t>
  </si>
  <si>
    <t>Building Name (Optional)</t>
  </si>
  <si>
    <t>PstlAdr:PstCd</t>
  </si>
  <si>
    <t>Postal Code (Optional)</t>
  </si>
  <si>
    <t>PstlAdr:TwnNm</t>
  </si>
  <si>
    <t>Town Name (Mandatory)</t>
  </si>
  <si>
    <t>PstlAdr:Ctry</t>
  </si>
  <si>
    <t>Country Code (Mandatory)</t>
  </si>
  <si>
    <t>Optional: Street Name</t>
  </si>
  <si>
    <t>Optional: Building Number</t>
  </si>
  <si>
    <t>Optional: Building Name</t>
  </si>
  <si>
    <t>Optional: Postal Code</t>
  </si>
  <si>
    <t>Town Name</t>
  </si>
  <si>
    <t>Country</t>
  </si>
  <si>
    <t>MT</t>
  </si>
  <si>
    <t>Valletta</t>
  </si>
  <si>
    <t>2.00.00</t>
  </si>
  <si>
    <t>ACB, 2020-2025</t>
  </si>
  <si>
    <t>* Updates as described by SEPA Credit Transfers file layout Pain.001.001.03 v 8.5 dated 01/09/2023</t>
  </si>
  <si>
    <t>Name</t>
  </si>
  <si>
    <t>Code</t>
  </si>
  <si>
    <t>Afghanistan</t>
  </si>
  <si>
    <t>AF</t>
  </si>
  <si>
    <t>Ã…land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</si>
  <si>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</si>
  <si>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</si>
  <si>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</si>
  <si>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</si>
  <si>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</si>
  <si>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</si>
  <si>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</si>
  <si>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</si>
  <si>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</si>
  <si>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</si>
  <si>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</si>
  <si>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</si>
  <si>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</si>
  <si>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</si>
  <si>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</si>
  <si>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</si>
  <si>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</si>
  <si>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</si>
  <si>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</si>
  <si>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</si>
  <si>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</si>
  <si>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</si>
  <si>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</si>
  <si>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</si>
  <si>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</si>
  <si>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</si>
  <si>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</si>
  <si>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</si>
  <si>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</si>
  <si>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</si>
  <si>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</si>
  <si>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</si>
  <si>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</si>
  <si>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</si>
  <si>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</si>
  <si>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</si>
  <si>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</si>
  <si>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</si>
  <si>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</si>
  <si>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</si>
  <si>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</si>
  <si>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</si>
  <si>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</si>
  <si>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</si>
  <si>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</si>
  <si>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</si>
  <si>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</si>
  <si>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</si>
  <si>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</si>
  <si>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 Plurinational State of</t>
  </si>
  <si>
    <t>BO</t>
  </si>
  <si>
    <t>Bonaire, Sint Eustatius and Saba</t>
  </si>
  <si>
    <t>BQ</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</si>
  <si>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</si>
  <si>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</si>
  <si>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</si>
  <si>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</si>
  <si>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</si>
  <si>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</si>
  <si>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</si>
  <si>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</si>
  <si>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</si>
  <si>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</si>
  <si>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</si>
  <si>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</si>
  <si>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</si>
  <si>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</si>
  <si>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</si>
  <si>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</si>
  <si>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</si>
  <si>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</si>
  <si>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</si>
  <si>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</si>
  <si>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</si>
  <si>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</si>
  <si>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</si>
  <si>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</si>
  <si>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</si>
  <si>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</si>
  <si>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</si>
  <si>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</si>
  <si>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</si>
  <si>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</si>
  <si>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</si>
  <si>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</si>
  <si>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</si>
  <si>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</si>
  <si>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</si>
  <si>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</si>
  <si>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</si>
  <si>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</si>
  <si>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</si>
  <si>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</si>
  <si>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</si>
  <si>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</si>
  <si>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</si>
  <si>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</si>
  <si>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</si>
  <si>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</si>
  <si>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</si>
  <si>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</si>
  <si>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</si>
  <si>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</si>
  <si>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</si>
  <si>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</si>
  <si>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CÃ´te d'Ivoire</t>
  </si>
  <si>
    <t>CI</t>
  </si>
  <si>
    <t>Croatia</t>
  </si>
  <si>
    <t>HR</t>
  </si>
  <si>
    <t>Cuba</t>
  </si>
  <si>
    <t>CU</t>
  </si>
  <si>
    <t>CuraÃ§ao</t>
  </si>
  <si>
    <t>CW</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</si>
  <si>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</si>
  <si>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</si>
  <si>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</si>
  <si>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</si>
  <si>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</si>
  <si>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</si>
  <si>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</si>
  <si>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</si>
  <si>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</si>
  <si>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</si>
  <si>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</si>
  <si>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</si>
  <si>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</si>
  <si>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</si>
  <si>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</si>
  <si>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</si>
  <si>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</si>
  <si>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</si>
  <si>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</si>
  <si>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</si>
  <si>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</si>
  <si>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</si>
  <si>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</si>
  <si>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</si>
  <si>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</si>
  <si>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</si>
  <si>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</si>
  <si>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</si>
  <si>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</si>
  <si>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</si>
  <si>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</si>
  <si>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</si>
  <si>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</si>
  <si>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</si>
  <si>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</si>
  <si>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</si>
  <si>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</si>
  <si>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</si>
  <si>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</si>
  <si>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</si>
  <si>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</si>
  <si>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</si>
  <si>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</si>
  <si>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</si>
  <si>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</si>
  <si>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</si>
  <si>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</si>
  <si>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</si>
  <si>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</si>
  <si>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</si>
  <si>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</si>
  <si>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</si>
  <si>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</si>
  <si>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</si>
  <si>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</si>
  <si>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</si>
  <si>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</si>
  <si>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</si>
  <si>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</si>
  <si>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</si>
  <si>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</si>
  <si>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</si>
  <si>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</si>
  <si>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</si>
  <si>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</si>
  <si>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</si>
  <si>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</si>
  <si>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</si>
  <si>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</si>
  <si>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</si>
  <si>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</si>
  <si>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</si>
  <si>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</si>
  <si>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</si>
  <si>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</si>
  <si>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</si>
  <si>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</si>
  <si>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</si>
  <si>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</si>
  <si>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</si>
  <si>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</si>
  <si>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</si>
  <si>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</si>
  <si>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</si>
  <si>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</si>
  <si>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</si>
  <si>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</si>
  <si>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</si>
  <si>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</si>
  <si>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</si>
  <si>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</si>
  <si>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</si>
  <si>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</si>
  <si>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</si>
  <si>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</si>
  <si>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</si>
  <si>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</si>
  <si>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</si>
  <si>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</si>
  <si>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</si>
  <si>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</si>
  <si>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</si>
  <si>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</si>
  <si>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</si>
  <si>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</si>
  <si>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</si>
  <si>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</si>
  <si>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</si>
  <si>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</si>
  <si>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</si>
  <si>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</si>
  <si>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</si>
  <si>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</si>
  <si>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</si>
  <si>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</si>
  <si>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</si>
  <si>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</si>
  <si>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</si>
  <si>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</si>
  <si>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</si>
  <si>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</si>
  <si>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</si>
  <si>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</si>
  <si>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</si>
  <si>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</si>
  <si>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</si>
  <si>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</si>
  <si>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</si>
  <si>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</si>
  <si>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</si>
  <si>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</si>
  <si>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</si>
  <si>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</si>
  <si>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</si>
  <si>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</si>
  <si>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</si>
  <si>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</si>
  <si>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</si>
  <si>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</si>
  <si>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</si>
  <si>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</si>
  <si>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</si>
  <si>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</si>
  <si>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</si>
  <si>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</si>
  <si>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</si>
  <si>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</si>
  <si>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</si>
  <si>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</si>
  <si>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</si>
  <si>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</si>
  <si>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</si>
  <si>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</si>
  <si>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</si>
  <si>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</si>
  <si>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</si>
  <si>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</si>
  <si>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</si>
  <si>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</si>
  <si>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</si>
  <si>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</si>
  <si>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</si>
  <si>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</si>
  <si>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</si>
  <si>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</si>
  <si>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</si>
  <si>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</si>
  <si>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</si>
  <si>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</si>
  <si>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</si>
  <si>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</si>
  <si>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</si>
  <si>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</si>
  <si>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</si>
  <si>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</si>
  <si>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</si>
  <si>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</si>
  <si>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</si>
  <si>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</si>
  <si>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Montenegro</t>
  </si>
  <si>
    <t>ME</t>
  </si>
  <si>
    <t>Montserrat</t>
  </si>
  <si>
    <t>MS</t>
  </si>
  <si>
    <t>Morocco</t>
  </si>
  <si>
    <t>MA</t>
  </si>
  <si>
    <t>Mozambique</t>
  </si>
  <si>
    <t>MZ</t>
  </si>
  <si>
    <t>Myanmar</t>
  </si>
  <si>
    <t>MM</t>
  </si>
  <si>
    <t>Namibia</t>
  </si>
  <si>
    <t>NA</t>
  </si>
  <si>
    <t>Nauru</t>
  </si>
  <si>
    <t>NR</t>
  </si>
  <si>
    <t>Nepal</t>
  </si>
  <si>
    <t>NP</t>
  </si>
  <si>
    <t>Netherlands</t>
  </si>
  <si>
    <t>NL</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</si>
  <si>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</si>
  <si>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</si>
  <si>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</si>
  <si>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</si>
  <si>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</si>
  <si>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</si>
  <si>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</si>
  <si>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</si>
  <si>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</si>
  <si>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</si>
  <si>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</si>
  <si>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</si>
  <si>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</si>
  <si>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</si>
  <si>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</si>
  <si>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</si>
  <si>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</si>
  <si>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</si>
  <si>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</si>
  <si>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</si>
  <si>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</si>
  <si>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</si>
  <si>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</si>
  <si>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</si>
  <si>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Palestine, State of</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</si>
  <si>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</si>
  <si>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</si>
  <si>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</si>
  <si>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</si>
  <si>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</si>
  <si>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</si>
  <si>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</si>
  <si>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</si>
  <si>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</si>
  <si>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</si>
  <si>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</si>
  <si>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</si>
  <si>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</si>
  <si>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</si>
  <si>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</si>
  <si>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</si>
  <si>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</si>
  <si>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</si>
  <si>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</si>
  <si>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</si>
  <si>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</si>
  <si>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RÃ©union</t>
  </si>
  <si>
    <t>RE</t>
  </si>
  <si>
    <t>Romania</t>
  </si>
  <si>
    <t>RO</t>
  </si>
  <si>
    <t>Russian Federation</t>
  </si>
  <si>
    <t>RU</t>
  </si>
  <si>
    <t>Rwanda</t>
  </si>
  <si>
    <t>RW</t>
  </si>
  <si>
    <t>Saint BarthÃ©lemy</t>
  </si>
  <si>
    <t>BL</t>
  </si>
  <si>
    <t>Saint Helena, Ascension and Tristan da Cunha</t>
  </si>
  <si>
    <t>SH</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</si>
  <si>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</si>
  <si>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</si>
  <si>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</si>
  <si>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</si>
  <si>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</si>
  <si>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</si>
  <si>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</si>
  <si>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</si>
  <si>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</si>
  <si>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</si>
  <si>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</si>
  <si>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</si>
  <si>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</si>
  <si>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</si>
  <si>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</si>
  <si>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</si>
  <si>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</si>
  <si>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SA</t>
  </si>
  <si>
    <t>Senegal</t>
  </si>
  <si>
    <t>SN</t>
  </si>
  <si>
    <t>Serbia</t>
  </si>
  <si>
    <t>RS</t>
  </si>
  <si>
    <t>Seychelles</t>
  </si>
  <si>
    <t>SC</t>
  </si>
  <si>
    <t>Sierra Leone</t>
  </si>
  <si>
    <t>SL</t>
  </si>
  <si>
    <t>Singapore</t>
  </si>
  <si>
    <t>SG</t>
  </si>
  <si>
    <t>Sint Maarten (Dutch part)</t>
  </si>
  <si>
    <t>SX</t>
  </si>
  <si>
    <t>Slovakia</t>
  </si>
  <si>
    <t>SK</t>
  </si>
  <si>
    <t>Slovenia</t>
  </si>
  <si>
    <t>SI</t>
  </si>
  <si>
    <t>Solomon Islands</t>
  </si>
  <si>
    <t>SB</t>
  </si>
  <si>
    <t>Somalia</t>
  </si>
  <si>
    <t>SO</t>
  </si>
  <si>
    <t>South Africa</t>
  </si>
  <si>
    <t>ZA</t>
  </si>
  <si>
    <t>South Georgia and the South Sandwich Islands</t>
  </si>
  <si>
    <t>GS</t>
  </si>
  <si>
    <t>South Sudan</t>
  </si>
  <si>
    <t>SS</t>
  </si>
  <si>
    <t>Spain</t>
  </si>
  <si>
    <t>ES</t>
  </si>
  <si>
    <t>Sri Lanka</t>
  </si>
  <si>
    <t>LK</t>
  </si>
  <si>
    <t>Sudan</t>
  </si>
  <si>
    <t>SD</t>
  </si>
  <si>
    <t>Suriname</t>
  </si>
  <si>
    <t>SR</t>
  </si>
  <si>
    <t>Svalbard and Jan Mayen</t>
  </si>
  <si>
    <t>SJ</t>
  </si>
  <si>
    <t>Eswatini</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</si>
  <si>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</si>
  <si>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</si>
  <si>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</si>
  <si>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</si>
  <si>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</si>
  <si>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</si>
  <si>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</si>
  <si>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</si>
  <si>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</si>
  <si>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</si>
  <si>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</si>
  <si>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</si>
  <si>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</si>
  <si>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</si>
  <si>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</si>
  <si>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</si>
  <si>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</si>
  <si>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</si>
  <si>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</si>
  <si>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</si>
  <si>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</si>
  <si>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</si>
  <si>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</si>
  <si>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</si>
  <si>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</si>
  <si>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</si>
  <si>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</si>
  <si>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</si>
  <si>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</si>
  <si>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</si>
  <si>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</si>
  <si>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</si>
  <si>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</si>
  <si>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</si>
  <si>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</si>
  <si>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</si>
  <si>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</si>
  <si>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</si>
  <si>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</si>
  <si>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</si>
  <si>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</si>
  <si>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</si>
  <si>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</si>
  <si>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</si>
  <si>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</si>
  <si>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</si>
  <si>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</si>
  <si>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</si>
  <si>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</si>
  <si>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</si>
  <si>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</si>
  <si>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</si>
  <si>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</si>
  <si>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 Bolivarian Republic of</t>
  </si>
  <si>
    <t>VE</t>
  </si>
  <si>
    <t>Viet Nam</t>
  </si>
  <si>
    <t>VN</t>
  </si>
  <si>
    <t>Virgin Islands, British</t>
  </si>
  <si>
    <t>VG</t>
  </si>
  <si>
    <t>Virgin Islands, U.S.</t>
  </si>
  <si>
    <t>VI</t>
  </si>
  <si>
    <t>Wallis and Futuna</t>
  </si>
  <si>
    <t>WF</t>
  </si>
  <si>
    <t>Western Sahara</t>
  </si>
  <si>
    <t>EH</t>
  </si>
  <si>
    <t>Yemen</t>
  </si>
  <si>
    <t>YE</t>
  </si>
  <si>
    <t>Zambia</t>
  </si>
  <si>
    <t>ZM</t>
  </si>
  <si>
    <t>Zimbabwe</t>
  </si>
  <si>
    <t>ZW</t>
  </si>
  <si>
    <t>Source: https://www.centralbankmalta.org/iban  (2025-05-17)</t>
  </si>
  <si>
    <t>BIC Found in IBAN (4 Characters)</t>
  </si>
  <si>
    <t>Full BIC (8 Characters)</t>
  </si>
  <si>
    <t>Financial Institution Name</t>
  </si>
  <si>
    <t>ABNG</t>
  </si>
  <si>
    <t>ABNGMTMT</t>
  </si>
  <si>
    <t>Access Bank Malta Limited</t>
  </si>
  <si>
    <t>AGRK</t>
  </si>
  <si>
    <t>AGRKMTMT</t>
  </si>
  <si>
    <t>AgriBank plc.</t>
  </si>
  <si>
    <t>AKBK</t>
  </si>
  <si>
    <t>AKBKMTMT</t>
  </si>
  <si>
    <t>Akbank T.A.S.</t>
  </si>
  <si>
    <t>APAH</t>
  </si>
  <si>
    <t>APAHMTMT</t>
  </si>
  <si>
    <t>Alpha FX Europe Limited</t>
  </si>
  <si>
    <t>ALUN</t>
  </si>
  <si>
    <t>ALUNMTM2</t>
  </si>
  <si>
    <t>Alunafi Ltd</t>
  </si>
  <si>
    <t>ANFV</t>
  </si>
  <si>
    <t>ANFVMTMM</t>
  </si>
  <si>
    <t>Andaria Financial Services ltd.</t>
  </si>
  <si>
    <t>APSB</t>
  </si>
  <si>
    <t>APSBMTMT</t>
  </si>
  <si>
    <t>APS Bank ltd.</t>
  </si>
  <si>
    <t>VALL</t>
  </si>
  <si>
    <t>Bank of Valletta plc.</t>
  </si>
  <si>
    <t>BLLG</t>
  </si>
  <si>
    <t xml:space="preserve">BLLGMTMB </t>
  </si>
  <si>
    <t>Ballinger Group - Europe</t>
  </si>
  <si>
    <t>BLLGMTMT</t>
  </si>
  <si>
    <t>Ballinger Markets Ltd</t>
  </si>
  <si>
    <t>BNIF</t>
  </si>
  <si>
    <t>BNIFMTMT</t>
  </si>
  <si>
    <t>BNF Bank plc.</t>
  </si>
  <si>
    <t>MALT</t>
  </si>
  <si>
    <t>MALTMTMT</t>
  </si>
  <si>
    <t xml:space="preserve">Central Bank of Malta </t>
  </si>
  <si>
    <t>FBHL</t>
  </si>
  <si>
    <t>FBHLMTMT</t>
  </si>
  <si>
    <t>Credit Europe Bank N.V.</t>
  </si>
  <si>
    <t>CRXB</t>
  </si>
  <si>
    <t>CRXBMTMT</t>
  </si>
  <si>
    <t>Credorax Bank ltd.</t>
  </si>
  <si>
    <t>ECMB</t>
  </si>
  <si>
    <t>ECMBMTMT</t>
  </si>
  <si>
    <t>ECCM Bank plc.</t>
  </si>
  <si>
    <t>EMON</t>
  </si>
  <si>
    <t>EMONMTM2</t>
  </si>
  <si>
    <t>Emoney plc.</t>
  </si>
  <si>
    <t>EMSY</t>
  </si>
  <si>
    <t>EMSYMTM1</t>
  </si>
  <si>
    <t>EMP Systems ltd.</t>
  </si>
  <si>
    <t>FCMF</t>
  </si>
  <si>
    <t>FCMFMTMT</t>
  </si>
  <si>
    <t>FCM Bank ltd.</t>
  </si>
  <si>
    <t>FEMA</t>
  </si>
  <si>
    <t>FEMAMTMT</t>
  </si>
  <si>
    <t>Multitude Bank p.l.c</t>
  </si>
  <si>
    <t>FEMAMTMA</t>
  </si>
  <si>
    <t>FFSM</t>
  </si>
  <si>
    <t>FFSMMTM1</t>
  </si>
  <si>
    <t>Fexserv Financial Services ltd.</t>
  </si>
  <si>
    <t>FIMB</t>
  </si>
  <si>
    <t>FIMBMTM3</t>
  </si>
  <si>
    <t>Fimbank plc.</t>
  </si>
  <si>
    <t>PAUU</t>
  </si>
  <si>
    <t>PAUUMTM1</t>
  </si>
  <si>
    <t>FinXP ltd.</t>
  </si>
  <si>
    <t>PYMX</t>
  </si>
  <si>
    <t>PYMXMTMTXXX</t>
  </si>
  <si>
    <t>Finance Incorporated ltd.</t>
  </si>
  <si>
    <t>PYMXMTMTMAL</t>
  </si>
  <si>
    <t>FIND</t>
  </si>
  <si>
    <t>FINDMTMT</t>
  </si>
  <si>
    <t>Finductive ltd.</t>
  </si>
  <si>
    <t>MMEB</t>
  </si>
  <si>
    <t>MMEBMTMT</t>
  </si>
  <si>
    <t>HSBC Bank Malta plc.</t>
  </si>
  <si>
    <t>IIGB</t>
  </si>
  <si>
    <t>IIGBMTMT</t>
  </si>
  <si>
    <t>IIG Bank ltd.</t>
  </si>
  <si>
    <t>ICDR</t>
  </si>
  <si>
    <t>ICDRMTMT</t>
  </si>
  <si>
    <t>Insignia Cards Ltd.</t>
  </si>
  <si>
    <t>IZOL</t>
  </si>
  <si>
    <t>IZOLMTMT</t>
  </si>
  <si>
    <t>Izola Bank ltd.</t>
  </si>
  <si>
    <t>LBMA</t>
  </si>
  <si>
    <t>LBMAMTMT</t>
  </si>
  <si>
    <t>Lombard Bank Malta plc.</t>
  </si>
  <si>
    <t>MBWM</t>
  </si>
  <si>
    <t>MBWMMTMT</t>
  </si>
  <si>
    <t>MeDirect Bank (Malta) plc.</t>
  </si>
  <si>
    <t>MLLK</t>
  </si>
  <si>
    <t>MLLKMTM2</t>
  </si>
  <si>
    <t>Mellifera Kartiera Limited</t>
  </si>
  <si>
    <t>MLLKMTMT</t>
  </si>
  <si>
    <t>MFCB</t>
  </si>
  <si>
    <t>MFCBMTMS</t>
  </si>
  <si>
    <t>Merkanti Bank ltd.</t>
  </si>
  <si>
    <t>CCUH</t>
  </si>
  <si>
    <t>CCUHMTMT</t>
  </si>
  <si>
    <t>Moneybase ltd.</t>
  </si>
  <si>
    <t>CCUHMTMTMBB</t>
  </si>
  <si>
    <t>MCPI</t>
  </si>
  <si>
    <t>MCPIMTM1</t>
  </si>
  <si>
    <t>MoneyPlus Card Payment Institution ltd.</t>
  </si>
  <si>
    <t>MTCC</t>
  </si>
  <si>
    <t>MTCCMTMT</t>
  </si>
  <si>
    <t>MTACC ltd.</t>
  </si>
  <si>
    <t>FNNB</t>
  </si>
  <si>
    <t>FNNBMTMT</t>
  </si>
  <si>
    <t>NBG Bank Malta ltd.</t>
  </si>
  <si>
    <t>VOCB</t>
  </si>
  <si>
    <t>VOCBMTMT</t>
  </si>
  <si>
    <t>Novum Bank ltd.</t>
  </si>
  <si>
    <t>CFTE</t>
  </si>
  <si>
    <t>CFTEMTM1</t>
  </si>
  <si>
    <t>OpenPayd Financial Services Malta ltd.</t>
  </si>
  <si>
    <t>PAPY</t>
  </si>
  <si>
    <t>PAPYMTMT</t>
  </si>
  <si>
    <t>Papaya ltd.</t>
  </si>
  <si>
    <t>PHPY</t>
  </si>
  <si>
    <t>PHPYMTM1</t>
  </si>
  <si>
    <t>Phoenix Payments ltd.</t>
  </si>
  <si>
    <t>SBMT</t>
  </si>
  <si>
    <t>SBMTMTMT</t>
  </si>
  <si>
    <t>Sparkasse Bank Malta plc.</t>
  </si>
  <si>
    <t>SYPL</t>
  </si>
  <si>
    <t>SYPLMTM2XXX</t>
  </si>
  <si>
    <t>System Pay Services (Malta) Limited</t>
  </si>
  <si>
    <t>TPML</t>
  </si>
  <si>
    <t>TPMLMTMT</t>
  </si>
  <si>
    <t>Transact Payments Malta Ltd.</t>
  </si>
  <si>
    <t>TRPE</t>
  </si>
  <si>
    <t>TRPEMTM1</t>
  </si>
  <si>
    <t>Truevo Payments ltd.</t>
  </si>
  <si>
    <t>TRPEMTMT</t>
  </si>
  <si>
    <t>TRUM</t>
  </si>
  <si>
    <t>TRUMMTM2</t>
  </si>
  <si>
    <t xml:space="preserve">Trumia Limited </t>
  </si>
  <si>
    <t>APAY</t>
  </si>
  <si>
    <t>APAYMTMT</t>
  </si>
  <si>
    <t>Trust Payments (Malta) Ltd.</t>
  </si>
  <si>
    <t>TGBA</t>
  </si>
  <si>
    <t>TGBAMTMT</t>
  </si>
  <si>
    <t>Turkiye Garanti Bankasi AS</t>
  </si>
  <si>
    <t>UNOG</t>
  </si>
  <si>
    <t>UNOGMTM1</t>
  </si>
  <si>
    <t>UnionGoldenPay ltd.</t>
  </si>
  <si>
    <t>VPAY</t>
  </si>
  <si>
    <t>VPAYMTM2</t>
  </si>
  <si>
    <t>Viva Payment Services S.A.</t>
  </si>
  <si>
    <t>COPX</t>
  </si>
  <si>
    <t>COPXMTMT</t>
  </si>
  <si>
    <t>W and J Coppini and Co.</t>
  </si>
  <si>
    <t>TGBP</t>
  </si>
  <si>
    <t>TGBPMTMT</t>
  </si>
  <si>
    <t>Convera Malta Financial Limited</t>
  </si>
  <si>
    <t>YAPI</t>
  </si>
  <si>
    <t>YAPIMTMT</t>
  </si>
  <si>
    <t>Yapi Kredi Bank Malta ltd.</t>
  </si>
  <si>
    <t xml:space="preserve">The list of codes found in section 10 below </t>
  </si>
  <si>
    <r>
      <t xml:space="preserve">Enter IBAN Code or 
import from Client Payee Data
</t>
    </r>
    <r>
      <rPr>
        <b/>
        <sz val="9"/>
        <color theme="4" tint="-0.499984740745262"/>
        <rFont val="Calibri"/>
        <family val="2"/>
        <scheme val="minor"/>
      </rPr>
      <t>=VLOOKUP("A/C",Payee,2,FALSE)</t>
    </r>
  </si>
  <si>
    <r>
      <t xml:space="preserve">Length: 1-70
Content: ([A-Za-z0-9]|[+|\?|/|\-|:|\(|\)|\.|,|'|\s]){1,70}
</t>
    </r>
    <r>
      <rPr>
        <sz val="9"/>
        <color theme="4" tint="-0.499984740745262"/>
        <rFont val="Calibri"/>
        <family val="2"/>
        <scheme val="minor"/>
      </rPr>
      <t xml:space="preserve">Enter Creditor Name or 
import from Client Payee Data
</t>
    </r>
    <r>
      <rPr>
        <b/>
        <sz val="9"/>
        <color theme="4" tint="-0.499984740745262"/>
        <rFont val="Calibri"/>
        <family val="2"/>
        <scheme val="minor"/>
      </rPr>
      <t>=VLOOKUP("A/C",Payee,3,FALSE)</t>
    </r>
  </si>
  <si>
    <r>
      <t xml:space="preserve">Length: 0-70
Content: ([A-Za-z0-9]|[+|\?|/|\-|:|\(|\)|\.|,|'|\s]){0,70}
</t>
    </r>
    <r>
      <rPr>
        <sz val="9"/>
        <color theme="4" tint="-0.499984740745262"/>
        <rFont val="Calibri"/>
        <family val="2"/>
        <scheme val="minor"/>
      </rPr>
      <t xml:space="preserve">Enter Street Name or 
import from Client Payee Data
</t>
    </r>
    <r>
      <rPr>
        <b/>
        <sz val="9"/>
        <color theme="4" tint="-0.499984740745262"/>
        <rFont val="Calibri"/>
        <family val="2"/>
        <scheme val="minor"/>
      </rPr>
      <t>=VLOOKUP("A/C",Payee,4,FALSE)</t>
    </r>
  </si>
  <si>
    <r>
      <t xml:space="preserve">Length: 1-16 (Optional)
Content: ([A-Za-z0-9]|[+|\?|/|\-|:|\(|\)|\.|,|'|\s]){1,16}
</t>
    </r>
    <r>
      <rPr>
        <sz val="9"/>
        <color theme="4" tint="-0.499984740745262"/>
        <rFont val="Calibri"/>
        <family val="2"/>
        <scheme val="minor"/>
      </rPr>
      <t xml:space="preserve">Enter Building Number or 
import from Client Payee Data
</t>
    </r>
    <r>
      <rPr>
        <b/>
        <sz val="9"/>
        <color theme="4" tint="-0.499984740745262"/>
        <rFont val="Calibri"/>
        <family val="2"/>
        <scheme val="minor"/>
      </rPr>
      <t>=VLOOKUP("A/C",Payee,5,FALSE)</t>
    </r>
  </si>
  <si>
    <r>
      <t xml:space="preserve">Length: 1-35 (Optional)
Content: ([A-Za-z0-9]|[+|\?|/|\-|:|\(|\)|\.|,|'|\s]){1,35}
</t>
    </r>
    <r>
      <rPr>
        <sz val="9"/>
        <color theme="4" tint="-0.499984740745262"/>
        <rFont val="Calibri"/>
        <family val="2"/>
        <scheme val="minor"/>
      </rPr>
      <t xml:space="preserve">Enter Building Name or 
import from Client Payee Data
</t>
    </r>
    <r>
      <rPr>
        <b/>
        <sz val="9"/>
        <color theme="4" tint="-0.499984740745262"/>
        <rFont val="Calibri"/>
        <family val="2"/>
        <scheme val="minor"/>
      </rPr>
      <t>=VLOOKUP("A/C",Payee,6,FALSE)</t>
    </r>
  </si>
  <si>
    <r>
      <t xml:space="preserve">Length: 1-16 (Optional)
Content: ([A-Za-z0-9]|[+|\?|/|\-|:|\(|\)|\.|,|'|\s]){1,16}
</t>
    </r>
    <r>
      <rPr>
        <sz val="9"/>
        <color theme="4" tint="-0.499984740745262"/>
        <rFont val="Calibri"/>
        <family val="2"/>
        <scheme val="minor"/>
      </rPr>
      <t xml:space="preserve">Enter Postal Code or 
import from Client Payee Data
</t>
    </r>
    <r>
      <rPr>
        <b/>
        <sz val="9"/>
        <color theme="4" tint="-0.499984740745262"/>
        <rFont val="Calibri"/>
        <family val="2"/>
        <scheme val="minor"/>
      </rPr>
      <t>=VLOOKUP("A/C",Payee,7,FALSE)</t>
    </r>
  </si>
  <si>
    <r>
      <t xml:space="preserve">Length: 1-35 (Optional)
Content: ([A-Za-z0-9]|[+|\?|/|\-|:|\(|\)|\.|,|'|\s]){1,35}
</t>
    </r>
    <r>
      <rPr>
        <sz val="9"/>
        <color theme="4" tint="-0.499984740745262"/>
        <rFont val="Calibri"/>
        <family val="2"/>
        <scheme val="minor"/>
      </rPr>
      <t xml:space="preserve">Enter Town Name or 
import from Client Payee Data
</t>
    </r>
    <r>
      <rPr>
        <b/>
        <sz val="9"/>
        <color theme="4" tint="-0.499984740745262"/>
        <rFont val="Calibri"/>
        <family val="2"/>
        <scheme val="minor"/>
      </rPr>
      <t>=VLOOKUP("A/C",Payee,8,FALSE)</t>
    </r>
  </si>
  <si>
    <r>
      <t xml:space="preserve">Content: [A-Z]{2,2}]
</t>
    </r>
    <r>
      <rPr>
        <sz val="9"/>
        <color theme="4" tint="-0.499984740745262"/>
        <rFont val="Calibri"/>
        <family val="2"/>
        <scheme val="minor"/>
      </rPr>
      <t xml:space="preserve">Enter Country Code or 
import from Client Payee Data
</t>
    </r>
    <r>
      <rPr>
        <b/>
        <sz val="9"/>
        <color theme="4" tint="-0.499984740745262"/>
        <rFont val="Calibri"/>
        <family val="2"/>
        <scheme val="minor"/>
      </rPr>
      <t>=VLOOKUP("A/C",Payee,9,FALSE)</t>
    </r>
  </si>
  <si>
    <r>
      <t xml:space="preserve">Enter IBAN Code manually
or 
import from Client Payee Data
</t>
    </r>
    <r>
      <rPr>
        <b/>
        <sz val="9"/>
        <color theme="4" tint="-0.499984740745262"/>
        <rFont val="Calibri"/>
        <family val="2"/>
        <scheme val="minor"/>
      </rPr>
      <t>=VLOOKUP("A/C",Payee,10,FALSE)</t>
    </r>
  </si>
  <si>
    <t xml:space="preserve">Payments Business Electronic Banking Services 
SEPA Credit Transfers file layout
Pain.001.001.09 v 8.7
</t>
  </si>
  <si>
    <t>* Updates as described by SEPA Credit Transfers file layout Pain.001.001.09 v 8.7 dated 23/01/2025
* Changes:
    * Payment Information Record worksheet (tag adjustments)
    * Credit Instruction Record worksheet (new tags added, tags renamed)
    * Client Payee Data worksheet (adjustment of tags to align with Credit Instruction Record worksheet)
    * Control Data (Hidden) worksheet. Added the list of country codes
    * Control Data (Hidden) worksheet. Adjusted Transaction date range
    * Log file generated if there are errors
    * Data conversion checks
    * XL formatting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</si>
</sst>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20">
    <font>
      <sz val="11"/>
      <color theme="1"/>
      <name val="Calibri"/>
      <family val="2"/>
      <charset val="1"/>
      <scheme val="minor"/>
    </font>
    <font>
      <sz val="11"/>
      <color theme="1"/>
      <name val="Calibri"/>
      <family val="2"/>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2"/>
      <color theme="1"/>
      <name val="Calibri"/>
      <family val="2"/>
      <charset val="1"/>
      <scheme val="minor"/>
    </font>
    <font>
      <b/>
      <sz val="36"/>
      <color theme="1"/>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
      <b/>
      <sz val="9"/>
      <color indexed="81"/>
      <name val="Tahoma"/>
      <charset val="1"/>
    </font>
    <font>
      <b/>
      <sz val="8"/>
      <color theme="1"/>
      <name val="Tahoma"/>
      <family val="2"/>
    </font>
    <font>
      <sz val="8"/>
      <name val="Tahoma"/>
      <family val="2"/>
    </font>
    <font>
      <sz val="9"/>
      <color theme="1"/>
      <name val="Calibri"/>
      <family val="2"/>
      <charset val="1"/>
      <scheme val="minor"/>
    </font>
    <font>
      <sz val="9"/>
      <color theme="1"/>
      <name val="Calibri"/>
      <family val="2"/>
      <scheme val="minor"/>
    </font>
    <font>
      <sz val="9"/>
      <color theme="4" tint="-0.499984740745262"/>
      <name val="Calibri"/>
      <family val="2"/>
      <scheme val="minor"/>
    </font>
    <font>
      <b/>
      <sz val="9"/>
      <color theme="4" tint="-0.499984740745262"/>
      <name val="Calibri"/>
      <family val="2"/>
      <scheme val="minor"/>
    </font>
    <font>
      <sz val="9"/>
      <color rgb="FFFF0000"/>
      <name val="Calibri"/>
      <family val="2"/>
      <charset val="1"/>
      <scheme val="minor"/>
    </font>
    <font>
      <sz val="9"/>
      <color theme="1"/>
      <name val="Arial Unicode MS"/>
      <family val="2"/>
    </font>
  </fonts>
  <fills count="10">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theme="4" tint="0.59996337778862885"/>
        <bgColor indexed="64"/>
      </patternFill>
    </fill>
  </fills>
  <borders count="4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medium">
        <color indexed="64"/>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medium">
        <color indexed="64"/>
      </left>
      <right style="thin">
        <color theme="0" tint="-0.34998626667073579"/>
      </right>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bottom style="medium">
        <color indexed="64"/>
      </bottom>
      <diagonal/>
    </border>
    <border>
      <left style="thin">
        <color theme="0" tint="-0.34998626667073579"/>
      </left>
      <right style="medium">
        <color indexed="64"/>
      </right>
      <top style="medium">
        <color indexed="64"/>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bottom style="thin">
        <color theme="0" tint="-0.3499862666707357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medium">
        <color indexed="64"/>
      </right>
      <top style="thin">
        <color theme="0" tint="-0.34998626667073579"/>
      </top>
      <bottom/>
      <diagonal/>
    </border>
    <border>
      <left style="medium">
        <color indexed="64"/>
      </left>
      <right style="thin">
        <color theme="0" tint="-0.34998626667073579"/>
      </right>
      <top/>
      <bottom/>
      <diagonal/>
    </border>
    <border>
      <left style="thin">
        <color theme="0" tint="-0.34998626667073579"/>
      </left>
      <right style="thin">
        <color theme="0" tint="-0.34998626667073579"/>
      </right>
      <top/>
      <bottom/>
      <diagonal/>
    </border>
    <border>
      <left/>
      <right style="medium">
        <color indexed="64"/>
      </right>
      <top style="thin">
        <color theme="0" tint="-0.34998626667073579"/>
      </top>
      <bottom/>
      <diagonal/>
    </border>
  </borders>
  <cellStyleXfs count="2">
    <xf numFmtId="0" fontId="0" fillId="0" borderId="0"/>
    <xf numFmtId="0" fontId="2" fillId="0" borderId="0"/>
  </cellStyleXfs>
  <cellXfs count="155">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3" fillId="0" borderId="0" xfId="0" applyFont="1" applyAlignment="1">
      <alignment vertical="top" wrapText="1"/>
    </xf>
    <xf numFmtId="0" fontId="3" fillId="2" borderId="0" xfId="0" applyFont="1" applyFill="1" applyAlignment="1">
      <alignment vertical="top" wrapText="1"/>
    </xf>
    <xf numFmtId="0" fontId="3" fillId="0" borderId="0" xfId="0" applyFont="1" applyAlignment="1">
      <alignment vertical="top"/>
    </xf>
    <xf numFmtId="0" fontId="4" fillId="0" borderId="0" xfId="0" applyFont="1"/>
    <xf numFmtId="0" fontId="4"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4" fillId="0" borderId="0" xfId="0" applyFont="1" applyAlignment="1">
      <alignment horizontal="center" vertical="center" wrapText="1"/>
    </xf>
    <xf numFmtId="49" fontId="0" fillId="2" borderId="3" xfId="0" applyNumberFormat="1" applyFill="1" applyBorder="1"/>
    <xf numFmtId="0" fontId="0" fillId="2" borderId="0" xfId="0" applyFill="1" applyAlignment="1">
      <alignment vertical="top"/>
    </xf>
    <xf numFmtId="3" fontId="0" fillId="2" borderId="2" xfId="0" applyNumberFormat="1" applyFill="1" applyBorder="1"/>
    <xf numFmtId="4" fontId="0" fillId="2" borderId="2" xfId="0" applyNumberFormat="1" applyFill="1" applyBorder="1"/>
    <xf numFmtId="49" fontId="0" fillId="2" borderId="2" xfId="0" applyNumberFormat="1" applyFill="1" applyBorder="1"/>
    <xf numFmtId="0" fontId="3" fillId="0" borderId="15" xfId="0" applyFont="1" applyBorder="1" applyAlignment="1">
      <alignment vertical="top" wrapText="1"/>
    </xf>
    <xf numFmtId="0" fontId="3" fillId="2" borderId="16" xfId="0" applyFont="1" applyFill="1" applyBorder="1" applyAlignment="1">
      <alignment vertical="top" wrapText="1"/>
    </xf>
    <xf numFmtId="0" fontId="3" fillId="0" borderId="16" xfId="0" applyFont="1" applyBorder="1" applyAlignment="1">
      <alignment vertical="top" wrapText="1"/>
    </xf>
    <xf numFmtId="0" fontId="3"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3" fillId="0" borderId="19" xfId="0" applyFont="1" applyBorder="1" applyAlignment="1">
      <alignment vertical="top" wrapText="1"/>
    </xf>
    <xf numFmtId="0" fontId="0" fillId="0" borderId="20" xfId="0" applyBorder="1" applyAlignment="1">
      <alignment vertical="top" wrapText="1"/>
    </xf>
    <xf numFmtId="0" fontId="0" fillId="3" borderId="1" xfId="0" applyFill="1" applyBorder="1" applyProtection="1">
      <protection locked="0"/>
    </xf>
    <xf numFmtId="0" fontId="0" fillId="0" borderId="1" xfId="0" applyBorder="1"/>
    <xf numFmtId="0" fontId="0" fillId="0" borderId="2" xfId="0" applyBorder="1"/>
    <xf numFmtId="0" fontId="0" fillId="0" borderId="3" xfId="0" applyBorder="1"/>
    <xf numFmtId="0" fontId="0" fillId="0" borderId="7" xfId="0" applyBorder="1" applyAlignment="1">
      <alignment vertical="top"/>
    </xf>
    <xf numFmtId="0" fontId="0" fillId="0" borderId="8" xfId="0" applyBorder="1" applyAlignment="1">
      <alignment vertical="top"/>
    </xf>
    <xf numFmtId="0" fontId="0" fillId="0" borderId="10" xfId="0" applyBorder="1"/>
    <xf numFmtId="0" fontId="0" fillId="0" borderId="12" xfId="0" applyBorder="1"/>
    <xf numFmtId="0" fontId="0" fillId="0" borderId="13" xfId="0" applyBorder="1"/>
    <xf numFmtId="0" fontId="0" fillId="0" borderId="2" xfId="0" applyBorder="1" applyAlignment="1">
      <alignment vertical="top" wrapText="1"/>
    </xf>
    <xf numFmtId="0" fontId="0" fillId="0" borderId="2" xfId="0" quotePrefix="1" applyBorder="1" applyAlignment="1">
      <alignment vertical="top" wrapText="1"/>
    </xf>
    <xf numFmtId="0" fontId="0" fillId="0" borderId="3" xfId="0" quotePrefix="1" applyBorder="1"/>
    <xf numFmtId="0" fontId="0" fillId="0" borderId="0" xfId="0" quotePrefix="1" applyAlignment="1">
      <alignment vertical="top" wrapText="1"/>
    </xf>
    <xf numFmtId="0" fontId="0" fillId="0" borderId="0" xfId="0" quotePrefix="1"/>
    <xf numFmtId="0" fontId="0" fillId="0" borderId="7" xfId="0" applyBorder="1"/>
    <xf numFmtId="0" fontId="0" fillId="0" borderId="8" xfId="0" applyBorder="1"/>
    <xf numFmtId="0" fontId="0" fillId="0" borderId="9" xfId="0" applyBorder="1"/>
    <xf numFmtId="0" fontId="0" fillId="0" borderId="14" xfId="0" applyBorder="1"/>
    <xf numFmtId="14" fontId="0" fillId="0" borderId="2" xfId="0" applyNumberFormat="1" applyBorder="1"/>
    <xf numFmtId="14" fontId="0" fillId="0" borderId="3" xfId="0" applyNumberFormat="1" applyBorder="1"/>
    <xf numFmtId="164" fontId="0" fillId="2" borderId="2" xfId="0" applyNumberFormat="1" applyFill="1" applyBorder="1"/>
    <xf numFmtId="0" fontId="0" fillId="0" borderId="0" xfId="0" applyProtection="1">
      <protection locked="0"/>
    </xf>
    <xf numFmtId="0" fontId="8" fillId="0" borderId="0" xfId="0" applyFont="1" applyAlignment="1">
      <alignment horizontal="center" vertical="center"/>
    </xf>
    <xf numFmtId="0" fontId="8"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8" fillId="0" borderId="0" xfId="0" applyFont="1" applyAlignment="1" applyProtection="1">
      <alignment horizontal="center" vertical="center" wrapText="1"/>
      <protection locked="0"/>
    </xf>
    <xf numFmtId="4" fontId="0" fillId="0" borderId="0" xfId="0" applyNumberFormat="1"/>
    <xf numFmtId="49" fontId="0" fillId="2" borderId="5" xfId="0" applyNumberFormat="1" applyFill="1" applyBorder="1"/>
    <xf numFmtId="49" fontId="0" fillId="2" borderId="6" xfId="0" applyNumberFormat="1" applyFill="1" applyBorder="1"/>
    <xf numFmtId="0" fontId="3" fillId="0" borderId="0" xfId="0" applyFont="1"/>
    <xf numFmtId="3" fontId="0" fillId="0" borderId="0" xfId="0" applyNumberFormat="1"/>
    <xf numFmtId="0" fontId="0" fillId="0" borderId="0" xfId="0" applyAlignment="1">
      <alignment horizontal="center"/>
    </xf>
    <xf numFmtId="0" fontId="0" fillId="0" borderId="0" xfId="0" applyAlignment="1">
      <alignment horizontal="center" vertical="center"/>
    </xf>
    <xf numFmtId="0" fontId="0" fillId="0" borderId="11" xfId="0" applyBorder="1"/>
    <xf numFmtId="4" fontId="0" fillId="0" borderId="13" xfId="0" applyNumberFormat="1" applyBorder="1"/>
    <xf numFmtId="0" fontId="4" fillId="0" borderId="0" xfId="0" applyFont="1" applyAlignment="1">
      <alignment horizontal="center" vertical="center"/>
    </xf>
    <xf numFmtId="0" fontId="0" fillId="0" borderId="0" xfId="0" applyAlignment="1" applyProtection="1">
      <alignment horizontal="center"/>
      <protection hidden="1"/>
    </xf>
    <xf numFmtId="0" fontId="0" fillId="7" borderId="0" xfId="0" applyFill="1"/>
    <xf numFmtId="0" fontId="0" fillId="7" borderId="0" xfId="0" applyFill="1" applyAlignment="1">
      <alignment vertical="top" wrapText="1"/>
    </xf>
    <xf numFmtId="3" fontId="0" fillId="7" borderId="5" xfId="0" applyNumberFormat="1" applyFill="1" applyBorder="1"/>
    <xf numFmtId="0" fontId="3" fillId="7" borderId="16" xfId="0" applyFont="1" applyFill="1" applyBorder="1" applyAlignment="1">
      <alignment vertical="top" wrapText="1"/>
    </xf>
    <xf numFmtId="0" fontId="0" fillId="7" borderId="19" xfId="0" applyFill="1" applyBorder="1"/>
    <xf numFmtId="49" fontId="0" fillId="7" borderId="5" xfId="0" applyNumberFormat="1" applyFill="1" applyBorder="1" applyProtection="1">
      <protection locked="0"/>
    </xf>
    <xf numFmtId="0" fontId="0" fillId="7" borderId="19" xfId="0" applyFill="1" applyBorder="1" applyAlignment="1">
      <alignment vertical="top" wrapText="1"/>
    </xf>
    <xf numFmtId="49" fontId="13" fillId="0" borderId="22" xfId="1" applyNumberFormat="1" applyFont="1" applyBorder="1" applyAlignment="1">
      <alignment horizontal="center" vertical="center"/>
    </xf>
    <xf numFmtId="49" fontId="13" fillId="0" borderId="25" xfId="1" applyNumberFormat="1" applyFont="1" applyBorder="1" applyAlignment="1">
      <alignment horizontal="center" vertical="center"/>
    </xf>
    <xf numFmtId="0" fontId="2" fillId="0" borderId="30" xfId="1" applyBorder="1"/>
    <xf numFmtId="0" fontId="2" fillId="0" borderId="21" xfId="1" applyBorder="1"/>
    <xf numFmtId="0" fontId="2" fillId="0" borderId="11" xfId="1" applyBorder="1"/>
    <xf numFmtId="0" fontId="2" fillId="0" borderId="36" xfId="1" applyBorder="1"/>
    <xf numFmtId="0" fontId="12" fillId="0" borderId="23" xfId="1" applyFont="1" applyBorder="1" applyAlignment="1">
      <alignment horizontal="center"/>
    </xf>
    <xf numFmtId="49" fontId="13" fillId="0" borderId="27" xfId="1" applyNumberFormat="1" applyFont="1" applyBorder="1" applyAlignment="1">
      <alignment horizontal="center" vertical="center"/>
    </xf>
    <xf numFmtId="0" fontId="2" fillId="0" borderId="29" xfId="1" applyBorder="1"/>
    <xf numFmtId="0" fontId="12" fillId="0" borderId="31" xfId="1" applyFont="1" applyBorder="1" applyAlignment="1">
      <alignment horizontal="center"/>
    </xf>
    <xf numFmtId="0" fontId="12" fillId="0" borderId="24" xfId="1" applyFont="1" applyBorder="1" applyAlignment="1">
      <alignment horizontal="center"/>
    </xf>
    <xf numFmtId="0" fontId="2" fillId="0" borderId="37" xfId="1" applyBorder="1"/>
    <xf numFmtId="0" fontId="12" fillId="0" borderId="26" xfId="1" applyFont="1" applyBorder="1" applyAlignment="1">
      <alignment horizontal="center"/>
    </xf>
    <xf numFmtId="49" fontId="13" fillId="0" borderId="28" xfId="1" applyNumberFormat="1" applyFont="1" applyBorder="1" applyAlignment="1">
      <alignment horizontal="center" vertical="center"/>
    </xf>
    <xf numFmtId="0" fontId="2" fillId="0" borderId="14" xfId="1" applyBorder="1"/>
    <xf numFmtId="0" fontId="12" fillId="0" borderId="38" xfId="1" applyFont="1" applyBorder="1" applyAlignment="1">
      <alignment horizontal="center"/>
    </xf>
    <xf numFmtId="49" fontId="13" fillId="0" borderId="39" xfId="1" applyNumberFormat="1" applyFont="1" applyBorder="1" applyAlignment="1">
      <alignment horizontal="center" vertical="center"/>
    </xf>
    <xf numFmtId="0" fontId="2" fillId="0" borderId="40" xfId="1" applyBorder="1"/>
    <xf numFmtId="0" fontId="14" fillId="0" borderId="0" xfId="0" applyFont="1" applyAlignment="1">
      <alignment vertical="top" wrapText="1"/>
    </xf>
    <xf numFmtId="0" fontId="14" fillId="2" borderId="0" xfId="0" applyFont="1" applyFill="1" applyAlignment="1">
      <alignment vertical="top" wrapText="1"/>
    </xf>
    <xf numFmtId="0" fontId="14" fillId="0" borderId="0" xfId="0" applyFont="1" applyAlignment="1">
      <alignment vertical="top"/>
    </xf>
    <xf numFmtId="0" fontId="15" fillId="0" borderId="0" xfId="0" applyFont="1" applyAlignment="1">
      <alignment vertical="top" wrapText="1"/>
    </xf>
    <xf numFmtId="0" fontId="15" fillId="2" borderId="0" xfId="0" applyFont="1" applyFill="1" applyAlignment="1">
      <alignment vertical="top" wrapText="1"/>
    </xf>
    <xf numFmtId="0" fontId="16" fillId="0" borderId="0" xfId="0" applyFont="1" applyAlignment="1">
      <alignment vertical="top" wrapText="1"/>
    </xf>
    <xf numFmtId="0" fontId="15" fillId="0" borderId="0" xfId="0" applyFont="1" applyAlignment="1">
      <alignment vertical="top"/>
    </xf>
    <xf numFmtId="0" fontId="18" fillId="0" borderId="0" xfId="0" applyFont="1" applyAlignment="1">
      <alignment vertical="top" wrapText="1"/>
    </xf>
    <xf numFmtId="0" fontId="18" fillId="2" borderId="0" xfId="0" applyFont="1" applyFill="1" applyAlignment="1">
      <alignment vertical="top" wrapText="1"/>
    </xf>
    <xf numFmtId="0" fontId="14" fillId="0" borderId="0" xfId="0" applyFont="1"/>
    <xf numFmtId="0" fontId="14" fillId="2" borderId="0" xfId="0" applyFont="1" applyFill="1"/>
    <xf numFmtId="0" fontId="19" fillId="0" borderId="0" xfId="0" applyFont="1" applyAlignment="1">
      <alignment vertical="center"/>
    </xf>
    <xf numFmtId="0" fontId="0" fillId="9" borderId="0" xfId="0" applyFill="1" applyProtection="1">
      <protection locked="0"/>
    </xf>
    <xf numFmtId="0" fontId="0" fillId="9" borderId="0" xfId="0" applyFill="1"/>
    <xf numFmtId="49" fontId="0" fillId="9" borderId="0" xfId="0" applyNumberFormat="1" applyFill="1"/>
    <xf numFmtId="0" fontId="10"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0"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0" fontId="7" fillId="4" borderId="10" xfId="0" applyFont="1" applyFill="1" applyBorder="1" applyAlignment="1">
      <alignment horizontal="center" vertical="center" wrapText="1"/>
    </xf>
    <xf numFmtId="0" fontId="7" fillId="4" borderId="0" xfId="0" applyFont="1" applyFill="1" applyAlignment="1">
      <alignment horizontal="center" vertical="center" wrapText="1"/>
    </xf>
    <xf numFmtId="0" fontId="7" fillId="4" borderId="11"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7" fillId="4" borderId="13" xfId="0" applyFont="1" applyFill="1" applyBorder="1" applyAlignment="1">
      <alignment horizontal="center" vertical="center" wrapText="1"/>
    </xf>
    <xf numFmtId="0" fontId="7" fillId="4" borderId="14" xfId="0" applyFont="1" applyFill="1" applyBorder="1" applyAlignment="1">
      <alignment horizontal="center" vertical="center" wrapText="1"/>
    </xf>
    <xf numFmtId="0" fontId="0" fillId="0" borderId="8" xfId="0" applyBorder="1" applyAlignment="1">
      <alignment horizontal="left" wrapText="1"/>
    </xf>
    <xf numFmtId="0" fontId="0" fillId="0" borderId="9" xfId="0" applyBorder="1" applyAlignment="1">
      <alignment horizontal="left" wrapText="1"/>
    </xf>
    <xf numFmtId="0" fontId="0" fillId="0" borderId="0" xfId="0" quotePrefix="1"/>
    <xf numFmtId="0" fontId="0" fillId="0" borderId="11" xfId="0" quotePrefix="1" applyBorder="1"/>
    <xf numFmtId="17" fontId="0" fillId="0" borderId="13" xfId="0" quotePrefix="1" applyNumberFormat="1" applyBorder="1" applyAlignment="1">
      <alignment horizontal="left"/>
    </xf>
    <xf numFmtId="17" fontId="0" fillId="0" borderId="14" xfId="0" quotePrefix="1" applyNumberFormat="1" applyBorder="1" applyAlignment="1">
      <alignment horizontal="left"/>
    </xf>
    <xf numFmtId="49" fontId="12" fillId="8" borderId="32" xfId="1" applyNumberFormat="1" applyFont="1" applyFill="1" applyBorder="1" applyAlignment="1">
      <alignment horizontal="center" vertical="center" wrapText="1"/>
    </xf>
    <xf numFmtId="49" fontId="12" fillId="8" borderId="33" xfId="1" applyNumberFormat="1" applyFont="1" applyFill="1" applyBorder="1" applyAlignment="1">
      <alignment horizontal="center" vertical="center" wrapText="1"/>
    </xf>
    <xf numFmtId="49" fontId="12" fillId="8" borderId="34" xfId="1" applyNumberFormat="1" applyFont="1" applyFill="1" applyBorder="1" applyAlignment="1">
      <alignment horizontal="center" vertical="center"/>
    </xf>
    <xf numFmtId="49" fontId="12" fillId="8" borderId="35" xfId="1" applyNumberFormat="1" applyFont="1" applyFill="1" applyBorder="1" applyAlignment="1">
      <alignment horizontal="center" vertical="center"/>
    </xf>
    <xf numFmtId="49" fontId="12" fillId="8" borderId="32" xfId="1" applyNumberFormat="1" applyFont="1" applyFill="1" applyBorder="1" applyAlignment="1">
      <alignment horizontal="center" vertical="center"/>
    </xf>
    <xf numFmtId="49" fontId="12" fillId="8" borderId="33" xfId="1" applyNumberFormat="1" applyFont="1" applyFill="1" applyBorder="1" applyAlignment="1">
      <alignment horizontal="center" vertical="center"/>
    </xf>
    <xf numFmtId="0" fontId="0" fillId="0" borderId="0" xfId="0" pivotButton="1" applyProtection="1"/>
    <xf numFmtId="0" fontId="0" fillId="0" borderId="0" xfId="0" applyProtection="1"/>
    <xf numFmtId="0" fontId="0" fillId="0" borderId="0" xfId="0" applyAlignment="1" applyProtection="1">
      <alignment horizontal="left"/>
    </xf>
    <xf numFmtId="4" fontId="0" fillId="0" borderId="0" xfId="0" applyNumberFormat="1" applyProtection="1"/>
    <xf numFmtId="0" fontId="0" fillId="0" borderId="0" xfId="0" applyAlignment="1" applyProtection="1">
      <alignment horizontal="left" indent="1"/>
    </xf>
  </cellXfs>
  <cellStyles count="2">
    <cellStyle name="Normal" xfId="0" builtinId="0"/>
    <cellStyle name="Normal 2" xfId="1" xr:uid="{81DA2E27-A488-4FAE-B6FC-2820ACF13929}"/>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18</xdr:col>
      <xdr:colOff>226219</xdr:colOff>
      <xdr:row>2</xdr:row>
      <xdr:rowOff>500062</xdr:rowOff>
    </xdr:from>
    <xdr:to>
      <xdr:col>22</xdr:col>
      <xdr:colOff>154781</xdr:colOff>
      <xdr:row>2</xdr:row>
      <xdr:rowOff>1440656</xdr:rowOff>
    </xdr:to>
    <xdr:sp macro="[0]!Sheet3.ClearSheet" textlink="">
      <xdr:nvSpPr>
        <xdr:cNvPr id="2" name="Rectangle: Rounded Corners 1">
          <a:extLst>
            <a:ext uri="{FF2B5EF4-FFF2-40B4-BE49-F238E27FC236}">
              <a16:creationId xmlns:a16="http://schemas.microsoft.com/office/drawing/2014/main"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Blank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B" refreshedDate="45801.414617824077" createdVersion="5" refreshedVersion="8"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StrtNm" numFmtId="0">
      <sharedItems/>
    </cacheField>
    <cacheField name="PstlAdr:BldgNb"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18" applyNumberFormats="0" applyBorderFormats="0" applyFontFormats="0" applyPatternFormats="0" applyAlignmentFormats="0" applyWidthHeightFormats="1" dataCaption="Values" updatedVersion="8"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A5" sqref="A5"/>
    </sheetView>
  </sheetViews>
  <sheetFormatPr defaultRowHeight="15"/>
  <cols>
    <col min="1" max="1" width="37" customWidth="1"/>
    <col min="2" max="2" width="34.28515625" customWidth="1"/>
    <col min="3" max="3" width="32" style="3" hidden="1" customWidth="1"/>
    <col min="4" max="4" width="29.28515625" style="3" hidden="1" customWidth="1"/>
    <col min="5" max="5" width="33.7109375" style="3" customWidth="1"/>
    <col min="6" max="6" width="36.5703125" customWidth="1"/>
  </cols>
  <sheetData>
    <row r="1" spans="1:8" s="10" customFormat="1">
      <c r="A1" s="10" t="s">
        <v>0</v>
      </c>
      <c r="B1" s="10" t="s">
        <v>1</v>
      </c>
      <c r="C1" s="11" t="s">
        <v>2</v>
      </c>
      <c r="D1" s="11" t="s">
        <v>4</v>
      </c>
      <c r="E1" s="11" t="s">
        <v>6</v>
      </c>
      <c r="F1" s="10" t="s">
        <v>8</v>
      </c>
      <c r="H1" s="10" t="s">
        <v>10</v>
      </c>
    </row>
    <row r="2" spans="1:8" s="2" customFormat="1" ht="180">
      <c r="A2" s="1" t="s">
        <v>97</v>
      </c>
      <c r="B2" s="1" t="s">
        <v>14</v>
      </c>
      <c r="C2" s="4" t="s">
        <v>3</v>
      </c>
      <c r="D2" s="4" t="s">
        <v>5</v>
      </c>
      <c r="E2" s="4" t="s">
        <v>7</v>
      </c>
      <c r="F2" s="1" t="s">
        <v>9</v>
      </c>
      <c r="H2" s="2" t="s">
        <v>11</v>
      </c>
    </row>
    <row r="3" spans="1:8" s="2" customFormat="1" ht="45">
      <c r="A3" s="1" t="s">
        <v>17</v>
      </c>
      <c r="B3" s="1" t="s">
        <v>16</v>
      </c>
      <c r="C3" s="4" t="s">
        <v>18</v>
      </c>
      <c r="D3" s="4" t="s">
        <v>19</v>
      </c>
      <c r="E3" s="4" t="s">
        <v>20</v>
      </c>
      <c r="F3" s="1" t="s">
        <v>72</v>
      </c>
      <c r="H3" s="2" t="s">
        <v>65</v>
      </c>
    </row>
    <row r="4" spans="1:8" s="2" customFormat="1" ht="15.75" thickBot="1">
      <c r="A4" s="2" t="s">
        <v>67</v>
      </c>
      <c r="C4" s="3"/>
      <c r="D4" s="3"/>
      <c r="E4" s="20" t="s">
        <v>71</v>
      </c>
      <c r="F4" s="2" t="s">
        <v>73</v>
      </c>
      <c r="H4" s="2" t="s">
        <v>68</v>
      </c>
    </row>
    <row r="5" spans="1:8" s="5" customFormat="1" ht="15.75" thickBot="1">
      <c r="A5" s="33"/>
      <c r="B5" s="53">
        <f ca="1">NOW()</f>
        <v>45801.422091087959</v>
      </c>
      <c r="C5" s="21">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2">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3" t="str">
        <f>'Payment Information Record'!H5</f>
        <v>PAYEE NAME</v>
      </c>
      <c r="F5" s="19" t="s">
        <v>124</v>
      </c>
      <c r="H5" s="5" t="s">
        <v>12</v>
      </c>
    </row>
    <row r="6" spans="1:8" s="1" customFormat="1">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c r="B7" s="7"/>
    </row>
    <row r="9" spans="1:8">
      <c r="B9" s="6"/>
    </row>
  </sheetData>
  <sheetProtection algorithmName="SHA-512" hashValue="5KTSYgjGCwSYuruKvZTd5UYvfyDSjdod1szcSgwrnMCq6Zv7PvFMmFWaqlRt1KIbANSq4HqdcVYDfc0gTtgK8Q==" saltValue="CRVkjg+hh2om8/HUJkl9Bg=="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A5" sqref="A5"/>
    </sheetView>
  </sheetViews>
  <sheetFormatPr defaultRowHeight="1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33.140625" style="71" hidden="1" customWidth="1"/>
    <col min="10" max="10" width="19.28515625" style="71" hidden="1" customWidth="1"/>
    <col min="11" max="11" width="13" customWidth="1"/>
    <col min="12" max="12" width="11.7109375" style="71" hidden="1" customWidth="1"/>
    <col min="13" max="13" width="10.42578125" customWidth="1"/>
  </cols>
  <sheetData>
    <row r="1" spans="1:15" s="1" customFormat="1">
      <c r="A1" s="1" t="s">
        <v>15</v>
      </c>
      <c r="B1" s="3" t="s">
        <v>77</v>
      </c>
      <c r="C1" s="1" t="s">
        <v>21</v>
      </c>
      <c r="D1" s="3" t="s">
        <v>2</v>
      </c>
      <c r="E1" s="3" t="s">
        <v>4</v>
      </c>
      <c r="F1" s="3" t="s">
        <v>38</v>
      </c>
      <c r="G1" s="1" t="s">
        <v>27</v>
      </c>
      <c r="H1" s="1" t="s">
        <v>6</v>
      </c>
      <c r="I1" s="72" t="s">
        <v>30</v>
      </c>
      <c r="J1" s="72" t="s">
        <v>30</v>
      </c>
      <c r="K1" s="1" t="s">
        <v>33</v>
      </c>
      <c r="L1" s="71" t="s">
        <v>82</v>
      </c>
      <c r="M1" s="1" t="s">
        <v>35</v>
      </c>
      <c r="O1" t="s">
        <v>10</v>
      </c>
    </row>
    <row r="2" spans="1:15" s="1" customFormat="1" ht="120">
      <c r="A2" s="1" t="s">
        <v>98</v>
      </c>
      <c r="B2" s="4" t="s">
        <v>78</v>
      </c>
      <c r="C2" s="1" t="s">
        <v>22</v>
      </c>
      <c r="D2" s="4" t="s">
        <v>3</v>
      </c>
      <c r="E2" s="4" t="s">
        <v>5</v>
      </c>
      <c r="F2" s="4" t="s">
        <v>78</v>
      </c>
      <c r="G2" s="1" t="s">
        <v>28</v>
      </c>
      <c r="H2" s="1" t="s">
        <v>7</v>
      </c>
      <c r="I2" s="72" t="s">
        <v>132</v>
      </c>
      <c r="J2" s="72" t="s">
        <v>31</v>
      </c>
      <c r="K2" s="1" t="s">
        <v>34</v>
      </c>
      <c r="L2" s="72" t="s">
        <v>78</v>
      </c>
      <c r="M2" s="1" t="s">
        <v>36</v>
      </c>
      <c r="O2" s="2" t="s">
        <v>11</v>
      </c>
    </row>
    <row r="3" spans="1:15" s="1" customFormat="1" ht="75">
      <c r="A3" s="1" t="s">
        <v>74</v>
      </c>
      <c r="B3" s="4"/>
      <c r="C3" s="1" t="s">
        <v>23</v>
      </c>
      <c r="D3" s="4" t="s">
        <v>76</v>
      </c>
      <c r="E3" s="4" t="s">
        <v>19</v>
      </c>
      <c r="F3" s="4"/>
      <c r="G3" s="1" t="s">
        <v>29</v>
      </c>
      <c r="H3" s="1" t="s">
        <v>20</v>
      </c>
      <c r="I3" s="72" t="s">
        <v>133</v>
      </c>
      <c r="J3" s="72" t="s">
        <v>32</v>
      </c>
      <c r="L3" s="72"/>
      <c r="O3" s="2" t="s">
        <v>65</v>
      </c>
    </row>
    <row r="4" spans="1:15" s="1" customFormat="1">
      <c r="A4" s="1" t="s">
        <v>75</v>
      </c>
      <c r="B4" s="4"/>
      <c r="C4" s="1" t="s">
        <v>69</v>
      </c>
      <c r="D4" s="4" t="s">
        <v>70</v>
      </c>
      <c r="E4" s="4"/>
      <c r="F4" s="4"/>
      <c r="I4" s="72"/>
      <c r="J4" s="72"/>
      <c r="L4" s="72"/>
      <c r="O4" s="1" t="s">
        <v>68</v>
      </c>
    </row>
    <row r="5" spans="1:15" s="1" customFormat="1">
      <c r="A5" s="12"/>
      <c r="B5" s="15" t="s">
        <v>79</v>
      </c>
      <c r="C5" s="13" t="s">
        <v>25</v>
      </c>
      <c r="D5" s="15">
        <f>'Header Record'!C5</f>
        <v>0</v>
      </c>
      <c r="E5" s="14">
        <f>'Header Record'!D5</f>
        <v>0</v>
      </c>
      <c r="F5" s="15" t="s">
        <v>80</v>
      </c>
      <c r="G5" s="16">
        <v>44742</v>
      </c>
      <c r="H5" s="13" t="s">
        <v>122</v>
      </c>
      <c r="I5" s="76" t="s">
        <v>134</v>
      </c>
      <c r="J5" s="76"/>
      <c r="K5" s="61" t="s">
        <v>123</v>
      </c>
      <c r="L5" s="73" t="s">
        <v>83</v>
      </c>
      <c r="M5" s="62" t="s">
        <v>84</v>
      </c>
      <c r="O5" s="5" t="s">
        <v>12</v>
      </c>
    </row>
    <row r="6" spans="1:15" s="9" customFormat="1">
      <c r="A6" s="24" t="str">
        <f>IF(LEN(A5)&gt;35,"Payment Information Group Identifier must be between 1 and 35 characters long","")</f>
        <v/>
      </c>
      <c r="B6" s="25"/>
      <c r="C6" s="26" t="str">
        <f>IF(NOT(ISNUMBER(MATCH(C5,'Control Data (Hidden)'!D9:E9,0))),"Batch booking should be true or false","")</f>
        <v/>
      </c>
      <c r="D6" s="25"/>
      <c r="E6" s="25"/>
      <c r="F6" s="25"/>
      <c r="G6" s="26" t="str">
        <f>IF(ISBLANK(G5),"Cannot be left blank",IF(OR(ISERROR(YEAR(G5)),ISERROR(MONTH(G5)),ISERROR(DAY(G5))),"Required Execution date is not valid",IF(OR(WEEKDAY(G5)=1,WEEKDAY(G5)=7),"Requested execution date must be between Monday to Friday","")))</f>
        <v/>
      </c>
      <c r="H6" s="26" t="str">
        <f>IF(OR(LEN(H5)&lt;1,LEN(H5)&gt;70),"Name must be between 1 and 70 characters long","")</f>
        <v/>
      </c>
      <c r="I6" s="74" t="str">
        <f>IF(OR(LEN(I5)&lt;1,LEN(I5)&gt;70),"Address must be between 1 and 70 characters long","")</f>
        <v/>
      </c>
      <c r="J6" s="74" t="str">
        <f>IF(LEN(J5)&gt;70,"Address cannot be longer than 70 characters","")</f>
        <v/>
      </c>
      <c r="K6" s="26" t="str">
        <f>IF(OR(LEN(K5)&lt;10,LEN(K5)&gt;34),"IBAN may be up to 34 characters long","")</f>
        <v/>
      </c>
      <c r="L6" s="74"/>
      <c r="M6" s="27" t="str">
        <f>IF(AND(LEN(M5)&lt;&gt;8,LEN(M5)&lt;&gt;11),"BIC must be 8 or 11 characters long","")</f>
        <v/>
      </c>
      <c r="N6" s="7"/>
      <c r="O6" s="1" t="s">
        <v>13</v>
      </c>
    </row>
    <row r="7" spans="1:15" s="1" customFormat="1">
      <c r="A7" s="28"/>
      <c r="B7" s="29"/>
      <c r="C7" s="30"/>
      <c r="D7" s="29"/>
      <c r="E7" s="29"/>
      <c r="F7" s="29"/>
      <c r="G7" s="31" t="str">
        <f ca="1">IF(G5=TODAY(),"Files must be submitted before 11:30am to be processed on the same day. Files submitted after 2:30pm will incur additional charges","")</f>
        <v/>
      </c>
      <c r="H7" s="30"/>
      <c r="I7" s="77"/>
      <c r="J7" s="77"/>
      <c r="K7" s="30"/>
      <c r="L7" s="75"/>
      <c r="M7" s="32"/>
    </row>
    <row r="8" spans="1:15" s="1" customFormat="1">
      <c r="B8" s="3"/>
      <c r="D8" s="3"/>
      <c r="E8" s="3"/>
      <c r="F8" s="3"/>
      <c r="I8" s="72"/>
      <c r="J8" s="72"/>
      <c r="L8" s="71"/>
    </row>
    <row r="9" spans="1:15" s="1" customFormat="1">
      <c r="B9" s="3"/>
      <c r="D9" s="3"/>
      <c r="E9" s="3"/>
      <c r="F9" s="3"/>
      <c r="I9" s="72"/>
      <c r="J9" s="72"/>
      <c r="L9" s="71"/>
    </row>
    <row r="10" spans="1:15" s="1" customFormat="1">
      <c r="B10" s="3"/>
      <c r="D10" s="3"/>
      <c r="E10" s="3"/>
      <c r="F10" s="3"/>
      <c r="I10" s="72"/>
      <c r="J10" s="72"/>
      <c r="L10" s="71"/>
    </row>
    <row r="11" spans="1:15" s="1" customFormat="1">
      <c r="B11" s="3"/>
      <c r="D11" s="3"/>
      <c r="E11" s="3"/>
      <c r="F11" s="3"/>
      <c r="I11" s="72"/>
      <c r="J11" s="72"/>
      <c r="L11" s="71"/>
    </row>
    <row r="12" spans="1:15" s="1" customFormat="1">
      <c r="B12" s="3"/>
      <c r="D12" s="3"/>
      <c r="E12" s="3"/>
      <c r="F12" s="3"/>
      <c r="I12" s="72"/>
      <c r="J12" s="72"/>
      <c r="L12" s="71"/>
    </row>
    <row r="13" spans="1:15" s="1" customFormat="1">
      <c r="B13" s="3"/>
      <c r="D13" s="3"/>
      <c r="E13" s="3"/>
      <c r="F13" s="3"/>
      <c r="I13" s="72"/>
      <c r="J13" s="72"/>
      <c r="L13" s="71"/>
    </row>
    <row r="14" spans="1:15" s="1" customFormat="1">
      <c r="B14" s="3"/>
      <c r="D14" s="3"/>
      <c r="E14" s="3"/>
      <c r="F14" s="3"/>
      <c r="I14" s="72"/>
      <c r="J14" s="72"/>
      <c r="L14" s="71"/>
    </row>
    <row r="15" spans="1:15" s="1" customFormat="1">
      <c r="B15" s="3"/>
      <c r="D15" s="3"/>
      <c r="E15" s="3"/>
      <c r="F15" s="3"/>
      <c r="I15" s="72"/>
      <c r="J15" s="72"/>
      <c r="L15" s="71"/>
    </row>
    <row r="16" spans="1:15" s="1" customFormat="1">
      <c r="B16" s="3"/>
      <c r="D16" s="3"/>
      <c r="E16" s="3"/>
      <c r="F16" s="3"/>
      <c r="I16" s="72"/>
      <c r="J16" s="72"/>
      <c r="L16" s="71"/>
    </row>
    <row r="17" spans="2:12" s="1" customFormat="1">
      <c r="B17" s="3"/>
      <c r="D17" s="3"/>
      <c r="E17" s="3"/>
      <c r="F17" s="3"/>
      <c r="I17" s="72"/>
      <c r="J17" s="72"/>
      <c r="L17" s="71"/>
    </row>
    <row r="18" spans="2:12" s="1" customFormat="1">
      <c r="B18" s="3"/>
      <c r="D18" s="3"/>
      <c r="E18" s="3"/>
      <c r="F18" s="3"/>
      <c r="I18" s="72"/>
      <c r="J18" s="72"/>
      <c r="L18" s="71"/>
    </row>
    <row r="19" spans="2:12" s="1" customFormat="1">
      <c r="B19" s="3"/>
      <c r="D19" s="3"/>
      <c r="E19" s="3"/>
      <c r="F19" s="3"/>
      <c r="I19" s="72"/>
      <c r="J19" s="72"/>
      <c r="L19" s="71"/>
    </row>
    <row r="20" spans="2:12" s="1" customFormat="1">
      <c r="B20" s="3"/>
      <c r="D20" s="3"/>
      <c r="E20" s="3"/>
      <c r="F20" s="3"/>
      <c r="I20" s="72"/>
      <c r="J20" s="72"/>
      <c r="L20" s="71"/>
    </row>
    <row r="21" spans="2:12" s="1" customFormat="1">
      <c r="B21" s="3"/>
      <c r="D21" s="3"/>
      <c r="E21" s="3"/>
      <c r="F21" s="3"/>
      <c r="I21" s="72"/>
      <c r="J21" s="72"/>
      <c r="L21" s="71"/>
    </row>
    <row r="22" spans="2:12" s="1" customFormat="1">
      <c r="B22" s="3"/>
      <c r="D22" s="3"/>
      <c r="E22" s="3"/>
      <c r="F22" s="3"/>
      <c r="I22" s="72"/>
      <c r="J22" s="72"/>
      <c r="L22" s="71"/>
    </row>
  </sheetData>
  <sheetProtection algorithmName="SHA-512" hashValue="OHmh4xBKlFgO7IBvutYZkdamUYTspUg826wjGoO8xRZmTst0XuFX0K2HlxOZYK8pToW9JvvbK1Yyb3wvjBFRZw==" saltValue="6MPCc+NaS0Ut3hcjXEfDmw==" spinCount="100000" sheet="1" objects="1" scenarios="1" formatColumns="0" selectLockedCells="1"/>
  <dataValidations count="7">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 type="textLength" showInputMessage="1" showErrorMessage="1" errorTitle="Pay Info Rec: AdrLine" error="Address Line 1 must be between 1 and 70 characters long." sqref="I5" xr:uid="{00000000-0002-0000-0100-000006000000}">
      <formula1>1</formula1>
      <formula2>70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7000000}">
          <x14:formula1>
            <xm:f>'Control Data (Hidden)'!$D$9:$E$9</xm:f>
          </x14:formula1>
          <xm:sqref>C5</xm:sqref>
        </x14:dataValidation>
        <x14:dataValidation type="date" allowBlank="1" showInputMessage="1" showErrorMessage="1" errorTitle="Pay Info Rec: ReqdExctnDt" error="The date is invalid" xr:uid="{00000000-0002-0000-0100-000008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Q107"/>
  <sheetViews>
    <sheetView zoomScaleNormal="100" workbookViewId="0">
      <pane ySplit="4" topLeftCell="A5" activePane="bottomLeft" state="frozen"/>
      <selection activeCell="A5" sqref="A5"/>
      <selection pane="bottomLeft" activeCell="A103" sqref="A103"/>
    </sheetView>
  </sheetViews>
  <sheetFormatPr defaultRowHeight="15"/>
  <cols>
    <col min="1" max="1" width="39.28515625" customWidth="1"/>
    <col min="2" max="2" width="25.28515625" customWidth="1"/>
    <col min="3" max="3" width="13.28515625" style="3" hidden="1" customWidth="1"/>
    <col min="4" max="4" width="21.28515625" customWidth="1"/>
    <col min="5" max="5" width="19.7109375" customWidth="1"/>
    <col min="6" max="6" width="32.7109375" customWidth="1"/>
    <col min="7" max="7" width="17.28515625" customWidth="1"/>
    <col min="8" max="12" width="19.28515625" customWidth="1"/>
    <col min="13" max="13" width="33.28515625" customWidth="1"/>
    <col min="14" max="14" width="22.5703125" customWidth="1"/>
    <col min="15" max="15" width="29.28515625" customWidth="1"/>
  </cols>
  <sheetData>
    <row r="1" spans="1:17" s="1" customFormat="1">
      <c r="A1" s="1" t="s">
        <v>53</v>
      </c>
      <c r="B1" s="1" t="s">
        <v>55</v>
      </c>
      <c r="C1" s="3" t="s">
        <v>82</v>
      </c>
      <c r="D1" s="1" t="s">
        <v>57</v>
      </c>
      <c r="E1" s="1" t="s">
        <v>35</v>
      </c>
      <c r="F1" s="1" t="s">
        <v>6</v>
      </c>
      <c r="G1" s="1" t="s">
        <v>142</v>
      </c>
      <c r="H1" s="1" t="s">
        <v>144</v>
      </c>
      <c r="I1" s="1" t="s">
        <v>146</v>
      </c>
      <c r="J1" s="1" t="s">
        <v>148</v>
      </c>
      <c r="K1" s="1" t="s">
        <v>150</v>
      </c>
      <c r="L1" s="1" t="s">
        <v>152</v>
      </c>
      <c r="M1" s="1" t="s">
        <v>33</v>
      </c>
      <c r="N1" s="1" t="s">
        <v>38</v>
      </c>
      <c r="O1" s="1" t="s">
        <v>62</v>
      </c>
      <c r="Q1" t="s">
        <v>10</v>
      </c>
    </row>
    <row r="2" spans="1:17" s="96" customFormat="1" ht="36">
      <c r="A2" s="96" t="s">
        <v>54</v>
      </c>
      <c r="B2" s="96" t="s">
        <v>56</v>
      </c>
      <c r="C2" s="97" t="s">
        <v>78</v>
      </c>
      <c r="D2" s="96" t="s">
        <v>58</v>
      </c>
      <c r="E2" s="96" t="s">
        <v>59</v>
      </c>
      <c r="F2" s="96" t="s">
        <v>60</v>
      </c>
      <c r="G2" s="96" t="s">
        <v>143</v>
      </c>
      <c r="H2" s="96" t="s">
        <v>145</v>
      </c>
      <c r="I2" s="96" t="s">
        <v>147</v>
      </c>
      <c r="J2" s="96" t="s">
        <v>149</v>
      </c>
      <c r="K2" s="96" t="s">
        <v>151</v>
      </c>
      <c r="L2" s="96" t="s">
        <v>153</v>
      </c>
      <c r="M2" s="96" t="s">
        <v>61</v>
      </c>
      <c r="N2" s="96" t="s">
        <v>827</v>
      </c>
      <c r="O2" s="96" t="s">
        <v>63</v>
      </c>
      <c r="Q2" s="98" t="s">
        <v>11</v>
      </c>
    </row>
    <row r="3" spans="1:17" s="99" customFormat="1" ht="156">
      <c r="A3" s="99" t="s">
        <v>17</v>
      </c>
      <c r="B3" s="99" t="s">
        <v>17</v>
      </c>
      <c r="C3" s="100"/>
      <c r="D3" s="99" t="s">
        <v>19</v>
      </c>
      <c r="E3" s="101" t="s">
        <v>828</v>
      </c>
      <c r="F3" s="99" t="s">
        <v>829</v>
      </c>
      <c r="G3" s="99" t="s">
        <v>830</v>
      </c>
      <c r="H3" s="99" t="s">
        <v>831</v>
      </c>
      <c r="I3" s="99" t="s">
        <v>832</v>
      </c>
      <c r="J3" s="99" t="s">
        <v>833</v>
      </c>
      <c r="K3" s="99" t="s">
        <v>834</v>
      </c>
      <c r="L3" s="99" t="s">
        <v>835</v>
      </c>
      <c r="M3" s="101" t="s">
        <v>836</v>
      </c>
      <c r="O3" s="99" t="s">
        <v>64</v>
      </c>
      <c r="Q3" s="102" t="s">
        <v>65</v>
      </c>
    </row>
    <row r="4" spans="1:17" s="96" customFormat="1" ht="12">
      <c r="A4" s="96" t="s">
        <v>67</v>
      </c>
      <c r="B4" s="96" t="s">
        <v>67</v>
      </c>
      <c r="C4" s="97"/>
      <c r="D4" s="107" t="s">
        <v>66</v>
      </c>
      <c r="Q4" s="96" t="s">
        <v>68</v>
      </c>
    </row>
    <row r="5" spans="1:17" s="109" customFormat="1">
      <c r="A5" s="108"/>
      <c r="B5" s="108"/>
      <c r="C5" s="108" t="s">
        <v>83</v>
      </c>
      <c r="D5" s="108"/>
      <c r="E5" s="108"/>
      <c r="F5" s="108"/>
      <c r="G5" s="108"/>
      <c r="H5" s="108"/>
      <c r="I5" s="108"/>
      <c r="J5" s="108"/>
      <c r="K5" s="108"/>
      <c r="L5" s="108"/>
      <c r="M5" s="108"/>
      <c r="N5" s="108"/>
      <c r="O5" s="108"/>
      <c r="Q5" s="110" t="s">
        <v>12</v>
      </c>
    </row>
    <row r="6" spans="1:17" s="105" customFormat="1" ht="36">
      <c r="A6" s="103" t="str">
        <f>IF(OR(LEN(A5)&lt;1,LEN(A5)&gt;35), "Transaction Identification must be between 1 and 35 characters long", "")</f>
        <v>Transaction Identification must be between 1 and 35 characters long</v>
      </c>
      <c r="B6" s="103" t="str">
        <f>IF(OR(LEN(B5)&lt;1,LEN(B5)&gt;35),"Uniqie Identification must be between 1 and 35 characters long","")</f>
        <v>Uniqie Identification must be between 1 and 35 characters long</v>
      </c>
      <c r="C6" s="104"/>
      <c r="D6" s="103" t="str">
        <f>IF(OR(D5&lt;0.01,D5&gt;9999999999999990),"Transaction Amount is not valid","")</f>
        <v>Transaction Amount is not valid</v>
      </c>
      <c r="E6" s="103" t="str">
        <f>IF(AND(LEN(E5)&lt;&gt;8,LEN(E5)&lt;&gt;11),
    "BIC must be 8 or 11 characters long",
    IF(COUNTIF('Control Data (Hidden)'!$B$279:$B$335,E5)=0,
        "Warning: Is IBAN Valid?",
        ""
    )
)</f>
        <v>BIC must be 8 or 11 characters long</v>
      </c>
      <c r="F6" s="103" t="str">
        <f>IF(OR(LEN(F5)&lt;1,LEN(F5)&gt;70),"Creditor's Name must be between 1 and 70 characters long","")</f>
        <v>Creditor's Name must be between 1 and 70 characters long</v>
      </c>
      <c r="G6" s="103" t="str">
        <f>IF(LEN(G5)&gt;70,"Address cannot be longer than 70 characters","")</f>
        <v/>
      </c>
      <c r="H6" s="103" t="str">
        <f>IF(LEN(H5)&gt;16,"Building Number cannot be longer than 16 characters","")</f>
        <v/>
      </c>
      <c r="I6" s="103" t="str">
        <f>IF(LEN(I5)&gt;35,"Building Name cannot be longer than 35 characters","")</f>
        <v/>
      </c>
      <c r="J6" s="103" t="str">
        <f>IF(LEN(J5)&gt;16,"Postal Code cannot be longer than 16 characters","")</f>
        <v/>
      </c>
      <c r="K6" s="103" t="str">
        <f>IF(OR(LEN(K5)&lt;1,LEN(K5)&gt;35),"Town Name must be between 1 and 35 characters long","")</f>
        <v>Town Name must be between 1 and 35 characters long</v>
      </c>
      <c r="L6" s="103" t="str">
        <f>IF(NOT(LEN(L5)=2),"Country Code must be 2 characters long","")</f>
        <v>Country Code must be 2 characters long</v>
      </c>
      <c r="M6" s="103" t="str">
        <f>IF(OR(LEN(M5)&lt;10,LEN(M5)&gt;34),"IBAN may be up to 34 characters long","")</f>
        <v>IBAN may be up to 34 characters long</v>
      </c>
      <c r="N6" s="103" t="str">
        <f>IF(ISBLANK(N5),"Code cannot be left blank","")</f>
        <v>Code cannot be left blank</v>
      </c>
      <c r="O6" s="103" t="str">
        <f>IF(OR(LEN(O5)&lt;1,LEN(O5)&gt;140),"Transaction Details must be between 1 and 140 characters long","")</f>
        <v>Transaction Details must be between 1 and 140 characters long</v>
      </c>
      <c r="Q6" s="96" t="s">
        <v>13</v>
      </c>
    </row>
    <row r="7" spans="1:17" s="109" customFormat="1">
      <c r="A7" s="108"/>
      <c r="B7" s="108"/>
      <c r="C7" s="108" t="s">
        <v>83</v>
      </c>
      <c r="D7" s="108"/>
      <c r="E7" s="108"/>
      <c r="F7" s="108"/>
      <c r="G7" s="108"/>
      <c r="H7" s="108"/>
      <c r="I7" s="108"/>
      <c r="J7" s="108"/>
      <c r="K7" s="108"/>
      <c r="L7" s="108"/>
      <c r="M7" s="108"/>
      <c r="N7" s="108"/>
      <c r="O7" s="108"/>
      <c r="Q7" s="110" t="s">
        <v>12</v>
      </c>
    </row>
    <row r="8" spans="1:17" s="105" customFormat="1" ht="36">
      <c r="A8" s="103" t="str">
        <f>IF(OR(LEN(A7)&lt;1,LEN(A7)&gt;35),"Transaction Identification must be between 1 and 35 characters long","")</f>
        <v>Transaction Identification must be between 1 and 35 characters long</v>
      </c>
      <c r="B8" s="103" t="str">
        <f>IF(OR(LEN(B7)&lt;1,LEN(B7)&gt;35),"Uniqie Identification must be between 1 and 35 characters long","")</f>
        <v>Uniqie Identification must be between 1 and 35 characters long</v>
      </c>
      <c r="C8" s="106"/>
      <c r="D8" s="103" t="str">
        <f>IF(OR(D7&lt;0.01,D7&gt;9999999999999990),"Transaction Amount is not valid","")</f>
        <v>Transaction Amount is not valid</v>
      </c>
      <c r="E8" s="103" t="str">
        <f>IF(AND(LEN(E7)&lt;&gt;8,LEN(E7)&lt;&gt;11),
    "BIC must be 8 or 11 characters long",
    IF(COUNTIF('Control Data (Hidden)'!$B$279:$B$335,E7)=0,
        "Warning: Is IBAN Valid?",
        ""
    )
)</f>
        <v>BIC must be 8 or 11 characters long</v>
      </c>
      <c r="F8" s="103" t="str">
        <f>IF(OR(LEN(F7)&lt;1,LEN(F7)&gt;70),"Creditor's Name must be between 1 and 70 characters long","")</f>
        <v>Creditor's Name must be between 1 and 70 characters long</v>
      </c>
      <c r="G8" s="103" t="str">
        <f>IF(LEN(G7)&gt;70,"Address cannot be longer than 70 characters","")</f>
        <v/>
      </c>
      <c r="H8" s="103" t="str">
        <f>IF(LEN(H7)&gt;16,"Building Number cannot be longer than 16 characters","")</f>
        <v/>
      </c>
      <c r="I8" s="103" t="str">
        <f>IF(LEN(I7)&gt;35,"Building Name cannot be longer than 35 characters","")</f>
        <v/>
      </c>
      <c r="J8" s="103" t="str">
        <f>IF(LEN(J7)&gt;16,"Postal Code cannot be longer than 16 characters","")</f>
        <v/>
      </c>
      <c r="K8" s="103" t="str">
        <f>IF(OR(LEN(K7)&lt;1,LEN(K7)&gt;35),"Town Name must be between 1 and 35 characters long","")</f>
        <v>Town Name must be between 1 and 35 characters long</v>
      </c>
      <c r="L8" s="103" t="str">
        <f>IF(NOT(LEN(L7)=2),"Country Code must be 2 characters long","")</f>
        <v>Country Code must be 2 characters long</v>
      </c>
      <c r="M8" s="103" t="str">
        <f>IF(OR(LEN(M7)&lt;10,LEN(M7)&gt;34),"IBAN may be up to 34 characters long","")</f>
        <v>IBAN may be up to 34 characters long</v>
      </c>
      <c r="N8" s="103" t="str">
        <f>IF(ISBLANK(N7),"Code cannot be left blank","")</f>
        <v>Code cannot be left blank</v>
      </c>
      <c r="O8" s="103" t="str">
        <f>IF(OR(LEN(O7)&lt;1,LEN(O7)&gt;140),"Transaction Details must be between 1 and 140 characters long","")</f>
        <v>Transaction Details must be between 1 and 140 characters long</v>
      </c>
      <c r="Q8" s="96" t="s">
        <v>13</v>
      </c>
    </row>
    <row r="9" spans="1:17" s="109" customFormat="1">
      <c r="A9" s="108"/>
      <c r="B9" s="108"/>
      <c r="C9" s="108" t="s">
        <v>83</v>
      </c>
      <c r="D9" s="108"/>
      <c r="E9" s="108"/>
      <c r="F9" s="108"/>
      <c r="G9" s="108"/>
      <c r="H9" s="108"/>
      <c r="I9" s="108"/>
      <c r="J9" s="108"/>
      <c r="K9" s="108"/>
      <c r="L9" s="108"/>
      <c r="M9" s="108"/>
      <c r="N9" s="108"/>
      <c r="O9" s="108"/>
      <c r="Q9" s="110" t="s">
        <v>12</v>
      </c>
    </row>
    <row r="10" spans="1:17" s="105" customFormat="1" ht="36">
      <c r="A10" s="103" t="str">
        <f>IF(OR(LEN(A9)&lt;1,LEN(A9)&gt;35),"Transaction Identification must be between 1 and 35 characters long","")</f>
        <v>Transaction Identification must be between 1 and 35 characters long</v>
      </c>
      <c r="B10" s="103" t="str">
        <f>IF(OR(LEN(B9)&lt;1,LEN(B9)&gt;35),"Uniqie Identification must be between 1 and 35 characters long","")</f>
        <v>Uniqie Identification must be between 1 and 35 characters long</v>
      </c>
      <c r="C10" s="106"/>
      <c r="D10" s="103" t="str">
        <f>IF(OR(D9&lt;0.01,D9&gt;9999999999999990),"Transaction Amount is not valid","")</f>
        <v>Transaction Amount is not valid</v>
      </c>
      <c r="E10" s="103" t="str">
        <f>IF(AND(LEN(E9)&lt;&gt;8,LEN(E9)&lt;&gt;11),
    "BIC must be 8 or 11 characters long",
    IF(COUNTIF('Control Data (Hidden)'!$B$279:$B$335,E9)=0,
        "Warning: Is IBAN Valid?",
        ""
    )
)</f>
        <v>BIC must be 8 or 11 characters long</v>
      </c>
      <c r="F10" s="103" t="str">
        <f>IF(OR(LEN(F9)&lt;1,LEN(F9)&gt;70),"Creditor's Name must be between 1 and 70 characters long","")</f>
        <v>Creditor's Name must be between 1 and 70 characters long</v>
      </c>
      <c r="G10" s="103" t="str">
        <f>IF(LEN(G9)&gt;70,"Address cannot be longer than 70 characters","")</f>
        <v/>
      </c>
      <c r="H10" s="103" t="str">
        <f>IF(LEN(H9)&gt;16,"Building Number cannot be longer than 16 characters","")</f>
        <v/>
      </c>
      <c r="I10" s="103" t="str">
        <f>IF(LEN(I9)&gt;35,"Building Name cannot be longer than 35 characters","")</f>
        <v/>
      </c>
      <c r="J10" s="103" t="str">
        <f>IF(LEN(J9)&gt;16,"Postal Code cannot be longer than 16 characters","")</f>
        <v/>
      </c>
      <c r="K10" s="103" t="str">
        <f>IF(OR(LEN(K9)&lt;1,LEN(K9)&gt;35),"Town Name must be between 1 and 35 characters long","")</f>
        <v>Town Name must be between 1 and 35 characters long</v>
      </c>
      <c r="L10" s="103" t="str">
        <f>IF(NOT(LEN(L9)=2),"Country Code must be 2 characters long","")</f>
        <v>Country Code must be 2 characters long</v>
      </c>
      <c r="M10" s="103" t="str">
        <f>IF(OR(LEN(M9)&lt;10,LEN(M9)&gt;34),"IBAN may be up to 34 characters long","")</f>
        <v>IBAN may be up to 34 characters long</v>
      </c>
      <c r="N10" s="103" t="str">
        <f>IF(ISBLANK(N9),"Code cannot be left blank","")</f>
        <v>Code cannot be left blank</v>
      </c>
      <c r="O10" s="103" t="str">
        <f>IF(OR(LEN(O9)&lt;1,LEN(O9)&gt;140),"Transaction Details must be between 1 and 140 characters long","")</f>
        <v>Transaction Details must be between 1 and 140 characters long</v>
      </c>
      <c r="Q10" s="96" t="s">
        <v>13</v>
      </c>
    </row>
    <row r="11" spans="1:17" s="109" customFormat="1">
      <c r="A11" s="108"/>
      <c r="B11" s="108"/>
      <c r="C11" s="108" t="s">
        <v>83</v>
      </c>
      <c r="D11" s="108"/>
      <c r="E11" s="108"/>
      <c r="F11" s="108"/>
      <c r="G11" s="108"/>
      <c r="H11" s="108"/>
      <c r="I11" s="108"/>
      <c r="J11" s="108"/>
      <c r="K11" s="108"/>
      <c r="L11" s="108"/>
      <c r="M11" s="108"/>
      <c r="N11" s="108"/>
      <c r="O11" s="108"/>
      <c r="Q11" s="110" t="s">
        <v>12</v>
      </c>
    </row>
    <row r="12" spans="1:17" s="105" customFormat="1" ht="36">
      <c r="A12" s="103" t="str">
        <f>IF(OR(LEN(A11)&lt;1,LEN(A11)&gt;35),"Transaction Identification must be between 1 and 35 characters long","")</f>
        <v>Transaction Identification must be between 1 and 35 characters long</v>
      </c>
      <c r="B12" s="103" t="str">
        <f>IF(OR(LEN(B11)&lt;1,LEN(B11)&gt;35),"Uniqie Identification must be between 1 and 35 characters long","")</f>
        <v>Uniqie Identification must be between 1 and 35 characters long</v>
      </c>
      <c r="C12" s="106"/>
      <c r="D12" s="103" t="str">
        <f>IF(OR(D11&lt;0.01,D11&gt;9999999999999990),"Transaction Amount is not valid","")</f>
        <v>Transaction Amount is not valid</v>
      </c>
      <c r="E12" s="103" t="str">
        <f>IF(AND(LEN(E11)&lt;&gt;8,LEN(E11)&lt;&gt;11),
    "BIC must be 8 or 11 characters long",
    IF(COUNTIF('Control Data (Hidden)'!$B$279:$B$335,E11)=0,
        "Warning: Is IBAN Valid?",
        ""
    )
)</f>
        <v>BIC must be 8 or 11 characters long</v>
      </c>
      <c r="F12" s="103" t="str">
        <f>IF(OR(LEN(F11)&lt;1,LEN(F11)&gt;70),"Creditor's Name must be between 1 and 70 characters long","")</f>
        <v>Creditor's Name must be between 1 and 70 characters long</v>
      </c>
      <c r="G12" s="103" t="str">
        <f>IF(LEN(G11)&gt;70,"Address cannot be longer than 70 characters","")</f>
        <v/>
      </c>
      <c r="H12" s="103" t="str">
        <f>IF(LEN(H11)&gt;16,"Building Number cannot be longer than 16 characters","")</f>
        <v/>
      </c>
      <c r="I12" s="103" t="str">
        <f>IF(LEN(I11)&gt;35,"Building Name cannot be longer than 35 characters","")</f>
        <v/>
      </c>
      <c r="J12" s="103" t="str">
        <f>IF(LEN(J11)&gt;16,"Postal Code cannot be longer than 16 characters","")</f>
        <v/>
      </c>
      <c r="K12" s="103" t="str">
        <f>IF(OR(LEN(K11)&lt;1,LEN(K11)&gt;35),"Town Name must be between 1 and 35 characters long","")</f>
        <v>Town Name must be between 1 and 35 characters long</v>
      </c>
      <c r="L12" s="103" t="str">
        <f>IF(NOT(LEN(L11)=2),"Country Code must be 2 characters long","")</f>
        <v>Country Code must be 2 characters long</v>
      </c>
      <c r="M12" s="103" t="str">
        <f>IF(OR(LEN(M11)&lt;10,LEN(M11)&gt;34),"IBAN may be up to 34 characters long","")</f>
        <v>IBAN may be up to 34 characters long</v>
      </c>
      <c r="N12" s="103" t="str">
        <f>IF(ISBLANK(N11),"Code cannot be left blank","")</f>
        <v>Code cannot be left blank</v>
      </c>
      <c r="O12" s="103" t="str">
        <f>IF(OR(LEN(O11)&lt;1,LEN(O11)&gt;140),"Transaction Details must be between 1 and 140 characters long","")</f>
        <v>Transaction Details must be between 1 and 140 characters long</v>
      </c>
      <c r="Q12" s="96" t="s">
        <v>13</v>
      </c>
    </row>
    <row r="13" spans="1:17" s="109" customFormat="1">
      <c r="A13" s="108"/>
      <c r="B13" s="108"/>
      <c r="C13" s="108" t="s">
        <v>83</v>
      </c>
      <c r="D13" s="108"/>
      <c r="E13" s="108"/>
      <c r="F13" s="108"/>
      <c r="G13" s="108"/>
      <c r="H13" s="108"/>
      <c r="I13" s="108"/>
      <c r="J13" s="108"/>
      <c r="K13" s="108"/>
      <c r="L13" s="108"/>
      <c r="M13" s="108"/>
      <c r="N13" s="108"/>
      <c r="O13" s="108"/>
      <c r="Q13" s="110" t="s">
        <v>12</v>
      </c>
    </row>
    <row r="14" spans="1:17" s="105" customFormat="1" ht="36">
      <c r="A14" s="103" t="str">
        <f>IF(OR(LEN(A13)&lt;1,LEN(A13)&gt;35),"Transaction Identification must be between 1 and 35 characters long","")</f>
        <v>Transaction Identification must be between 1 and 35 characters long</v>
      </c>
      <c r="B14" s="103" t="str">
        <f>IF(OR(LEN(B13)&lt;1,LEN(B13)&gt;35),"Uniqie Identification must be between 1 and 35 characters long","")</f>
        <v>Uniqie Identification must be between 1 and 35 characters long</v>
      </c>
      <c r="C14" s="106"/>
      <c r="D14" s="103" t="str">
        <f>IF(OR(D13&lt;0.01,D13&gt;9999999999999990),"Transaction Amount is not valid","")</f>
        <v>Transaction Amount is not valid</v>
      </c>
      <c r="E14" s="103" t="str">
        <f>IF(AND(LEN(E13)&lt;&gt;8,LEN(E13)&lt;&gt;11),
    "BIC must be 8 or 11 characters long",
    IF(COUNTIF('Control Data (Hidden)'!$B$279:$B$335,E13)=0,
        "Warning: Is IBAN Valid?",
        ""
    )
)</f>
        <v>BIC must be 8 or 11 characters long</v>
      </c>
      <c r="F14" s="103" t="str">
        <f>IF(OR(LEN(F13)&lt;1,LEN(F13)&gt;70),"Creditor's Name must be between 1 and 70 characters long","")</f>
        <v>Creditor's Name must be between 1 and 70 characters long</v>
      </c>
      <c r="G14" s="103" t="str">
        <f>IF(LEN(G13)&gt;70,"Address cannot be longer than 70 characters","")</f>
        <v/>
      </c>
      <c r="H14" s="103" t="str">
        <f>IF(LEN(H13)&gt;16,"Building Number cannot be longer than 16 characters","")</f>
        <v/>
      </c>
      <c r="I14" s="103" t="str">
        <f>IF(LEN(I13)&gt;35,"Building Name cannot be longer than 35 characters","")</f>
        <v/>
      </c>
      <c r="J14" s="103" t="str">
        <f>IF(LEN(J13)&gt;16,"Postal Code cannot be longer than 16 characters","")</f>
        <v/>
      </c>
      <c r="K14" s="103" t="str">
        <f>IF(OR(LEN(K13)&lt;1,LEN(K13)&gt;35),"Town Name must be between 1 and 35 characters long","")</f>
        <v>Town Name must be between 1 and 35 characters long</v>
      </c>
      <c r="L14" s="103" t="str">
        <f>IF(NOT(LEN(L13)=2),"Country Code must be 2 characters long","")</f>
        <v>Country Code must be 2 characters long</v>
      </c>
      <c r="M14" s="103" t="str">
        <f>IF(OR(LEN(M13)&lt;10,LEN(M13)&gt;34),"IBAN may be up to 34 characters long","")</f>
        <v>IBAN may be up to 34 characters long</v>
      </c>
      <c r="N14" s="103" t="str">
        <f>IF(ISBLANK(N13),"Code cannot be left blank","")</f>
        <v>Code cannot be left blank</v>
      </c>
      <c r="O14" s="103" t="str">
        <f>IF(OR(LEN(O13)&lt;1,LEN(O13)&gt;140),"Transaction Details must be between 1 and 140 characters long","")</f>
        <v>Transaction Details must be between 1 and 140 characters long</v>
      </c>
      <c r="Q14" s="96" t="s">
        <v>13</v>
      </c>
    </row>
    <row r="15" spans="1:17" s="109" customFormat="1">
      <c r="A15" s="108"/>
      <c r="B15" s="108"/>
      <c r="C15" s="108" t="s">
        <v>83</v>
      </c>
      <c r="D15" s="108"/>
      <c r="E15" s="108"/>
      <c r="F15" s="108"/>
      <c r="G15" s="108"/>
      <c r="H15" s="108"/>
      <c r="I15" s="108"/>
      <c r="J15" s="108"/>
      <c r="K15" s="108"/>
      <c r="L15" s="108"/>
      <c r="M15" s="108"/>
      <c r="N15" s="108"/>
      <c r="O15" s="108"/>
      <c r="Q15" s="110" t="s">
        <v>12</v>
      </c>
    </row>
    <row r="16" spans="1:17" s="105" customFormat="1" ht="36">
      <c r="A16" s="103" t="str">
        <f>IF(OR(LEN(A15)&lt;1,LEN(A15)&gt;35),"Transaction Identification must be between 1 and 35 characters long","")</f>
        <v>Transaction Identification must be between 1 and 35 characters long</v>
      </c>
      <c r="B16" s="103" t="str">
        <f>IF(OR(LEN(B15)&lt;1,LEN(B15)&gt;35),"Uniqie Identification must be between 1 and 35 characters long","")</f>
        <v>Uniqie Identification must be between 1 and 35 characters long</v>
      </c>
      <c r="C16" s="106"/>
      <c r="D16" s="103" t="str">
        <f>IF(OR(D15&lt;0.01,D15&gt;9999999999999990),"Transaction Amount is not valid","")</f>
        <v>Transaction Amount is not valid</v>
      </c>
      <c r="E16" s="103" t="str">
        <f>IF(AND(LEN(E15)&lt;&gt;8,LEN(E15)&lt;&gt;11),
    "BIC must be 8 or 11 characters long",
    IF(COUNTIF('Control Data (Hidden)'!$B$279:$B$335,E15)=0,
        "Warning: Is IBAN Valid?",
        ""
    )
)</f>
        <v>BIC must be 8 or 11 characters long</v>
      </c>
      <c r="F16" s="103" t="str">
        <f>IF(OR(LEN(F15)&lt;1,LEN(F15)&gt;70),"Creditor's Name must be between 1 and 70 characters long","")</f>
        <v>Creditor's Name must be between 1 and 70 characters long</v>
      </c>
      <c r="G16" s="103" t="str">
        <f>IF(LEN(G15)&gt;70,"Address cannot be longer than 70 characters","")</f>
        <v/>
      </c>
      <c r="H16" s="103" t="str">
        <f>IF(LEN(H15)&gt;16,"Building Number cannot be longer than 16 characters","")</f>
        <v/>
      </c>
      <c r="I16" s="103" t="str">
        <f>IF(LEN(I15)&gt;35,"Building Name cannot be longer than 35 characters","")</f>
        <v/>
      </c>
      <c r="J16" s="103" t="str">
        <f>IF(LEN(J15)&gt;16,"Postal Code cannot be longer than 16 characters","")</f>
        <v/>
      </c>
      <c r="K16" s="103" t="str">
        <f>IF(OR(LEN(K15)&lt;1,LEN(K15)&gt;35),"Town Name must be between 1 and 35 characters long","")</f>
        <v>Town Name must be between 1 and 35 characters long</v>
      </c>
      <c r="L16" s="103" t="str">
        <f>IF(NOT(LEN(L15)=2),"Country Code must be 2 characters long","")</f>
        <v>Country Code must be 2 characters long</v>
      </c>
      <c r="M16" s="103" t="str">
        <f>IF(OR(LEN(M15)&lt;10,LEN(M15)&gt;34),"IBAN may be up to 34 characters long","")</f>
        <v>IBAN may be up to 34 characters long</v>
      </c>
      <c r="N16" s="103" t="str">
        <f>IF(ISBLANK(N15),"Code cannot be left blank","")</f>
        <v>Code cannot be left blank</v>
      </c>
      <c r="O16" s="103" t="str">
        <f>IF(OR(LEN(O15)&lt;1,LEN(O15)&gt;140),"Transaction Details must be between 1 and 140 characters long","")</f>
        <v>Transaction Details must be between 1 and 140 characters long</v>
      </c>
      <c r="Q16" s="96" t="s">
        <v>13</v>
      </c>
    </row>
    <row r="17" spans="1:17" s="109" customFormat="1">
      <c r="A17" s="108"/>
      <c r="B17" s="108"/>
      <c r="C17" s="108" t="s">
        <v>83</v>
      </c>
      <c r="D17" s="108"/>
      <c r="E17" s="108"/>
      <c r="F17" s="108"/>
      <c r="G17" s="108"/>
      <c r="H17" s="108"/>
      <c r="I17" s="108"/>
      <c r="J17" s="108"/>
      <c r="K17" s="108"/>
      <c r="L17" s="108"/>
      <c r="M17" s="108"/>
      <c r="N17" s="108"/>
      <c r="O17" s="108"/>
      <c r="Q17" s="110" t="s">
        <v>12</v>
      </c>
    </row>
    <row r="18" spans="1:17" s="105" customFormat="1" ht="36">
      <c r="A18" s="103" t="str">
        <f>IF(OR(LEN(A17)&lt;1,LEN(A17)&gt;35),"Transaction Identification must be between 1 and 35 characters long","")</f>
        <v>Transaction Identification must be between 1 and 35 characters long</v>
      </c>
      <c r="B18" s="103" t="str">
        <f>IF(OR(LEN(B17)&lt;1,LEN(B17)&gt;35),"Uniqie Identification must be between 1 and 35 characters long","")</f>
        <v>Uniqie Identification must be between 1 and 35 characters long</v>
      </c>
      <c r="C18" s="106"/>
      <c r="D18" s="103" t="str">
        <f>IF(OR(D17&lt;0.01,D17&gt;9999999999999990),"Transaction Amount is not valid","")</f>
        <v>Transaction Amount is not valid</v>
      </c>
      <c r="E18" s="103" t="str">
        <f>IF(AND(LEN(E17)&lt;&gt;8,LEN(E17)&lt;&gt;11),
    "BIC must be 8 or 11 characters long",
    IF(COUNTIF('Control Data (Hidden)'!$B$279:$B$335,E17)=0,
        "Warning: Is IBAN Valid?",
        ""
    )
)</f>
        <v>BIC must be 8 or 11 characters long</v>
      </c>
      <c r="F18" s="103" t="str">
        <f>IF(OR(LEN(F17)&lt;1,LEN(F17)&gt;70),"Creditor's Name must be between 1 and 70 characters long","")</f>
        <v>Creditor's Name must be between 1 and 70 characters long</v>
      </c>
      <c r="G18" s="103" t="str">
        <f>IF(LEN(G17)&gt;70,"Address cannot be longer than 70 characters","")</f>
        <v/>
      </c>
      <c r="H18" s="103" t="str">
        <f>IF(LEN(H17)&gt;16,"Building Number cannot be longer than 16 characters","")</f>
        <v/>
      </c>
      <c r="I18" s="103" t="str">
        <f>IF(LEN(I17)&gt;35,"Building Name cannot be longer than 35 characters","")</f>
        <v/>
      </c>
      <c r="J18" s="103" t="str">
        <f>IF(LEN(J17)&gt;16,"Postal Code cannot be longer than 16 characters","")</f>
        <v/>
      </c>
      <c r="K18" s="103" t="str">
        <f>IF(OR(LEN(K17)&lt;1,LEN(K17)&gt;35),"Town Name must be between 1 and 35 characters long","")</f>
        <v>Town Name must be between 1 and 35 characters long</v>
      </c>
      <c r="L18" s="103" t="str">
        <f>IF(NOT(LEN(L17)=2),"Country Code must be 2 characters long","")</f>
        <v>Country Code must be 2 characters long</v>
      </c>
      <c r="M18" s="103" t="str">
        <f>IF(OR(LEN(M17)&lt;10,LEN(M17)&gt;34),"IBAN may be up to 34 characters long","")</f>
        <v>IBAN may be up to 34 characters long</v>
      </c>
      <c r="N18" s="103" t="str">
        <f>IF(ISBLANK(N17),"Code cannot be left blank","")</f>
        <v>Code cannot be left blank</v>
      </c>
      <c r="O18" s="103" t="str">
        <f>IF(OR(LEN(O17)&lt;1,LEN(O17)&gt;140),"Transaction Details must be between 1 and 140 characters long","")</f>
        <v>Transaction Details must be between 1 and 140 characters long</v>
      </c>
      <c r="Q18" s="96" t="s">
        <v>13</v>
      </c>
    </row>
    <row r="19" spans="1:17" s="109" customFormat="1">
      <c r="A19" s="108"/>
      <c r="B19" s="108"/>
      <c r="C19" s="108" t="s">
        <v>83</v>
      </c>
      <c r="D19" s="108"/>
      <c r="E19" s="108"/>
      <c r="F19" s="108"/>
      <c r="G19" s="108"/>
      <c r="H19" s="108"/>
      <c r="I19" s="108"/>
      <c r="J19" s="108"/>
      <c r="K19" s="108"/>
      <c r="L19" s="108"/>
      <c r="M19" s="108"/>
      <c r="N19" s="108"/>
      <c r="O19" s="108"/>
      <c r="Q19" s="110" t="s">
        <v>12</v>
      </c>
    </row>
    <row r="20" spans="1:17" s="105" customFormat="1" ht="36">
      <c r="A20" s="103" t="str">
        <f>IF(OR(LEN(A19)&lt;1,LEN(A19)&gt;35),"Transaction Identification must be between 1 and 35 characters long","")</f>
        <v>Transaction Identification must be between 1 and 35 characters long</v>
      </c>
      <c r="B20" s="103" t="str">
        <f>IF(OR(LEN(B19)&lt;1,LEN(B19)&gt;35),"Uniqie Identification must be between 1 and 35 characters long","")</f>
        <v>Uniqie Identification must be between 1 and 35 characters long</v>
      </c>
      <c r="C20" s="106"/>
      <c r="D20" s="103" t="str">
        <f>IF(OR(D19&lt;0.01,D19&gt;9999999999999990),"Transaction Amount is not valid","")</f>
        <v>Transaction Amount is not valid</v>
      </c>
      <c r="E20" s="103" t="str">
        <f>IF(AND(LEN(E19)&lt;&gt;8,LEN(E19)&lt;&gt;11),
    "BIC must be 8 or 11 characters long",
    IF(COUNTIF('Control Data (Hidden)'!$B$279:$B$335,E19)=0,
        "Warning: Is IBAN Valid?",
        ""
    )
)</f>
        <v>BIC must be 8 or 11 characters long</v>
      </c>
      <c r="F20" s="103" t="str">
        <f>IF(OR(LEN(F19)&lt;1,LEN(F19)&gt;70),"Creditor's Name must be between 1 and 70 characters long","")</f>
        <v>Creditor's Name must be between 1 and 70 characters long</v>
      </c>
      <c r="G20" s="103" t="str">
        <f>IF(LEN(G19)&gt;70,"Address cannot be longer than 70 characters","")</f>
        <v/>
      </c>
      <c r="H20" s="103" t="str">
        <f>IF(LEN(H19)&gt;16,"Building Number cannot be longer than 16 characters","")</f>
        <v/>
      </c>
      <c r="I20" s="103" t="str">
        <f>IF(LEN(I19)&gt;35,"Building Name cannot be longer than 35 characters","")</f>
        <v/>
      </c>
      <c r="J20" s="103" t="str">
        <f>IF(LEN(J19)&gt;16,"Postal Code cannot be longer than 16 characters","")</f>
        <v/>
      </c>
      <c r="K20" s="103" t="str">
        <f>IF(OR(LEN(K19)&lt;1,LEN(K19)&gt;35),"Town Name must be between 1 and 35 characters long","")</f>
        <v>Town Name must be between 1 and 35 characters long</v>
      </c>
      <c r="L20" s="103" t="str">
        <f>IF(NOT(LEN(L19)=2),"Country Code must be 2 characters long","")</f>
        <v>Country Code must be 2 characters long</v>
      </c>
      <c r="M20" s="103" t="str">
        <f>IF(OR(LEN(M19)&lt;10,LEN(M19)&gt;34),"IBAN may be up to 34 characters long","")</f>
        <v>IBAN may be up to 34 characters long</v>
      </c>
      <c r="N20" s="103" t="str">
        <f>IF(ISBLANK(N19),"Code cannot be left blank","")</f>
        <v>Code cannot be left blank</v>
      </c>
      <c r="O20" s="103" t="str">
        <f>IF(OR(LEN(O19)&lt;1,LEN(O19)&gt;140),"Transaction Details must be between 1 and 140 characters long","")</f>
        <v>Transaction Details must be between 1 and 140 characters long</v>
      </c>
      <c r="Q20" s="96" t="s">
        <v>13</v>
      </c>
    </row>
    <row r="21" spans="1:17" s="109" customFormat="1">
      <c r="A21" s="108"/>
      <c r="B21" s="108"/>
      <c r="C21" s="108" t="s">
        <v>83</v>
      </c>
      <c r="D21" s="108"/>
      <c r="E21" s="108"/>
      <c r="F21" s="108"/>
      <c r="G21" s="108"/>
      <c r="H21" s="108"/>
      <c r="I21" s="108"/>
      <c r="J21" s="108"/>
      <c r="K21" s="108"/>
      <c r="L21" s="108"/>
      <c r="M21" s="108"/>
      <c r="N21" s="108"/>
      <c r="O21" s="108"/>
      <c r="Q21" s="110" t="s">
        <v>12</v>
      </c>
    </row>
    <row r="22" spans="1:17" s="105" customFormat="1" ht="36">
      <c r="A22" s="103" t="str">
        <f>IF(OR(LEN(A21)&lt;1,LEN(A21)&gt;35),"Transaction Identification must be between 1 and 35 characters long","")</f>
        <v>Transaction Identification must be between 1 and 35 characters long</v>
      </c>
      <c r="B22" s="103" t="str">
        <f>IF(OR(LEN(B21)&lt;1,LEN(B21)&gt;35),"Uniqie Identification must be between 1 and 35 characters long","")</f>
        <v>Uniqie Identification must be between 1 and 35 characters long</v>
      </c>
      <c r="C22" s="106"/>
      <c r="D22" s="103" t="str">
        <f>IF(OR(D21&lt;0.01,D21&gt;9999999999999990),"Transaction Amount is not valid","")</f>
        <v>Transaction Amount is not valid</v>
      </c>
      <c r="E22" s="103" t="str">
        <f>IF(AND(LEN(E21)&lt;&gt;8,LEN(E21)&lt;&gt;11),
    "BIC must be 8 or 11 characters long",
    IF(COUNTIF('Control Data (Hidden)'!$B$279:$B$335,E21)=0,
        "Warning: Is IBAN Valid?",
        ""
    )
)</f>
        <v>BIC must be 8 or 11 characters long</v>
      </c>
      <c r="F22" s="103" t="str">
        <f>IF(OR(LEN(F21)&lt;1,LEN(F21)&gt;70),"Creditor's Name must be between 1 and 70 characters long","")</f>
        <v>Creditor's Name must be between 1 and 70 characters long</v>
      </c>
      <c r="G22" s="103" t="str">
        <f>IF(LEN(G21)&gt;70,"Address cannot be longer than 70 characters","")</f>
        <v/>
      </c>
      <c r="H22" s="103" t="str">
        <f>IF(LEN(H21)&gt;16,"Building Number cannot be longer than 16 characters","")</f>
        <v/>
      </c>
      <c r="I22" s="103" t="str">
        <f>IF(LEN(I21)&gt;35,"Building Name cannot be longer than 35 characters","")</f>
        <v/>
      </c>
      <c r="J22" s="103" t="str">
        <f>IF(LEN(J21)&gt;16,"Postal Code cannot be longer than 16 characters","")</f>
        <v/>
      </c>
      <c r="K22" s="103" t="str">
        <f>IF(OR(LEN(K21)&lt;1,LEN(K21)&gt;35),"Town Name must be between 1 and 35 characters long","")</f>
        <v>Town Name must be between 1 and 35 characters long</v>
      </c>
      <c r="L22" s="103" t="str">
        <f>IF(NOT(LEN(L21)=2),"Country Code must be 2 characters long","")</f>
        <v>Country Code must be 2 characters long</v>
      </c>
      <c r="M22" s="103" t="str">
        <f>IF(OR(LEN(M21)&lt;10,LEN(M21)&gt;34),"IBAN may be up to 34 characters long","")</f>
        <v>IBAN may be up to 34 characters long</v>
      </c>
      <c r="N22" s="103" t="str">
        <f>IF(ISBLANK(N21),"Code cannot be left blank","")</f>
        <v>Code cannot be left blank</v>
      </c>
      <c r="O22" s="103" t="str">
        <f>IF(OR(LEN(O21)&lt;1,LEN(O21)&gt;140),"Transaction Details must be between 1 and 140 characters long","")</f>
        <v>Transaction Details must be between 1 and 140 characters long</v>
      </c>
      <c r="Q22" s="96" t="s">
        <v>13</v>
      </c>
    </row>
    <row r="23" spans="1:17" s="109" customFormat="1">
      <c r="A23" s="108"/>
      <c r="B23" s="108"/>
      <c r="C23" s="108" t="s">
        <v>83</v>
      </c>
      <c r="D23" s="108"/>
      <c r="E23" s="108"/>
      <c r="F23" s="108"/>
      <c r="G23" s="108"/>
      <c r="H23" s="108"/>
      <c r="I23" s="108"/>
      <c r="J23" s="108"/>
      <c r="K23" s="108"/>
      <c r="L23" s="108"/>
      <c r="M23" s="108"/>
      <c r="N23" s="108"/>
      <c r="O23" s="108"/>
      <c r="Q23" s="110" t="s">
        <v>12</v>
      </c>
    </row>
    <row r="24" spans="1:17" s="105" customFormat="1" ht="36">
      <c r="A24" s="103" t="str">
        <f>IF(OR(LEN(A23)&lt;1,LEN(A23)&gt;35),"Transaction Identification must be between 1 and 35 characters long","")</f>
        <v>Transaction Identification must be between 1 and 35 characters long</v>
      </c>
      <c r="B24" s="103" t="str">
        <f>IF(OR(LEN(B23)&lt;1,LEN(B23)&gt;35),"Uniqie Identification must be between 1 and 35 characters long","")</f>
        <v>Uniqie Identification must be between 1 and 35 characters long</v>
      </c>
      <c r="C24" s="106"/>
      <c r="D24" s="103" t="str">
        <f>IF(OR(D23&lt;0.01,D23&gt;9999999999999990),"Transaction Amount is not valid","")</f>
        <v>Transaction Amount is not valid</v>
      </c>
      <c r="E24" s="103" t="str">
        <f>IF(AND(LEN(E23)&lt;&gt;8,LEN(E23)&lt;&gt;11),
    "BIC must be 8 or 11 characters long",
    IF(COUNTIF('Control Data (Hidden)'!$B$279:$B$335,E23)=0,
        "Warning: Is IBAN Valid?",
        ""
    )
)</f>
        <v>BIC must be 8 or 11 characters long</v>
      </c>
      <c r="F24" s="103" t="str">
        <f>IF(OR(LEN(F23)&lt;1,LEN(F23)&gt;70),"Creditor's Name must be between 1 and 70 characters long","")</f>
        <v>Creditor's Name must be between 1 and 70 characters long</v>
      </c>
      <c r="G24" s="103" t="str">
        <f>IF(LEN(G23)&gt;70,"Address cannot be longer than 70 characters","")</f>
        <v/>
      </c>
      <c r="H24" s="103" t="str">
        <f>IF(LEN(H23)&gt;16,"Building Number cannot be longer than 16 characters","")</f>
        <v/>
      </c>
      <c r="I24" s="103" t="str">
        <f>IF(LEN(I23)&gt;35,"Building Name cannot be longer than 35 characters","")</f>
        <v/>
      </c>
      <c r="J24" s="103" t="str">
        <f>IF(LEN(J23)&gt;16,"Postal Code cannot be longer than 16 characters","")</f>
        <v/>
      </c>
      <c r="K24" s="103" t="str">
        <f>IF(OR(LEN(K23)&lt;1,LEN(K23)&gt;35),"Town Name must be between 1 and 35 characters long","")</f>
        <v>Town Name must be between 1 and 35 characters long</v>
      </c>
      <c r="L24" s="103" t="str">
        <f>IF(NOT(LEN(L23)=2),"Country Code must be 2 characters long","")</f>
        <v>Country Code must be 2 characters long</v>
      </c>
      <c r="M24" s="103" t="str">
        <f>IF(OR(LEN(M23)&lt;10,LEN(M23)&gt;34),"IBAN may be up to 34 characters long","")</f>
        <v>IBAN may be up to 34 characters long</v>
      </c>
      <c r="N24" s="103" t="str">
        <f>IF(ISBLANK(N23),"Code cannot be left blank","")</f>
        <v>Code cannot be left blank</v>
      </c>
      <c r="O24" s="103" t="str">
        <f>IF(OR(LEN(O23)&lt;1,LEN(O23)&gt;140),"Transaction Details must be between 1 and 140 characters long","")</f>
        <v>Transaction Details must be between 1 and 140 characters long</v>
      </c>
      <c r="Q24" s="96" t="s">
        <v>13</v>
      </c>
    </row>
    <row r="25" spans="1:17" s="109" customFormat="1">
      <c r="A25" s="108"/>
      <c r="B25" s="108"/>
      <c r="C25" s="108" t="s">
        <v>83</v>
      </c>
      <c r="D25" s="108"/>
      <c r="E25" s="108"/>
      <c r="F25" s="108"/>
      <c r="G25" s="108"/>
      <c r="H25" s="108"/>
      <c r="I25" s="108"/>
      <c r="J25" s="108"/>
      <c r="K25" s="108"/>
      <c r="L25" s="108"/>
      <c r="M25" s="108"/>
      <c r="N25" s="108"/>
      <c r="O25" s="108"/>
      <c r="Q25" s="110" t="s">
        <v>12</v>
      </c>
    </row>
    <row r="26" spans="1:17" s="105" customFormat="1" ht="36">
      <c r="A26" s="103" t="str">
        <f>IF(OR(LEN(A25)&lt;1,LEN(A25)&gt;35),"Transaction Identification must be between 1 and 35 characters long","")</f>
        <v>Transaction Identification must be between 1 and 35 characters long</v>
      </c>
      <c r="B26" s="103" t="str">
        <f>IF(OR(LEN(B25)&lt;1,LEN(B25)&gt;35),"Uniqie Identification must be between 1 and 35 characters long","")</f>
        <v>Uniqie Identification must be between 1 and 35 characters long</v>
      </c>
      <c r="C26" s="106"/>
      <c r="D26" s="103" t="str">
        <f>IF(OR(D25&lt;0.01,D25&gt;9999999999999990),"Transaction Amount is not valid","")</f>
        <v>Transaction Amount is not valid</v>
      </c>
      <c r="E26" s="103" t="str">
        <f>IF(AND(LEN(E25)&lt;&gt;8,LEN(E25)&lt;&gt;11),
    "BIC must be 8 or 11 characters long",
    IF(COUNTIF('Control Data (Hidden)'!$B$279:$B$335,E25)=0,
        "Warning: Is IBAN Valid?",
        ""
    )
)</f>
        <v>BIC must be 8 or 11 characters long</v>
      </c>
      <c r="F26" s="103" t="str">
        <f>IF(OR(LEN(F25)&lt;1,LEN(F25)&gt;70),"Creditor's Name must be between 1 and 70 characters long","")</f>
        <v>Creditor's Name must be between 1 and 70 characters long</v>
      </c>
      <c r="G26" s="103" t="str">
        <f>IF(LEN(G25)&gt;70,"Address cannot be longer than 70 characters","")</f>
        <v/>
      </c>
      <c r="H26" s="103" t="str">
        <f>IF(LEN(H25)&gt;16,"Building Number cannot be longer than 16 characters","")</f>
        <v/>
      </c>
      <c r="I26" s="103" t="str">
        <f>IF(LEN(I25)&gt;35,"Building Name cannot be longer than 35 characters","")</f>
        <v/>
      </c>
      <c r="J26" s="103" t="str">
        <f>IF(LEN(J25)&gt;16,"Postal Code cannot be longer than 16 characters","")</f>
        <v/>
      </c>
      <c r="K26" s="103" t="str">
        <f>IF(OR(LEN(K25)&lt;1,LEN(K25)&gt;35),"Town Name must be between 1 and 35 characters long","")</f>
        <v>Town Name must be between 1 and 35 characters long</v>
      </c>
      <c r="L26" s="103" t="str">
        <f>IF(NOT(LEN(L25)=2),"Country Code must be 2 characters long","")</f>
        <v>Country Code must be 2 characters long</v>
      </c>
      <c r="M26" s="103" t="str">
        <f>IF(OR(LEN(M25)&lt;10,LEN(M25)&gt;34),"IBAN may be up to 34 characters long","")</f>
        <v>IBAN may be up to 34 characters long</v>
      </c>
      <c r="N26" s="103" t="str">
        <f>IF(ISBLANK(N25),"Code cannot be left blank","")</f>
        <v>Code cannot be left blank</v>
      </c>
      <c r="O26" s="103" t="str">
        <f>IF(OR(LEN(O25)&lt;1,LEN(O25)&gt;140),"Transaction Details must be between 1 and 140 characters long","")</f>
        <v>Transaction Details must be between 1 and 140 characters long</v>
      </c>
      <c r="Q26" s="96" t="s">
        <v>13</v>
      </c>
    </row>
    <row r="27" spans="1:17" s="109" customFormat="1">
      <c r="A27" s="108"/>
      <c r="B27" s="108"/>
      <c r="C27" s="108" t="s">
        <v>83</v>
      </c>
      <c r="D27" s="108"/>
      <c r="E27" s="108"/>
      <c r="F27" s="108"/>
      <c r="G27" s="108"/>
      <c r="H27" s="108"/>
      <c r="I27" s="108"/>
      <c r="J27" s="108"/>
      <c r="K27" s="108"/>
      <c r="L27" s="108"/>
      <c r="M27" s="108"/>
      <c r="N27" s="108"/>
      <c r="O27" s="108"/>
      <c r="Q27" s="110" t="s">
        <v>12</v>
      </c>
    </row>
    <row r="28" spans="1:17" s="105" customFormat="1" ht="36">
      <c r="A28" s="103" t="str">
        <f>IF(OR(LEN(A27)&lt;1,LEN(A27)&gt;35),"Transaction Identification must be between 1 and 35 characters long","")</f>
        <v>Transaction Identification must be between 1 and 35 characters long</v>
      </c>
      <c r="B28" s="103" t="str">
        <f>IF(OR(LEN(B27)&lt;1,LEN(B27)&gt;35),"Uniqie Identification must be between 1 and 35 characters long","")</f>
        <v>Uniqie Identification must be between 1 and 35 characters long</v>
      </c>
      <c r="C28" s="106"/>
      <c r="D28" s="103" t="str">
        <f>IF(OR(D27&lt;0.01,D27&gt;9999999999999990),"Transaction Amount is not valid","")</f>
        <v>Transaction Amount is not valid</v>
      </c>
      <c r="E28" s="103" t="str">
        <f>IF(AND(LEN(E27)&lt;&gt;8,LEN(E27)&lt;&gt;11),
    "BIC must be 8 or 11 characters long",
    IF(COUNTIF('Control Data (Hidden)'!$B$279:$B$335,E27)=0,
        "Warning: Is IBAN Valid?",
        ""
    )
)</f>
        <v>BIC must be 8 or 11 characters long</v>
      </c>
      <c r="F28" s="103" t="str">
        <f>IF(OR(LEN(F27)&lt;1,LEN(F27)&gt;70),"Creditor's Name must be between 1 and 70 characters long","")</f>
        <v>Creditor's Name must be between 1 and 70 characters long</v>
      </c>
      <c r="G28" s="103" t="str">
        <f>IF(LEN(G27)&gt;70,"Address cannot be longer than 70 characters","")</f>
        <v/>
      </c>
      <c r="H28" s="103" t="str">
        <f>IF(LEN(H27)&gt;16,"Building Number cannot be longer than 16 characters","")</f>
        <v/>
      </c>
      <c r="I28" s="103" t="str">
        <f>IF(LEN(I27)&gt;35,"Building Name cannot be longer than 35 characters","")</f>
        <v/>
      </c>
      <c r="J28" s="103" t="str">
        <f>IF(LEN(J27)&gt;16,"Postal Code cannot be longer than 16 characters","")</f>
        <v/>
      </c>
      <c r="K28" s="103" t="str">
        <f>IF(OR(LEN(K27)&lt;1,LEN(K27)&gt;35),"Town Name must be between 1 and 35 characters long","")</f>
        <v>Town Name must be between 1 and 35 characters long</v>
      </c>
      <c r="L28" s="103" t="str">
        <f>IF(NOT(LEN(L27)=2),"Country Code must be 2 characters long","")</f>
        <v>Country Code must be 2 characters long</v>
      </c>
      <c r="M28" s="103" t="str">
        <f>IF(OR(LEN(M27)&lt;10,LEN(M27)&gt;34),"IBAN may be up to 34 characters long","")</f>
        <v>IBAN may be up to 34 characters long</v>
      </c>
      <c r="N28" s="103" t="str">
        <f>IF(ISBLANK(N27),"Code cannot be left blank","")</f>
        <v>Code cannot be left blank</v>
      </c>
      <c r="O28" s="103" t="str">
        <f>IF(OR(LEN(O27)&lt;1,LEN(O27)&gt;140),"Transaction Details must be between 1 and 140 characters long","")</f>
        <v>Transaction Details must be between 1 and 140 characters long</v>
      </c>
      <c r="Q28" s="96" t="s">
        <v>13</v>
      </c>
    </row>
    <row r="29" spans="1:17" s="109" customFormat="1">
      <c r="A29" s="108"/>
      <c r="B29" s="108"/>
      <c r="C29" s="108" t="s">
        <v>83</v>
      </c>
      <c r="D29" s="108"/>
      <c r="E29" s="108"/>
      <c r="F29" s="108"/>
      <c r="G29" s="108"/>
      <c r="H29" s="108"/>
      <c r="I29" s="108"/>
      <c r="J29" s="108"/>
      <c r="K29" s="108"/>
      <c r="L29" s="108"/>
      <c r="M29" s="108"/>
      <c r="N29" s="108"/>
      <c r="O29" s="108"/>
      <c r="Q29" s="110" t="s">
        <v>12</v>
      </c>
    </row>
    <row r="30" spans="1:17" s="105" customFormat="1" ht="36">
      <c r="A30" s="103" t="str">
        <f>IF(OR(LEN(A29)&lt;1,LEN(A29)&gt;35),"Transaction Identification must be between 1 and 35 characters long","")</f>
        <v>Transaction Identification must be between 1 and 35 characters long</v>
      </c>
      <c r="B30" s="103" t="str">
        <f>IF(OR(LEN(B29)&lt;1,LEN(B29)&gt;35),"Uniqie Identification must be between 1 and 35 characters long","")</f>
        <v>Uniqie Identification must be between 1 and 35 characters long</v>
      </c>
      <c r="C30" s="106"/>
      <c r="D30" s="103" t="str">
        <f>IF(OR(D29&lt;0.01,D29&gt;9999999999999990),"Transaction Amount is not valid","")</f>
        <v>Transaction Amount is not valid</v>
      </c>
      <c r="E30" s="103" t="str">
        <f>IF(AND(LEN(E29)&lt;&gt;8,LEN(E29)&lt;&gt;11),
    "BIC must be 8 or 11 characters long",
    IF(COUNTIF('Control Data (Hidden)'!$B$279:$B$335,E29)=0,
        "Warning: Is IBAN Valid?",
        ""
    )
)</f>
        <v>BIC must be 8 or 11 characters long</v>
      </c>
      <c r="F30" s="103" t="str">
        <f>IF(OR(LEN(F29)&lt;1,LEN(F29)&gt;70),"Creditor's Name must be between 1 and 70 characters long","")</f>
        <v>Creditor's Name must be between 1 and 70 characters long</v>
      </c>
      <c r="G30" s="103" t="str">
        <f>IF(LEN(G29)&gt;70,"Address cannot be longer than 70 characters","")</f>
        <v/>
      </c>
      <c r="H30" s="103" t="str">
        <f>IF(LEN(H29)&gt;16,"Building Number cannot be longer than 16 characters","")</f>
        <v/>
      </c>
      <c r="I30" s="103" t="str">
        <f>IF(LEN(I29)&gt;35,"Building Name cannot be longer than 35 characters","")</f>
        <v/>
      </c>
      <c r="J30" s="103" t="str">
        <f>IF(LEN(J29)&gt;16,"Postal Code cannot be longer than 16 characters","")</f>
        <v/>
      </c>
      <c r="K30" s="103" t="str">
        <f>IF(OR(LEN(K29)&lt;1,LEN(K29)&gt;35),"Town Name must be between 1 and 35 characters long","")</f>
        <v>Town Name must be between 1 and 35 characters long</v>
      </c>
      <c r="L30" s="103" t="str">
        <f>IF(NOT(LEN(L29)=2),"Country Code must be 2 characters long","")</f>
        <v>Country Code must be 2 characters long</v>
      </c>
      <c r="M30" s="103" t="str">
        <f>IF(OR(LEN(M29)&lt;10,LEN(M29)&gt;34),"IBAN may be up to 34 characters long","")</f>
        <v>IBAN may be up to 34 characters long</v>
      </c>
      <c r="N30" s="103" t="str">
        <f>IF(ISBLANK(N29),"Code cannot be left blank","")</f>
        <v>Code cannot be left blank</v>
      </c>
      <c r="O30" s="103" t="str">
        <f>IF(OR(LEN(O29)&lt;1,LEN(O29)&gt;140),"Transaction Details must be between 1 and 140 characters long","")</f>
        <v>Transaction Details must be between 1 and 140 characters long</v>
      </c>
      <c r="Q30" s="96" t="s">
        <v>13</v>
      </c>
    </row>
    <row r="31" spans="1:17" s="109" customFormat="1">
      <c r="A31" s="108"/>
      <c r="B31" s="108"/>
      <c r="C31" s="108" t="s">
        <v>83</v>
      </c>
      <c r="D31" s="108"/>
      <c r="E31" s="108"/>
      <c r="F31" s="108"/>
      <c r="G31" s="108"/>
      <c r="H31" s="108"/>
      <c r="I31" s="108"/>
      <c r="J31" s="108"/>
      <c r="K31" s="108"/>
      <c r="L31" s="108"/>
      <c r="M31" s="108"/>
      <c r="N31" s="108"/>
      <c r="O31" s="108"/>
      <c r="Q31" s="110" t="s">
        <v>12</v>
      </c>
    </row>
    <row r="32" spans="1:17" s="105" customFormat="1" ht="36">
      <c r="A32" s="103" t="str">
        <f>IF(OR(LEN(A31)&lt;1,LEN(A31)&gt;35),"Transaction Identification must be between 1 and 35 characters long","")</f>
        <v>Transaction Identification must be between 1 and 35 characters long</v>
      </c>
      <c r="B32" s="103" t="str">
        <f>IF(OR(LEN(B31)&lt;1,LEN(B31)&gt;35),"Uniqie Identification must be between 1 and 35 characters long","")</f>
        <v>Uniqie Identification must be between 1 and 35 characters long</v>
      </c>
      <c r="C32" s="106"/>
      <c r="D32" s="103" t="str">
        <f>IF(OR(D31&lt;0.01,D31&gt;9999999999999990),"Transaction Amount is not valid","")</f>
        <v>Transaction Amount is not valid</v>
      </c>
      <c r="E32" s="103" t="str">
        <f>IF(AND(LEN(E31)&lt;&gt;8,LEN(E31)&lt;&gt;11),
    "BIC must be 8 or 11 characters long",
    IF(COUNTIF('Control Data (Hidden)'!$B$279:$B$335,E31)=0,
        "Warning: Is IBAN Valid?",
        ""
    )
)</f>
        <v>BIC must be 8 or 11 characters long</v>
      </c>
      <c r="F32" s="103" t="str">
        <f>IF(OR(LEN(F31)&lt;1,LEN(F31)&gt;70),"Creditor's Name must be between 1 and 70 characters long","")</f>
        <v>Creditor's Name must be between 1 and 70 characters long</v>
      </c>
      <c r="G32" s="103" t="str">
        <f>IF(LEN(G31)&gt;70,"Address cannot be longer than 70 characters","")</f>
        <v/>
      </c>
      <c r="H32" s="103" t="str">
        <f>IF(LEN(H31)&gt;16,"Building Number cannot be longer than 16 characters","")</f>
        <v/>
      </c>
      <c r="I32" s="103" t="str">
        <f>IF(LEN(I31)&gt;35,"Building Name cannot be longer than 35 characters","")</f>
        <v/>
      </c>
      <c r="J32" s="103" t="str">
        <f>IF(LEN(J31)&gt;16,"Postal Code cannot be longer than 16 characters","")</f>
        <v/>
      </c>
      <c r="K32" s="103" t="str">
        <f>IF(OR(LEN(K31)&lt;1,LEN(K31)&gt;35),"Town Name must be between 1 and 35 characters long","")</f>
        <v>Town Name must be between 1 and 35 characters long</v>
      </c>
      <c r="L32" s="103" t="str">
        <f>IF(NOT(LEN(L31)=2),"Country Code must be 2 characters long","")</f>
        <v>Country Code must be 2 characters long</v>
      </c>
      <c r="M32" s="103" t="str">
        <f>IF(OR(LEN(M31)&lt;10,LEN(M31)&gt;34),"IBAN may be up to 34 characters long","")</f>
        <v>IBAN may be up to 34 characters long</v>
      </c>
      <c r="N32" s="103" t="str">
        <f>IF(ISBLANK(N31),"Code cannot be left blank","")</f>
        <v>Code cannot be left blank</v>
      </c>
      <c r="O32" s="103" t="str">
        <f>IF(OR(LEN(O31)&lt;1,LEN(O31)&gt;140),"Transaction Details must be between 1 and 140 characters long","")</f>
        <v>Transaction Details must be between 1 and 140 characters long</v>
      </c>
      <c r="Q32" s="96" t="s">
        <v>13</v>
      </c>
    </row>
    <row r="33" spans="1:17" s="109" customFormat="1">
      <c r="A33" s="108"/>
      <c r="B33" s="108"/>
      <c r="C33" s="108" t="s">
        <v>83</v>
      </c>
      <c r="D33" s="108"/>
      <c r="E33" s="108"/>
      <c r="F33" s="108"/>
      <c r="G33" s="108"/>
      <c r="H33" s="108"/>
      <c r="I33" s="108"/>
      <c r="J33" s="108"/>
      <c r="K33" s="108"/>
      <c r="L33" s="108"/>
      <c r="M33" s="108"/>
      <c r="N33" s="108"/>
      <c r="O33" s="108"/>
      <c r="Q33" s="110" t="s">
        <v>12</v>
      </c>
    </row>
    <row r="34" spans="1:17" s="105" customFormat="1" ht="36">
      <c r="A34" s="103" t="str">
        <f>IF(OR(LEN(A33)&lt;1,LEN(A33)&gt;35),"Transaction Identification must be between 1 and 35 characters long","")</f>
        <v>Transaction Identification must be between 1 and 35 characters long</v>
      </c>
      <c r="B34" s="103" t="str">
        <f>IF(OR(LEN(B33)&lt;1,LEN(B33)&gt;35),"Uniqie Identification must be between 1 and 35 characters long","")</f>
        <v>Uniqie Identification must be between 1 and 35 characters long</v>
      </c>
      <c r="C34" s="106"/>
      <c r="D34" s="103" t="str">
        <f>IF(OR(D33&lt;0.01,D33&gt;9999999999999990),"Transaction Amount is not valid","")</f>
        <v>Transaction Amount is not valid</v>
      </c>
      <c r="E34" s="103" t="str">
        <f>IF(AND(LEN(E33)&lt;&gt;8,LEN(E33)&lt;&gt;11),
    "BIC must be 8 or 11 characters long",
    IF(COUNTIF('Control Data (Hidden)'!$B$279:$B$335,E33)=0,
        "Warning: Is IBAN Valid?",
        ""
    )
)</f>
        <v>BIC must be 8 or 11 characters long</v>
      </c>
      <c r="F34" s="103" t="str">
        <f>IF(OR(LEN(F33)&lt;1,LEN(F33)&gt;70),"Creditor's Name must be between 1 and 70 characters long","")</f>
        <v>Creditor's Name must be between 1 and 70 characters long</v>
      </c>
      <c r="G34" s="103" t="str">
        <f>IF(LEN(G33)&gt;70,"Address cannot be longer than 70 characters","")</f>
        <v/>
      </c>
      <c r="H34" s="103" t="str">
        <f>IF(LEN(H33)&gt;16,"Building Number cannot be longer than 16 characters","")</f>
        <v/>
      </c>
      <c r="I34" s="103" t="str">
        <f>IF(LEN(I33)&gt;35,"Building Name cannot be longer than 35 characters","")</f>
        <v/>
      </c>
      <c r="J34" s="103" t="str">
        <f>IF(LEN(J33)&gt;16,"Postal Code cannot be longer than 16 characters","")</f>
        <v/>
      </c>
      <c r="K34" s="103" t="str">
        <f>IF(OR(LEN(K33)&lt;1,LEN(K33)&gt;35),"Town Name must be between 1 and 35 characters long","")</f>
        <v>Town Name must be between 1 and 35 characters long</v>
      </c>
      <c r="L34" s="103" t="str">
        <f>IF(NOT(LEN(L33)=2),"Country Code must be 2 characters long","")</f>
        <v>Country Code must be 2 characters long</v>
      </c>
      <c r="M34" s="103" t="str">
        <f>IF(OR(LEN(M33)&lt;10,LEN(M33)&gt;34),"IBAN may be up to 34 characters long","")</f>
        <v>IBAN may be up to 34 characters long</v>
      </c>
      <c r="N34" s="103" t="str">
        <f>IF(ISBLANK(N33),"Code cannot be left blank","")</f>
        <v>Code cannot be left blank</v>
      </c>
      <c r="O34" s="103" t="str">
        <f>IF(OR(LEN(O33)&lt;1,LEN(O33)&gt;140),"Transaction Details must be between 1 and 140 characters long","")</f>
        <v>Transaction Details must be between 1 and 140 characters long</v>
      </c>
      <c r="Q34" s="96" t="s">
        <v>13</v>
      </c>
    </row>
    <row r="35" spans="1:17" s="109" customFormat="1">
      <c r="A35" s="108"/>
      <c r="B35" s="108"/>
      <c r="C35" s="108" t="s">
        <v>83</v>
      </c>
      <c r="D35" s="108"/>
      <c r="E35" s="108"/>
      <c r="F35" s="108"/>
      <c r="G35" s="108"/>
      <c r="H35" s="108"/>
      <c r="I35" s="108"/>
      <c r="J35" s="108"/>
      <c r="K35" s="108"/>
      <c r="L35" s="108"/>
      <c r="M35" s="108"/>
      <c r="N35" s="108"/>
      <c r="O35" s="108"/>
      <c r="Q35" s="110" t="s">
        <v>12</v>
      </c>
    </row>
    <row r="36" spans="1:17" s="105" customFormat="1" ht="36">
      <c r="A36" s="103" t="str">
        <f>IF(OR(LEN(A35)&lt;1,LEN(A35)&gt;35),"Transaction Identification must be between 1 and 35 characters long","")</f>
        <v>Transaction Identification must be between 1 and 35 characters long</v>
      </c>
      <c r="B36" s="103" t="str">
        <f>IF(OR(LEN(B35)&lt;1,LEN(B35)&gt;35),"Uniqie Identification must be between 1 and 35 characters long","")</f>
        <v>Uniqie Identification must be between 1 and 35 characters long</v>
      </c>
      <c r="C36" s="106"/>
      <c r="D36" s="103" t="str">
        <f>IF(OR(D35&lt;0.01,D35&gt;9999999999999990),"Transaction Amount is not valid","")</f>
        <v>Transaction Amount is not valid</v>
      </c>
      <c r="E36" s="103" t="str">
        <f>IF(AND(LEN(E35)&lt;&gt;8,LEN(E35)&lt;&gt;11),
    "BIC must be 8 or 11 characters long",
    IF(COUNTIF('Control Data (Hidden)'!$B$279:$B$335,E35)=0,
        "Warning: Is IBAN Valid?",
        ""
    )
)</f>
        <v>BIC must be 8 or 11 characters long</v>
      </c>
      <c r="F36" s="103" t="str">
        <f>IF(OR(LEN(F35)&lt;1,LEN(F35)&gt;70),"Creditor's Name must be between 1 and 70 characters long","")</f>
        <v>Creditor's Name must be between 1 and 70 characters long</v>
      </c>
      <c r="G36" s="103" t="str">
        <f>IF(LEN(G35)&gt;70,"Address cannot be longer than 70 characters","")</f>
        <v/>
      </c>
      <c r="H36" s="103" t="str">
        <f>IF(LEN(H35)&gt;16,"Building Number cannot be longer than 16 characters","")</f>
        <v/>
      </c>
      <c r="I36" s="103" t="str">
        <f>IF(LEN(I35)&gt;35,"Building Name cannot be longer than 35 characters","")</f>
        <v/>
      </c>
      <c r="J36" s="103" t="str">
        <f>IF(LEN(J35)&gt;16,"Postal Code cannot be longer than 16 characters","")</f>
        <v/>
      </c>
      <c r="K36" s="103" t="str">
        <f>IF(OR(LEN(K35)&lt;1,LEN(K35)&gt;35),"Town Name must be between 1 and 35 characters long","")</f>
        <v>Town Name must be between 1 and 35 characters long</v>
      </c>
      <c r="L36" s="103" t="str">
        <f>IF(NOT(LEN(L35)=2),"Country Code must be 2 characters long","")</f>
        <v>Country Code must be 2 characters long</v>
      </c>
      <c r="M36" s="103" t="str">
        <f>IF(OR(LEN(M35)&lt;10,LEN(M35)&gt;34),"IBAN may be up to 34 characters long","")</f>
        <v>IBAN may be up to 34 characters long</v>
      </c>
      <c r="N36" s="103" t="str">
        <f>IF(ISBLANK(N35),"Code cannot be left blank","")</f>
        <v>Code cannot be left blank</v>
      </c>
      <c r="O36" s="103" t="str">
        <f>IF(OR(LEN(O35)&lt;1,LEN(O35)&gt;140),"Transaction Details must be between 1 and 140 characters long","")</f>
        <v>Transaction Details must be between 1 and 140 characters long</v>
      </c>
      <c r="Q36" s="96" t="s">
        <v>13</v>
      </c>
    </row>
    <row r="37" spans="1:17" s="109" customFormat="1">
      <c r="A37" s="108"/>
      <c r="B37" s="108"/>
      <c r="C37" s="108" t="s">
        <v>83</v>
      </c>
      <c r="D37" s="108"/>
      <c r="E37" s="108"/>
      <c r="F37" s="108"/>
      <c r="G37" s="108"/>
      <c r="H37" s="108"/>
      <c r="I37" s="108"/>
      <c r="J37" s="108"/>
      <c r="K37" s="108"/>
      <c r="L37" s="108"/>
      <c r="M37" s="108"/>
      <c r="N37" s="108"/>
      <c r="O37" s="108"/>
      <c r="Q37" s="110" t="s">
        <v>12</v>
      </c>
    </row>
    <row r="38" spans="1:17" s="105" customFormat="1" ht="36">
      <c r="A38" s="103" t="str">
        <f>IF(OR(LEN(A37)&lt;1,LEN(A37)&gt;35),"Transaction Identification must be between 1 and 35 characters long","")</f>
        <v>Transaction Identification must be between 1 and 35 characters long</v>
      </c>
      <c r="B38" s="103" t="str">
        <f>IF(OR(LEN(B37)&lt;1,LEN(B37)&gt;35),"Uniqie Identification must be between 1 and 35 characters long","")</f>
        <v>Uniqie Identification must be between 1 and 35 characters long</v>
      </c>
      <c r="C38" s="106"/>
      <c r="D38" s="103" t="str">
        <f>IF(OR(D37&lt;0.01,D37&gt;9999999999999990),"Transaction Amount is not valid","")</f>
        <v>Transaction Amount is not valid</v>
      </c>
      <c r="E38" s="103" t="str">
        <f>IF(AND(LEN(E37)&lt;&gt;8,LEN(E37)&lt;&gt;11),
    "BIC must be 8 or 11 characters long",
    IF(COUNTIF('Control Data (Hidden)'!$B$279:$B$335,E37)=0,
        "Warning: Is IBAN Valid?",
        ""
    )
)</f>
        <v>BIC must be 8 or 11 characters long</v>
      </c>
      <c r="F38" s="103" t="str">
        <f>IF(OR(LEN(F37)&lt;1,LEN(F37)&gt;70),"Creditor's Name must be between 1 and 70 characters long","")</f>
        <v>Creditor's Name must be between 1 and 70 characters long</v>
      </c>
      <c r="G38" s="103" t="str">
        <f>IF(LEN(G37)&gt;70,"Address cannot be longer than 70 characters","")</f>
        <v/>
      </c>
      <c r="H38" s="103" t="str">
        <f>IF(LEN(H37)&gt;16,"Building Number cannot be longer than 16 characters","")</f>
        <v/>
      </c>
      <c r="I38" s="103" t="str">
        <f>IF(LEN(I37)&gt;35,"Building Name cannot be longer than 35 characters","")</f>
        <v/>
      </c>
      <c r="J38" s="103" t="str">
        <f>IF(LEN(J37)&gt;16,"Postal Code cannot be longer than 16 characters","")</f>
        <v/>
      </c>
      <c r="K38" s="103" t="str">
        <f>IF(OR(LEN(K37)&lt;1,LEN(K37)&gt;35),"Town Name must be between 1 and 35 characters long","")</f>
        <v>Town Name must be between 1 and 35 characters long</v>
      </c>
      <c r="L38" s="103" t="str">
        <f>IF(NOT(LEN(L37)=2),"Country Code must be 2 characters long","")</f>
        <v>Country Code must be 2 characters long</v>
      </c>
      <c r="M38" s="103" t="str">
        <f>IF(OR(LEN(M37)&lt;10,LEN(M37)&gt;34),"IBAN may be up to 34 characters long","")</f>
        <v>IBAN may be up to 34 characters long</v>
      </c>
      <c r="N38" s="103" t="str">
        <f>IF(ISBLANK(N37),"Code cannot be left blank","")</f>
        <v>Code cannot be left blank</v>
      </c>
      <c r="O38" s="103" t="str">
        <f>IF(OR(LEN(O37)&lt;1,LEN(O37)&gt;140),"Transaction Details must be between 1 and 140 characters long","")</f>
        <v>Transaction Details must be between 1 and 140 characters long</v>
      </c>
      <c r="Q38" s="96" t="s">
        <v>13</v>
      </c>
    </row>
    <row r="39" spans="1:17" s="109" customFormat="1">
      <c r="A39" s="108"/>
      <c r="B39" s="108"/>
      <c r="C39" s="108" t="s">
        <v>83</v>
      </c>
      <c r="D39" s="108"/>
      <c r="E39" s="108"/>
      <c r="F39" s="108"/>
      <c r="G39" s="108"/>
      <c r="H39" s="108"/>
      <c r="I39" s="108"/>
      <c r="J39" s="108"/>
      <c r="K39" s="108"/>
      <c r="L39" s="108"/>
      <c r="M39" s="108"/>
      <c r="N39" s="108"/>
      <c r="O39" s="108"/>
      <c r="Q39" s="110" t="s">
        <v>12</v>
      </c>
    </row>
    <row r="40" spans="1:17" s="105" customFormat="1" ht="36">
      <c r="A40" s="103" t="str">
        <f>IF(OR(LEN(A39)&lt;1,LEN(A39)&gt;35),"Transaction Identification must be between 1 and 35 characters long","")</f>
        <v>Transaction Identification must be between 1 and 35 characters long</v>
      </c>
      <c r="B40" s="103" t="str">
        <f>IF(OR(LEN(B39)&lt;1,LEN(B39)&gt;35),"Uniqie Identification must be between 1 and 35 characters long","")</f>
        <v>Uniqie Identification must be between 1 and 35 characters long</v>
      </c>
      <c r="C40" s="106"/>
      <c r="D40" s="103" t="str">
        <f>IF(OR(D39&lt;0.01,D39&gt;9999999999999990),"Transaction Amount is not valid","")</f>
        <v>Transaction Amount is not valid</v>
      </c>
      <c r="E40" s="103" t="str">
        <f>IF(AND(LEN(E39)&lt;&gt;8,LEN(E39)&lt;&gt;11),
    "BIC must be 8 or 11 characters long",
    IF(COUNTIF('Control Data (Hidden)'!$B$279:$B$335,E39)=0,
        "Warning: Is IBAN Valid?",
        ""
    )
)</f>
        <v>BIC must be 8 or 11 characters long</v>
      </c>
      <c r="F40" s="103" t="str">
        <f>IF(OR(LEN(F39)&lt;1,LEN(F39)&gt;70),"Creditor's Name must be between 1 and 70 characters long","")</f>
        <v>Creditor's Name must be between 1 and 70 characters long</v>
      </c>
      <c r="G40" s="103" t="str">
        <f>IF(LEN(G39)&gt;70,"Address cannot be longer than 70 characters","")</f>
        <v/>
      </c>
      <c r="H40" s="103" t="str">
        <f>IF(LEN(H39)&gt;16,"Building Number cannot be longer than 16 characters","")</f>
        <v/>
      </c>
      <c r="I40" s="103" t="str">
        <f>IF(LEN(I39)&gt;35,"Building Name cannot be longer than 35 characters","")</f>
        <v/>
      </c>
      <c r="J40" s="103" t="str">
        <f>IF(LEN(J39)&gt;16,"Postal Code cannot be longer than 16 characters","")</f>
        <v/>
      </c>
      <c r="K40" s="103" t="str">
        <f>IF(OR(LEN(K39)&lt;1,LEN(K39)&gt;35),"Town Name must be between 1 and 35 characters long","")</f>
        <v>Town Name must be between 1 and 35 characters long</v>
      </c>
      <c r="L40" s="103" t="str">
        <f>IF(NOT(LEN(L39)=2),"Country Code must be 2 characters long","")</f>
        <v>Country Code must be 2 characters long</v>
      </c>
      <c r="M40" s="103" t="str">
        <f>IF(OR(LEN(M39)&lt;10,LEN(M39)&gt;34),"IBAN may be up to 34 characters long","")</f>
        <v>IBAN may be up to 34 characters long</v>
      </c>
      <c r="N40" s="103" t="str">
        <f>IF(ISBLANK(N39),"Code cannot be left blank","")</f>
        <v>Code cannot be left blank</v>
      </c>
      <c r="O40" s="103" t="str">
        <f>IF(OR(LEN(O39)&lt;1,LEN(O39)&gt;140),"Transaction Details must be between 1 and 140 characters long","")</f>
        <v>Transaction Details must be between 1 and 140 characters long</v>
      </c>
      <c r="Q40" s="96" t="s">
        <v>13</v>
      </c>
    </row>
    <row r="41" spans="1:17" s="109" customFormat="1">
      <c r="A41" s="108"/>
      <c r="B41" s="108"/>
      <c r="C41" s="108" t="s">
        <v>83</v>
      </c>
      <c r="D41" s="108"/>
      <c r="E41" s="108"/>
      <c r="F41" s="108"/>
      <c r="G41" s="108"/>
      <c r="H41" s="108"/>
      <c r="I41" s="108"/>
      <c r="J41" s="108"/>
      <c r="K41" s="108"/>
      <c r="L41" s="108"/>
      <c r="M41" s="108"/>
      <c r="N41" s="108"/>
      <c r="O41" s="108"/>
      <c r="Q41" s="110" t="s">
        <v>12</v>
      </c>
    </row>
    <row r="42" spans="1:17" s="105" customFormat="1" ht="36">
      <c r="A42" s="103" t="str">
        <f>IF(OR(LEN(A41)&lt;1,LEN(A41)&gt;35),"Transaction Identification must be between 1 and 35 characters long","")</f>
        <v>Transaction Identification must be between 1 and 35 characters long</v>
      </c>
      <c r="B42" s="103" t="str">
        <f>IF(OR(LEN(B41)&lt;1,LEN(B41)&gt;35),"Uniqie Identification must be between 1 and 35 characters long","")</f>
        <v>Uniqie Identification must be between 1 and 35 characters long</v>
      </c>
      <c r="C42" s="106"/>
      <c r="D42" s="103" t="str">
        <f>IF(OR(D41&lt;0.01,D41&gt;9999999999999990),"Transaction Amount is not valid","")</f>
        <v>Transaction Amount is not valid</v>
      </c>
      <c r="E42" s="103" t="str">
        <f>IF(AND(LEN(E41)&lt;&gt;8,LEN(E41)&lt;&gt;11),
    "BIC must be 8 or 11 characters long",
    IF(COUNTIF('Control Data (Hidden)'!$B$279:$B$335,E41)=0,
        "Warning: Is IBAN Valid?",
        ""
    )
)</f>
        <v>BIC must be 8 or 11 characters long</v>
      </c>
      <c r="F42" s="103" t="str">
        <f>IF(OR(LEN(F41)&lt;1,LEN(F41)&gt;70),"Creditor's Name must be between 1 and 70 characters long","")</f>
        <v>Creditor's Name must be between 1 and 70 characters long</v>
      </c>
      <c r="G42" s="103" t="str">
        <f>IF(LEN(G41)&gt;70,"Address cannot be longer than 70 characters","")</f>
        <v/>
      </c>
      <c r="H42" s="103" t="str">
        <f>IF(LEN(H41)&gt;16,"Building Number cannot be longer than 16 characters","")</f>
        <v/>
      </c>
      <c r="I42" s="103" t="str">
        <f>IF(LEN(I41)&gt;35,"Building Name cannot be longer than 35 characters","")</f>
        <v/>
      </c>
      <c r="J42" s="103" t="str">
        <f>IF(LEN(J41)&gt;16,"Postal Code cannot be longer than 16 characters","")</f>
        <v/>
      </c>
      <c r="K42" s="103" t="str">
        <f>IF(OR(LEN(K41)&lt;1,LEN(K41)&gt;35),"Town Name must be between 1 and 35 characters long","")</f>
        <v>Town Name must be between 1 and 35 characters long</v>
      </c>
      <c r="L42" s="103" t="str">
        <f>IF(NOT(LEN(L41)=2),"Country Code must be 2 characters long","")</f>
        <v>Country Code must be 2 characters long</v>
      </c>
      <c r="M42" s="103" t="str">
        <f>IF(OR(LEN(M41)&lt;10,LEN(M41)&gt;34),"IBAN may be up to 34 characters long","")</f>
        <v>IBAN may be up to 34 characters long</v>
      </c>
      <c r="N42" s="103" t="str">
        <f>IF(ISBLANK(N41),"Code cannot be left blank","")</f>
        <v>Code cannot be left blank</v>
      </c>
      <c r="O42" s="103" t="str">
        <f>IF(OR(LEN(O41)&lt;1,LEN(O41)&gt;140),"Transaction Details must be between 1 and 140 characters long","")</f>
        <v>Transaction Details must be between 1 and 140 characters long</v>
      </c>
      <c r="Q42" s="96" t="s">
        <v>13</v>
      </c>
    </row>
    <row r="43" spans="1:17" s="109" customFormat="1">
      <c r="A43" s="108"/>
      <c r="B43" s="108"/>
      <c r="C43" s="108" t="s">
        <v>83</v>
      </c>
      <c r="D43" s="108"/>
      <c r="E43" s="108"/>
      <c r="F43" s="108"/>
      <c r="G43" s="108"/>
      <c r="H43" s="108"/>
      <c r="I43" s="108"/>
      <c r="J43" s="108"/>
      <c r="K43" s="108"/>
      <c r="L43" s="108"/>
      <c r="M43" s="108"/>
      <c r="N43" s="108"/>
      <c r="O43" s="108"/>
      <c r="Q43" s="110" t="s">
        <v>12</v>
      </c>
    </row>
    <row r="44" spans="1:17" s="105" customFormat="1" ht="36">
      <c r="A44" s="103" t="str">
        <f>IF(OR(LEN(A43)&lt;1,LEN(A43)&gt;35),"Transaction Identification must be between 1 and 35 characters long","")</f>
        <v>Transaction Identification must be between 1 and 35 characters long</v>
      </c>
      <c r="B44" s="103" t="str">
        <f>IF(OR(LEN(B43)&lt;1,LEN(B43)&gt;35),"Uniqie Identification must be between 1 and 35 characters long","")</f>
        <v>Uniqie Identification must be between 1 and 35 characters long</v>
      </c>
      <c r="C44" s="106"/>
      <c r="D44" s="103" t="str">
        <f>IF(OR(D43&lt;0.01,D43&gt;9999999999999990),"Transaction Amount is not valid","")</f>
        <v>Transaction Amount is not valid</v>
      </c>
      <c r="E44" s="103" t="str">
        <f>IF(AND(LEN(E43)&lt;&gt;8,LEN(E43)&lt;&gt;11),
    "BIC must be 8 or 11 characters long",
    IF(COUNTIF('Control Data (Hidden)'!$B$279:$B$335,E43)=0,
        "Warning: Is IBAN Valid?",
        ""
    )
)</f>
        <v>BIC must be 8 or 11 characters long</v>
      </c>
      <c r="F44" s="103" t="str">
        <f>IF(OR(LEN(F43)&lt;1,LEN(F43)&gt;70),"Creditor's Name must be between 1 and 70 characters long","")</f>
        <v>Creditor's Name must be between 1 and 70 characters long</v>
      </c>
      <c r="G44" s="103" t="str">
        <f>IF(LEN(G43)&gt;70,"Address cannot be longer than 70 characters","")</f>
        <v/>
      </c>
      <c r="H44" s="103" t="str">
        <f>IF(LEN(H43)&gt;16,"Building Number cannot be longer than 16 characters","")</f>
        <v/>
      </c>
      <c r="I44" s="103" t="str">
        <f>IF(LEN(I43)&gt;35,"Building Name cannot be longer than 35 characters","")</f>
        <v/>
      </c>
      <c r="J44" s="103" t="str">
        <f>IF(LEN(J43)&gt;16,"Postal Code cannot be longer than 16 characters","")</f>
        <v/>
      </c>
      <c r="K44" s="103" t="str">
        <f>IF(OR(LEN(K43)&lt;1,LEN(K43)&gt;35),"Town Name must be between 1 and 35 characters long","")</f>
        <v>Town Name must be between 1 and 35 characters long</v>
      </c>
      <c r="L44" s="103" t="str">
        <f>IF(NOT(LEN(L43)=2),"Country Code must be 2 characters long","")</f>
        <v>Country Code must be 2 characters long</v>
      </c>
      <c r="M44" s="103" t="str">
        <f>IF(OR(LEN(M43)&lt;10,LEN(M43)&gt;34),"IBAN may be up to 34 characters long","")</f>
        <v>IBAN may be up to 34 characters long</v>
      </c>
      <c r="N44" s="103" t="str">
        <f>IF(ISBLANK(N43),"Code cannot be left blank","")</f>
        <v>Code cannot be left blank</v>
      </c>
      <c r="O44" s="103" t="str">
        <f>IF(OR(LEN(O43)&lt;1,LEN(O43)&gt;140),"Transaction Details must be between 1 and 140 characters long","")</f>
        <v>Transaction Details must be between 1 and 140 characters long</v>
      </c>
      <c r="Q44" s="96" t="s">
        <v>13</v>
      </c>
    </row>
    <row r="45" spans="1:17" s="109" customFormat="1">
      <c r="A45" s="108"/>
      <c r="B45" s="108"/>
      <c r="C45" s="108" t="s">
        <v>83</v>
      </c>
      <c r="D45" s="108"/>
      <c r="E45" s="108"/>
      <c r="F45" s="108"/>
      <c r="G45" s="108"/>
      <c r="H45" s="108"/>
      <c r="I45" s="108"/>
      <c r="J45" s="108"/>
      <c r="K45" s="108"/>
      <c r="L45" s="108"/>
      <c r="M45" s="108"/>
      <c r="N45" s="108"/>
      <c r="O45" s="108"/>
      <c r="Q45" s="110" t="s">
        <v>12</v>
      </c>
    </row>
    <row r="46" spans="1:17" s="105" customFormat="1" ht="36">
      <c r="A46" s="103" t="str">
        <f>IF(OR(LEN(A45)&lt;1,LEN(A45)&gt;35),"Transaction Identification must be between 1 and 35 characters long","")</f>
        <v>Transaction Identification must be between 1 and 35 characters long</v>
      </c>
      <c r="B46" s="103" t="str">
        <f>IF(OR(LEN(B45)&lt;1,LEN(B45)&gt;35),"Uniqie Identification must be between 1 and 35 characters long","")</f>
        <v>Uniqie Identification must be between 1 and 35 characters long</v>
      </c>
      <c r="C46" s="106"/>
      <c r="D46" s="103" t="str">
        <f>IF(OR(D45&lt;0.01,D45&gt;9999999999999990),"Transaction Amount is not valid","")</f>
        <v>Transaction Amount is not valid</v>
      </c>
      <c r="E46" s="103" t="str">
        <f>IF(AND(LEN(E45)&lt;&gt;8,LEN(E45)&lt;&gt;11),
    "BIC must be 8 or 11 characters long",
    IF(COUNTIF('Control Data (Hidden)'!$B$279:$B$335,E45)=0,
        "Warning: Is IBAN Valid?",
        ""
    )
)</f>
        <v>BIC must be 8 or 11 characters long</v>
      </c>
      <c r="F46" s="103" t="str">
        <f>IF(OR(LEN(F45)&lt;1,LEN(F45)&gt;70),"Creditor's Name must be between 1 and 70 characters long","")</f>
        <v>Creditor's Name must be between 1 and 70 characters long</v>
      </c>
      <c r="G46" s="103" t="str">
        <f>IF(LEN(G45)&gt;70,"Address cannot be longer than 70 characters","")</f>
        <v/>
      </c>
      <c r="H46" s="103" t="str">
        <f>IF(LEN(H45)&gt;16,"Building Number cannot be longer than 16 characters","")</f>
        <v/>
      </c>
      <c r="I46" s="103" t="str">
        <f>IF(LEN(I45)&gt;35,"Building Name cannot be longer than 35 characters","")</f>
        <v/>
      </c>
      <c r="J46" s="103" t="str">
        <f>IF(LEN(J45)&gt;16,"Postal Code cannot be longer than 16 characters","")</f>
        <v/>
      </c>
      <c r="K46" s="103" t="str">
        <f>IF(OR(LEN(K45)&lt;1,LEN(K45)&gt;35),"Town Name must be between 1 and 35 characters long","")</f>
        <v>Town Name must be between 1 and 35 characters long</v>
      </c>
      <c r="L46" s="103" t="str">
        <f>IF(NOT(LEN(L45)=2),"Country Code must be 2 characters long","")</f>
        <v>Country Code must be 2 characters long</v>
      </c>
      <c r="M46" s="103" t="str">
        <f>IF(OR(LEN(M45)&lt;10,LEN(M45)&gt;34),"IBAN may be up to 34 characters long","")</f>
        <v>IBAN may be up to 34 characters long</v>
      </c>
      <c r="N46" s="103" t="str">
        <f>IF(ISBLANK(N45),"Code cannot be left blank","")</f>
        <v>Code cannot be left blank</v>
      </c>
      <c r="O46" s="103" t="str">
        <f>IF(OR(LEN(O45)&lt;1,LEN(O45)&gt;140),"Transaction Details must be between 1 and 140 characters long","")</f>
        <v>Transaction Details must be between 1 and 140 characters long</v>
      </c>
      <c r="Q46" s="96" t="s">
        <v>13</v>
      </c>
    </row>
    <row r="47" spans="1:17" s="109" customFormat="1">
      <c r="A47" s="108"/>
      <c r="B47" s="108"/>
      <c r="C47" s="108" t="s">
        <v>83</v>
      </c>
      <c r="D47" s="108"/>
      <c r="E47" s="108"/>
      <c r="F47" s="108"/>
      <c r="G47" s="108"/>
      <c r="H47" s="108"/>
      <c r="I47" s="108"/>
      <c r="J47" s="108"/>
      <c r="K47" s="108"/>
      <c r="L47" s="108"/>
      <c r="M47" s="108"/>
      <c r="N47" s="108"/>
      <c r="O47" s="108"/>
      <c r="Q47" s="110" t="s">
        <v>12</v>
      </c>
    </row>
    <row r="48" spans="1:17" s="105" customFormat="1" ht="36">
      <c r="A48" s="103" t="str">
        <f>IF(OR(LEN(A47)&lt;1,LEN(A47)&gt;35),"Transaction Identification must be between 1 and 35 characters long","")</f>
        <v>Transaction Identification must be between 1 and 35 characters long</v>
      </c>
      <c r="B48" s="103" t="str">
        <f>IF(OR(LEN(B47)&lt;1,LEN(B47)&gt;35),"Uniqie Identification must be between 1 and 35 characters long","")</f>
        <v>Uniqie Identification must be between 1 and 35 characters long</v>
      </c>
      <c r="C48" s="106"/>
      <c r="D48" s="103" t="str">
        <f>IF(OR(D47&lt;0.01,D47&gt;9999999999999990),"Transaction Amount is not valid","")</f>
        <v>Transaction Amount is not valid</v>
      </c>
      <c r="E48" s="103" t="str">
        <f>IF(AND(LEN(E47)&lt;&gt;8,LEN(E47)&lt;&gt;11),
    "BIC must be 8 or 11 characters long",
    IF(COUNTIF('Control Data (Hidden)'!$B$279:$B$335,E47)=0,
        "Warning: Is IBAN Valid?",
        ""
    )
)</f>
        <v>BIC must be 8 or 11 characters long</v>
      </c>
      <c r="F48" s="103" t="str">
        <f>IF(OR(LEN(F47)&lt;1,LEN(F47)&gt;70),"Creditor's Name must be between 1 and 70 characters long","")</f>
        <v>Creditor's Name must be between 1 and 70 characters long</v>
      </c>
      <c r="G48" s="103" t="str">
        <f>IF(LEN(G47)&gt;70,"Address cannot be longer than 70 characters","")</f>
        <v/>
      </c>
      <c r="H48" s="103" t="str">
        <f>IF(LEN(H47)&gt;16,"Building Number cannot be longer than 16 characters","")</f>
        <v/>
      </c>
      <c r="I48" s="103" t="str">
        <f>IF(LEN(I47)&gt;35,"Building Name cannot be longer than 35 characters","")</f>
        <v/>
      </c>
      <c r="J48" s="103" t="str">
        <f>IF(LEN(J47)&gt;16,"Postal Code cannot be longer than 16 characters","")</f>
        <v/>
      </c>
      <c r="K48" s="103" t="str">
        <f>IF(OR(LEN(K47)&lt;1,LEN(K47)&gt;35),"Town Name must be between 1 and 35 characters long","")</f>
        <v>Town Name must be between 1 and 35 characters long</v>
      </c>
      <c r="L48" s="103" t="str">
        <f>IF(NOT(LEN(L47)=2),"Country Code must be 2 characters long","")</f>
        <v>Country Code must be 2 characters long</v>
      </c>
      <c r="M48" s="103" t="str">
        <f>IF(OR(LEN(M47)&lt;10,LEN(M47)&gt;34),"IBAN may be up to 34 characters long","")</f>
        <v>IBAN may be up to 34 characters long</v>
      </c>
      <c r="N48" s="103" t="str">
        <f>IF(ISBLANK(N47),"Code cannot be left blank","")</f>
        <v>Code cannot be left blank</v>
      </c>
      <c r="O48" s="103" t="str">
        <f>IF(OR(LEN(O47)&lt;1,LEN(O47)&gt;140),"Transaction Details must be between 1 and 140 characters long","")</f>
        <v>Transaction Details must be between 1 and 140 characters long</v>
      </c>
      <c r="Q48" s="96" t="s">
        <v>13</v>
      </c>
    </row>
    <row r="49" spans="1:17" s="109" customFormat="1">
      <c r="A49" s="108"/>
      <c r="B49" s="108"/>
      <c r="C49" s="108" t="s">
        <v>83</v>
      </c>
      <c r="D49" s="108"/>
      <c r="E49" s="108"/>
      <c r="F49" s="108"/>
      <c r="G49" s="108"/>
      <c r="H49" s="108"/>
      <c r="I49" s="108"/>
      <c r="J49" s="108"/>
      <c r="K49" s="108"/>
      <c r="L49" s="108"/>
      <c r="M49" s="108"/>
      <c r="N49" s="108"/>
      <c r="O49" s="108"/>
      <c r="Q49" s="110" t="s">
        <v>12</v>
      </c>
    </row>
    <row r="50" spans="1:17" s="105" customFormat="1" ht="36">
      <c r="A50" s="103" t="str">
        <f>IF(OR(LEN(A49)&lt;1,LEN(A49)&gt;35),"Transaction Identification must be between 1 and 35 characters long","")</f>
        <v>Transaction Identification must be between 1 and 35 characters long</v>
      </c>
      <c r="B50" s="103" t="str">
        <f>IF(OR(LEN(B49)&lt;1,LEN(B49)&gt;35),"Uniqie Identification must be between 1 and 35 characters long","")</f>
        <v>Uniqie Identification must be between 1 and 35 characters long</v>
      </c>
      <c r="C50" s="106"/>
      <c r="D50" s="103" t="str">
        <f>IF(OR(D49&lt;0.01,D49&gt;9999999999999990),"Transaction Amount is not valid","")</f>
        <v>Transaction Amount is not valid</v>
      </c>
      <c r="E50" s="103" t="str">
        <f>IF(AND(LEN(E49)&lt;&gt;8,LEN(E49)&lt;&gt;11),
    "BIC must be 8 or 11 characters long",
    IF(COUNTIF('Control Data (Hidden)'!$B$279:$B$335,E49)=0,
        "Warning: Is IBAN Valid?",
        ""
    )
)</f>
        <v>BIC must be 8 or 11 characters long</v>
      </c>
      <c r="F50" s="103" t="str">
        <f>IF(OR(LEN(F49)&lt;1,LEN(F49)&gt;70),"Creditor's Name must be between 1 and 70 characters long","")</f>
        <v>Creditor's Name must be between 1 and 70 characters long</v>
      </c>
      <c r="G50" s="103" t="str">
        <f>IF(LEN(G49)&gt;70,"Address cannot be longer than 70 characters","")</f>
        <v/>
      </c>
      <c r="H50" s="103" t="str">
        <f>IF(LEN(H49)&gt;16,"Building Number cannot be longer than 16 characters","")</f>
        <v/>
      </c>
      <c r="I50" s="103" t="str">
        <f>IF(LEN(I49)&gt;35,"Building Name cannot be longer than 35 characters","")</f>
        <v/>
      </c>
      <c r="J50" s="103" t="str">
        <f>IF(LEN(J49)&gt;16,"Postal Code cannot be longer than 16 characters","")</f>
        <v/>
      </c>
      <c r="K50" s="103" t="str">
        <f>IF(OR(LEN(K49)&lt;1,LEN(K49)&gt;35),"Town Name must be between 1 and 35 characters long","")</f>
        <v>Town Name must be between 1 and 35 characters long</v>
      </c>
      <c r="L50" s="103" t="str">
        <f>IF(NOT(LEN(L49)=2),"Country Code must be 2 characters long","")</f>
        <v>Country Code must be 2 characters long</v>
      </c>
      <c r="M50" s="103" t="str">
        <f>IF(OR(LEN(M49)&lt;10,LEN(M49)&gt;34),"IBAN may be up to 34 characters long","")</f>
        <v>IBAN may be up to 34 characters long</v>
      </c>
      <c r="N50" s="103" t="str">
        <f>IF(ISBLANK(N49),"Code cannot be left blank","")</f>
        <v>Code cannot be left blank</v>
      </c>
      <c r="O50" s="103" t="str">
        <f>IF(OR(LEN(O49)&lt;1,LEN(O49)&gt;140),"Transaction Details must be between 1 and 140 characters long","")</f>
        <v>Transaction Details must be between 1 and 140 characters long</v>
      </c>
      <c r="Q50" s="96" t="s">
        <v>13</v>
      </c>
    </row>
    <row r="51" spans="1:17" s="109" customFormat="1">
      <c r="A51" s="108"/>
      <c r="B51" s="108"/>
      <c r="C51" s="108" t="s">
        <v>83</v>
      </c>
      <c r="D51" s="108"/>
      <c r="E51" s="108"/>
      <c r="F51" s="108"/>
      <c r="G51" s="108"/>
      <c r="H51" s="108"/>
      <c r="I51" s="108"/>
      <c r="J51" s="108"/>
      <c r="K51" s="108"/>
      <c r="L51" s="108"/>
      <c r="M51" s="108"/>
      <c r="N51" s="108"/>
      <c r="O51" s="108"/>
      <c r="Q51" s="110" t="s">
        <v>12</v>
      </c>
    </row>
    <row r="52" spans="1:17" s="105" customFormat="1" ht="36">
      <c r="A52" s="103" t="str">
        <f>IF(OR(LEN(A51)&lt;1,LEN(A51)&gt;35),"Transaction Identification must be between 1 and 35 characters long","")</f>
        <v>Transaction Identification must be between 1 and 35 characters long</v>
      </c>
      <c r="B52" s="103" t="str">
        <f>IF(OR(LEN(B51)&lt;1,LEN(B51)&gt;35),"Uniqie Identification must be between 1 and 35 characters long","")</f>
        <v>Uniqie Identification must be between 1 and 35 characters long</v>
      </c>
      <c r="C52" s="106"/>
      <c r="D52" s="103" t="str">
        <f>IF(OR(D51&lt;0.01,D51&gt;9999999999999990),"Transaction Amount is not valid","")</f>
        <v>Transaction Amount is not valid</v>
      </c>
      <c r="E52" s="103" t="str">
        <f>IF(AND(LEN(E51)&lt;&gt;8,LEN(E51)&lt;&gt;11),
    "BIC must be 8 or 11 characters long",
    IF(COUNTIF('Control Data (Hidden)'!$B$279:$B$335,E51)=0,
        "Warning: Is IBAN Valid?",
        ""
    )
)</f>
        <v>BIC must be 8 or 11 characters long</v>
      </c>
      <c r="F52" s="103" t="str">
        <f>IF(OR(LEN(F51)&lt;1,LEN(F51)&gt;70),"Creditor's Name must be between 1 and 70 characters long","")</f>
        <v>Creditor's Name must be between 1 and 70 characters long</v>
      </c>
      <c r="G52" s="103" t="str">
        <f>IF(LEN(G51)&gt;70,"Address cannot be longer than 70 characters","")</f>
        <v/>
      </c>
      <c r="H52" s="103" t="str">
        <f>IF(LEN(H51)&gt;16,"Building Number cannot be longer than 16 characters","")</f>
        <v/>
      </c>
      <c r="I52" s="103" t="str">
        <f>IF(LEN(I51)&gt;35,"Building Name cannot be longer than 35 characters","")</f>
        <v/>
      </c>
      <c r="J52" s="103" t="str">
        <f>IF(LEN(J51)&gt;16,"Postal Code cannot be longer than 16 characters","")</f>
        <v/>
      </c>
      <c r="K52" s="103" t="str">
        <f>IF(OR(LEN(K51)&lt;1,LEN(K51)&gt;35),"Town Name must be between 1 and 35 characters long","")</f>
        <v>Town Name must be between 1 and 35 characters long</v>
      </c>
      <c r="L52" s="103" t="str">
        <f>IF(NOT(LEN(L51)=2),"Country Code must be 2 characters long","")</f>
        <v>Country Code must be 2 characters long</v>
      </c>
      <c r="M52" s="103" t="str">
        <f>IF(OR(LEN(M51)&lt;10,LEN(M51)&gt;34),"IBAN may be up to 34 characters long","")</f>
        <v>IBAN may be up to 34 characters long</v>
      </c>
      <c r="N52" s="103" t="str">
        <f>IF(ISBLANK(N51),"Code cannot be left blank","")</f>
        <v>Code cannot be left blank</v>
      </c>
      <c r="O52" s="103" t="str">
        <f>IF(OR(LEN(O51)&lt;1,LEN(O51)&gt;140),"Transaction Details must be between 1 and 140 characters long","")</f>
        <v>Transaction Details must be between 1 and 140 characters long</v>
      </c>
      <c r="Q52" s="96" t="s">
        <v>13</v>
      </c>
    </row>
    <row r="53" spans="1:17" s="109" customFormat="1">
      <c r="A53" s="108"/>
      <c r="B53" s="108"/>
      <c r="C53" s="108" t="s">
        <v>83</v>
      </c>
      <c r="D53" s="108"/>
      <c r="E53" s="108"/>
      <c r="F53" s="108"/>
      <c r="G53" s="108"/>
      <c r="H53" s="108"/>
      <c r="I53" s="108"/>
      <c r="J53" s="108"/>
      <c r="K53" s="108"/>
      <c r="L53" s="108"/>
      <c r="M53" s="108"/>
      <c r="N53" s="108"/>
      <c r="O53" s="108"/>
      <c r="Q53" s="110" t="s">
        <v>12</v>
      </c>
    </row>
    <row r="54" spans="1:17" s="105" customFormat="1" ht="36">
      <c r="A54" s="103" t="str">
        <f>IF(OR(LEN(A53)&lt;1,LEN(A53)&gt;35),"Transaction Identification must be between 1 and 35 characters long","")</f>
        <v>Transaction Identification must be between 1 and 35 characters long</v>
      </c>
      <c r="B54" s="103" t="str">
        <f>IF(OR(LEN(B53)&lt;1,LEN(B53)&gt;35),"Uniqie Identification must be between 1 and 35 characters long","")</f>
        <v>Uniqie Identification must be between 1 and 35 characters long</v>
      </c>
      <c r="C54" s="106"/>
      <c r="D54" s="103" t="str">
        <f>IF(OR(D53&lt;0.01,D53&gt;9999999999999990),"Transaction Amount is not valid","")</f>
        <v>Transaction Amount is not valid</v>
      </c>
      <c r="E54" s="103" t="str">
        <f>IF(AND(LEN(E53)&lt;&gt;8,LEN(E53)&lt;&gt;11),
    "BIC must be 8 or 11 characters long",
    IF(COUNTIF('Control Data (Hidden)'!$B$279:$B$335,E53)=0,
        "Warning: Is IBAN Valid?",
        ""
    )
)</f>
        <v>BIC must be 8 or 11 characters long</v>
      </c>
      <c r="F54" s="103" t="str">
        <f>IF(OR(LEN(F53)&lt;1,LEN(F53)&gt;70),"Creditor's Name must be between 1 and 70 characters long","")</f>
        <v>Creditor's Name must be between 1 and 70 characters long</v>
      </c>
      <c r="G54" s="103" t="str">
        <f>IF(LEN(G53)&gt;70,"Address cannot be longer than 70 characters","")</f>
        <v/>
      </c>
      <c r="H54" s="103" t="str">
        <f>IF(LEN(H53)&gt;16,"Building Number cannot be longer than 16 characters","")</f>
        <v/>
      </c>
      <c r="I54" s="103" t="str">
        <f>IF(LEN(I53)&gt;35,"Building Name cannot be longer than 35 characters","")</f>
        <v/>
      </c>
      <c r="J54" s="103" t="str">
        <f>IF(LEN(J53)&gt;16,"Postal Code cannot be longer than 16 characters","")</f>
        <v/>
      </c>
      <c r="K54" s="103" t="str">
        <f>IF(OR(LEN(K53)&lt;1,LEN(K53)&gt;35),"Town Name must be between 1 and 35 characters long","")</f>
        <v>Town Name must be between 1 and 35 characters long</v>
      </c>
      <c r="L54" s="103" t="str">
        <f>IF(NOT(LEN(L53)=2),"Country Code must be 2 characters long","")</f>
        <v>Country Code must be 2 characters long</v>
      </c>
      <c r="M54" s="103" t="str">
        <f>IF(OR(LEN(M53)&lt;10,LEN(M53)&gt;34),"IBAN may be up to 34 characters long","")</f>
        <v>IBAN may be up to 34 characters long</v>
      </c>
      <c r="N54" s="103" t="str">
        <f>IF(ISBLANK(N53),"Code cannot be left blank","")</f>
        <v>Code cannot be left blank</v>
      </c>
      <c r="O54" s="103" t="str">
        <f>IF(OR(LEN(O53)&lt;1,LEN(O53)&gt;140),"Transaction Details must be between 1 and 140 characters long","")</f>
        <v>Transaction Details must be between 1 and 140 characters long</v>
      </c>
      <c r="Q54" s="96" t="s">
        <v>13</v>
      </c>
    </row>
    <row r="55" spans="1:17" s="109" customFormat="1">
      <c r="A55" s="108"/>
      <c r="B55" s="108"/>
      <c r="C55" s="108" t="s">
        <v>83</v>
      </c>
      <c r="D55" s="108"/>
      <c r="E55" s="108"/>
      <c r="F55" s="108"/>
      <c r="G55" s="108"/>
      <c r="H55" s="108"/>
      <c r="I55" s="108"/>
      <c r="J55" s="108"/>
      <c r="K55" s="108"/>
      <c r="L55" s="108"/>
      <c r="M55" s="108"/>
      <c r="N55" s="108"/>
      <c r="O55" s="108"/>
      <c r="Q55" s="110" t="s">
        <v>12</v>
      </c>
    </row>
    <row r="56" spans="1:17" s="105" customFormat="1" ht="36">
      <c r="A56" s="103" t="str">
        <f>IF(OR(LEN(A55)&lt;1,LEN(A55)&gt;35),"Transaction Identification must be between 1 and 35 characters long","")</f>
        <v>Transaction Identification must be between 1 and 35 characters long</v>
      </c>
      <c r="B56" s="103" t="str">
        <f>IF(OR(LEN(B55)&lt;1,LEN(B55)&gt;35),"Uniqie Identification must be between 1 and 35 characters long","")</f>
        <v>Uniqie Identification must be between 1 and 35 characters long</v>
      </c>
      <c r="C56" s="106"/>
      <c r="D56" s="103" t="str">
        <f>IF(OR(D55&lt;0.01,D55&gt;9999999999999990),"Transaction Amount is not valid","")</f>
        <v>Transaction Amount is not valid</v>
      </c>
      <c r="E56" s="103" t="str">
        <f>IF(AND(LEN(E55)&lt;&gt;8,LEN(E55)&lt;&gt;11),
    "BIC must be 8 or 11 characters long",
    IF(COUNTIF('Control Data (Hidden)'!$B$279:$B$335,E55)=0,
        "Warning: Is IBAN Valid?",
        ""
    )
)</f>
        <v>BIC must be 8 or 11 characters long</v>
      </c>
      <c r="F56" s="103" t="str">
        <f>IF(OR(LEN(F55)&lt;1,LEN(F55)&gt;70),"Creditor's Name must be between 1 and 70 characters long","")</f>
        <v>Creditor's Name must be between 1 and 70 characters long</v>
      </c>
      <c r="G56" s="103" t="str">
        <f>IF(LEN(G55)&gt;70,"Address cannot be longer than 70 characters","")</f>
        <v/>
      </c>
      <c r="H56" s="103" t="str">
        <f>IF(LEN(H55)&gt;16,"Building Number cannot be longer than 16 characters","")</f>
        <v/>
      </c>
      <c r="I56" s="103" t="str">
        <f>IF(LEN(I55)&gt;35,"Building Name cannot be longer than 35 characters","")</f>
        <v/>
      </c>
      <c r="J56" s="103" t="str">
        <f>IF(LEN(J55)&gt;16,"Postal Code cannot be longer than 16 characters","")</f>
        <v/>
      </c>
      <c r="K56" s="103" t="str">
        <f>IF(OR(LEN(K55)&lt;1,LEN(K55)&gt;35),"Town Name must be between 1 and 35 characters long","")</f>
        <v>Town Name must be between 1 and 35 characters long</v>
      </c>
      <c r="L56" s="103" t="str">
        <f>IF(NOT(LEN(L55)=2),"Country Code must be 2 characters long","")</f>
        <v>Country Code must be 2 characters long</v>
      </c>
      <c r="M56" s="103" t="str">
        <f>IF(OR(LEN(M55)&lt;10,LEN(M55)&gt;34),"IBAN may be up to 34 characters long","")</f>
        <v>IBAN may be up to 34 characters long</v>
      </c>
      <c r="N56" s="103" t="str">
        <f>IF(ISBLANK(N55),"Code cannot be left blank","")</f>
        <v>Code cannot be left blank</v>
      </c>
      <c r="O56" s="103" t="str">
        <f>IF(OR(LEN(O55)&lt;1,LEN(O55)&gt;140),"Transaction Details must be between 1 and 140 characters long","")</f>
        <v>Transaction Details must be between 1 and 140 characters long</v>
      </c>
      <c r="Q56" s="96" t="s">
        <v>13</v>
      </c>
    </row>
    <row r="57" spans="1:17" s="109" customFormat="1">
      <c r="A57" s="108"/>
      <c r="B57" s="108"/>
      <c r="C57" s="108" t="s">
        <v>83</v>
      </c>
      <c r="D57" s="108"/>
      <c r="E57" s="108"/>
      <c r="F57" s="108"/>
      <c r="G57" s="108"/>
      <c r="H57" s="108"/>
      <c r="I57" s="108"/>
      <c r="J57" s="108"/>
      <c r="K57" s="108"/>
      <c r="L57" s="108"/>
      <c r="M57" s="108"/>
      <c r="N57" s="108"/>
      <c r="O57" s="108"/>
      <c r="Q57" s="110" t="s">
        <v>12</v>
      </c>
    </row>
    <row r="58" spans="1:17" s="105" customFormat="1" ht="36">
      <c r="A58" s="103" t="str">
        <f>IF(OR(LEN(A57)&lt;1,LEN(A57)&gt;35),"Transaction Identification must be between 1 and 35 characters long","")</f>
        <v>Transaction Identification must be between 1 and 35 characters long</v>
      </c>
      <c r="B58" s="103" t="str">
        <f>IF(OR(LEN(B57)&lt;1,LEN(B57)&gt;35),"Uniqie Identification must be between 1 and 35 characters long","")</f>
        <v>Uniqie Identification must be between 1 and 35 characters long</v>
      </c>
      <c r="C58" s="106"/>
      <c r="D58" s="103" t="str">
        <f>IF(OR(D57&lt;0.01,D57&gt;9999999999999990),"Transaction Amount is not valid","")</f>
        <v>Transaction Amount is not valid</v>
      </c>
      <c r="E58" s="103" t="str">
        <f>IF(AND(LEN(E57)&lt;&gt;8,LEN(E57)&lt;&gt;11),
    "BIC must be 8 or 11 characters long",
    IF(COUNTIF('Control Data (Hidden)'!$B$279:$B$335,E57)=0,
        "Warning: Is IBAN Valid?",
        ""
    )
)</f>
        <v>BIC must be 8 or 11 characters long</v>
      </c>
      <c r="F58" s="103" t="str">
        <f>IF(OR(LEN(F57)&lt;1,LEN(F57)&gt;70),"Creditor's Name must be between 1 and 70 characters long","")</f>
        <v>Creditor's Name must be between 1 and 70 characters long</v>
      </c>
      <c r="G58" s="103" t="str">
        <f>IF(LEN(G57)&gt;70,"Address cannot be longer than 70 characters","")</f>
        <v/>
      </c>
      <c r="H58" s="103" t="str">
        <f>IF(LEN(H57)&gt;16,"Building Number cannot be longer than 16 characters","")</f>
        <v/>
      </c>
      <c r="I58" s="103" t="str">
        <f>IF(LEN(I57)&gt;35,"Building Name cannot be longer than 35 characters","")</f>
        <v/>
      </c>
      <c r="J58" s="103" t="str">
        <f>IF(LEN(J57)&gt;16,"Postal Code cannot be longer than 16 characters","")</f>
        <v/>
      </c>
      <c r="K58" s="103" t="str">
        <f>IF(OR(LEN(K57)&lt;1,LEN(K57)&gt;35),"Town Name must be between 1 and 35 characters long","")</f>
        <v>Town Name must be between 1 and 35 characters long</v>
      </c>
      <c r="L58" s="103" t="str">
        <f>IF(NOT(LEN(L57)=2),"Country Code must be 2 characters long","")</f>
        <v>Country Code must be 2 characters long</v>
      </c>
      <c r="M58" s="103" t="str">
        <f>IF(OR(LEN(M57)&lt;10,LEN(M57)&gt;34),"IBAN may be up to 34 characters long","")</f>
        <v>IBAN may be up to 34 characters long</v>
      </c>
      <c r="N58" s="103" t="str">
        <f>IF(ISBLANK(N57),"Code cannot be left blank","")</f>
        <v>Code cannot be left blank</v>
      </c>
      <c r="O58" s="103" t="str">
        <f>IF(OR(LEN(O57)&lt;1,LEN(O57)&gt;140),"Transaction Details must be between 1 and 140 characters long","")</f>
        <v>Transaction Details must be between 1 and 140 characters long</v>
      </c>
      <c r="Q58" s="96" t="s">
        <v>13</v>
      </c>
    </row>
    <row r="59" spans="1:17" s="109" customFormat="1">
      <c r="A59" s="108"/>
      <c r="B59" s="108"/>
      <c r="C59" s="108" t="s">
        <v>83</v>
      </c>
      <c r="D59" s="108"/>
      <c r="E59" s="108"/>
      <c r="F59" s="108"/>
      <c r="G59" s="108"/>
      <c r="H59" s="108"/>
      <c r="I59" s="108"/>
      <c r="J59" s="108"/>
      <c r="K59" s="108"/>
      <c r="L59" s="108"/>
      <c r="M59" s="108"/>
      <c r="N59" s="108"/>
      <c r="O59" s="108"/>
      <c r="Q59" s="110" t="s">
        <v>12</v>
      </c>
    </row>
    <row r="60" spans="1:17" s="105" customFormat="1" ht="36">
      <c r="A60" s="103" t="str">
        <f>IF(OR(LEN(A59)&lt;1,LEN(A59)&gt;35),"Transaction Identification must be between 1 and 35 characters long","")</f>
        <v>Transaction Identification must be between 1 and 35 characters long</v>
      </c>
      <c r="B60" s="103" t="str">
        <f>IF(OR(LEN(B59)&lt;1,LEN(B59)&gt;35),"Uniqie Identification must be between 1 and 35 characters long","")</f>
        <v>Uniqie Identification must be between 1 and 35 characters long</v>
      </c>
      <c r="C60" s="106"/>
      <c r="D60" s="103" t="str">
        <f>IF(OR(D59&lt;0.01,D59&gt;9999999999999990),"Transaction Amount is not valid","")</f>
        <v>Transaction Amount is not valid</v>
      </c>
      <c r="E60" s="103" t="str">
        <f>IF(AND(LEN(E59)&lt;&gt;8,LEN(E59)&lt;&gt;11),
    "BIC must be 8 or 11 characters long",
    IF(COUNTIF('Control Data (Hidden)'!$B$279:$B$335,E59)=0,
        "Warning: Is IBAN Valid?",
        ""
    )
)</f>
        <v>BIC must be 8 or 11 characters long</v>
      </c>
      <c r="F60" s="103" t="str">
        <f>IF(OR(LEN(F59)&lt;1,LEN(F59)&gt;70),"Creditor's Name must be between 1 and 70 characters long","")</f>
        <v>Creditor's Name must be between 1 and 70 characters long</v>
      </c>
      <c r="G60" s="103" t="str">
        <f>IF(LEN(G59)&gt;70,"Address cannot be longer than 70 characters","")</f>
        <v/>
      </c>
      <c r="H60" s="103" t="str">
        <f>IF(LEN(H59)&gt;16,"Building Number cannot be longer than 16 characters","")</f>
        <v/>
      </c>
      <c r="I60" s="103" t="str">
        <f>IF(LEN(I59)&gt;35,"Building Name cannot be longer than 35 characters","")</f>
        <v/>
      </c>
      <c r="J60" s="103" t="str">
        <f>IF(LEN(J59)&gt;16,"Postal Code cannot be longer than 16 characters","")</f>
        <v/>
      </c>
      <c r="K60" s="103" t="str">
        <f>IF(OR(LEN(K59)&lt;1,LEN(K59)&gt;35),"Town Name must be between 1 and 35 characters long","")</f>
        <v>Town Name must be between 1 and 35 characters long</v>
      </c>
      <c r="L60" s="103" t="str">
        <f>IF(NOT(LEN(L59)=2),"Country Code must be 2 characters long","")</f>
        <v>Country Code must be 2 characters long</v>
      </c>
      <c r="M60" s="103" t="str">
        <f>IF(OR(LEN(M59)&lt;10,LEN(M59)&gt;34),"IBAN may be up to 34 characters long","")</f>
        <v>IBAN may be up to 34 characters long</v>
      </c>
      <c r="N60" s="103" t="str">
        <f>IF(ISBLANK(N59),"Code cannot be left blank","")</f>
        <v>Code cannot be left blank</v>
      </c>
      <c r="O60" s="103" t="str">
        <f>IF(OR(LEN(O59)&lt;1,LEN(O59)&gt;140),"Transaction Details must be between 1 and 140 characters long","")</f>
        <v>Transaction Details must be between 1 and 140 characters long</v>
      </c>
      <c r="Q60" s="96" t="s">
        <v>13</v>
      </c>
    </row>
    <row r="61" spans="1:17" s="109" customFormat="1">
      <c r="A61" s="108"/>
      <c r="B61" s="108"/>
      <c r="C61" s="108" t="s">
        <v>83</v>
      </c>
      <c r="D61" s="108"/>
      <c r="E61" s="108"/>
      <c r="F61" s="108"/>
      <c r="G61" s="108"/>
      <c r="H61" s="108"/>
      <c r="I61" s="108"/>
      <c r="J61" s="108"/>
      <c r="K61" s="108"/>
      <c r="L61" s="108"/>
      <c r="M61" s="108"/>
      <c r="N61" s="108"/>
      <c r="O61" s="108"/>
      <c r="Q61" s="110" t="s">
        <v>12</v>
      </c>
    </row>
    <row r="62" spans="1:17" s="105" customFormat="1" ht="36">
      <c r="A62" s="103" t="str">
        <f>IF(OR(LEN(A61)&lt;1,LEN(A61)&gt;35),"Transaction Identification must be between 1 and 35 characters long","")</f>
        <v>Transaction Identification must be between 1 and 35 characters long</v>
      </c>
      <c r="B62" s="103" t="str">
        <f>IF(OR(LEN(B61)&lt;1,LEN(B61)&gt;35),"Uniqie Identification must be between 1 and 35 characters long","")</f>
        <v>Uniqie Identification must be between 1 and 35 characters long</v>
      </c>
      <c r="C62" s="106"/>
      <c r="D62" s="103" t="str">
        <f>IF(OR(D61&lt;0.01,D61&gt;9999999999999990),"Transaction Amount is not valid","")</f>
        <v>Transaction Amount is not valid</v>
      </c>
      <c r="E62" s="103" t="str">
        <f>IF(AND(LEN(E61)&lt;&gt;8,LEN(E61)&lt;&gt;11),
    "BIC must be 8 or 11 characters long",
    IF(COUNTIF('Control Data (Hidden)'!$B$279:$B$335,E61)=0,
        "Warning: Is IBAN Valid?",
        ""
    )
)</f>
        <v>BIC must be 8 or 11 characters long</v>
      </c>
      <c r="F62" s="103" t="str">
        <f>IF(OR(LEN(F61)&lt;1,LEN(F61)&gt;70),"Creditor's Name must be between 1 and 70 characters long","")</f>
        <v>Creditor's Name must be between 1 and 70 characters long</v>
      </c>
      <c r="G62" s="103" t="str">
        <f>IF(LEN(G61)&gt;70,"Address cannot be longer than 70 characters","")</f>
        <v/>
      </c>
      <c r="H62" s="103" t="str">
        <f>IF(LEN(H61)&gt;16,"Building Number cannot be longer than 16 characters","")</f>
        <v/>
      </c>
      <c r="I62" s="103" t="str">
        <f>IF(LEN(I61)&gt;35,"Building Name cannot be longer than 35 characters","")</f>
        <v/>
      </c>
      <c r="J62" s="103" t="str">
        <f>IF(LEN(J61)&gt;16,"Postal Code cannot be longer than 16 characters","")</f>
        <v/>
      </c>
      <c r="K62" s="103" t="str">
        <f>IF(OR(LEN(K61)&lt;1,LEN(K61)&gt;35),"Town Name must be between 1 and 35 characters long","")</f>
        <v>Town Name must be between 1 and 35 characters long</v>
      </c>
      <c r="L62" s="103" t="str">
        <f>IF(NOT(LEN(L61)=2),"Country Code must be 2 characters long","")</f>
        <v>Country Code must be 2 characters long</v>
      </c>
      <c r="M62" s="103" t="str">
        <f>IF(OR(LEN(M61)&lt;10,LEN(M61)&gt;34),"IBAN may be up to 34 characters long","")</f>
        <v>IBAN may be up to 34 characters long</v>
      </c>
      <c r="N62" s="103" t="str">
        <f>IF(ISBLANK(N61),"Code cannot be left blank","")</f>
        <v>Code cannot be left blank</v>
      </c>
      <c r="O62" s="103" t="str">
        <f>IF(OR(LEN(O61)&lt;1,LEN(O61)&gt;140),"Transaction Details must be between 1 and 140 characters long","")</f>
        <v>Transaction Details must be between 1 and 140 characters long</v>
      </c>
      <c r="Q62" s="96" t="s">
        <v>13</v>
      </c>
    </row>
    <row r="63" spans="1:17" s="109" customFormat="1">
      <c r="A63" s="108"/>
      <c r="B63" s="108"/>
      <c r="C63" s="108" t="s">
        <v>83</v>
      </c>
      <c r="D63" s="108"/>
      <c r="E63" s="108"/>
      <c r="F63" s="108"/>
      <c r="G63" s="108"/>
      <c r="H63" s="108"/>
      <c r="I63" s="108"/>
      <c r="J63" s="108"/>
      <c r="K63" s="108"/>
      <c r="L63" s="108"/>
      <c r="M63" s="108"/>
      <c r="N63" s="108"/>
      <c r="O63" s="108"/>
      <c r="Q63" s="110" t="s">
        <v>12</v>
      </c>
    </row>
    <row r="64" spans="1:17" s="105" customFormat="1" ht="36">
      <c r="A64" s="103" t="str">
        <f>IF(OR(LEN(A63)&lt;1,LEN(A63)&gt;35),"Transaction Identification must be between 1 and 35 characters long","")</f>
        <v>Transaction Identification must be between 1 and 35 characters long</v>
      </c>
      <c r="B64" s="103" t="str">
        <f>IF(OR(LEN(B63)&lt;1,LEN(B63)&gt;35),"Uniqie Identification must be between 1 and 35 characters long","")</f>
        <v>Uniqie Identification must be between 1 and 35 characters long</v>
      </c>
      <c r="C64" s="106"/>
      <c r="D64" s="103" t="str">
        <f>IF(OR(D63&lt;0.01,D63&gt;9999999999999990),"Transaction Amount is not valid","")</f>
        <v>Transaction Amount is not valid</v>
      </c>
      <c r="E64" s="103" t="str">
        <f>IF(AND(LEN(E63)&lt;&gt;8,LEN(E63)&lt;&gt;11),
    "BIC must be 8 or 11 characters long",
    IF(COUNTIF('Control Data (Hidden)'!$B$279:$B$335,E63)=0,
        "Warning: Is IBAN Valid?",
        ""
    )
)</f>
        <v>BIC must be 8 or 11 characters long</v>
      </c>
      <c r="F64" s="103" t="str">
        <f>IF(OR(LEN(F63)&lt;1,LEN(F63)&gt;70),"Creditor's Name must be between 1 and 70 characters long","")</f>
        <v>Creditor's Name must be between 1 and 70 characters long</v>
      </c>
      <c r="G64" s="103" t="str">
        <f>IF(LEN(G63)&gt;70,"Address cannot be longer than 70 characters","")</f>
        <v/>
      </c>
      <c r="H64" s="103" t="str">
        <f>IF(LEN(H63)&gt;16,"Building Number cannot be longer than 16 characters","")</f>
        <v/>
      </c>
      <c r="I64" s="103" t="str">
        <f>IF(LEN(I63)&gt;35,"Building Name cannot be longer than 35 characters","")</f>
        <v/>
      </c>
      <c r="J64" s="103" t="str">
        <f>IF(LEN(J63)&gt;16,"Postal Code cannot be longer than 16 characters","")</f>
        <v/>
      </c>
      <c r="K64" s="103" t="str">
        <f>IF(OR(LEN(K63)&lt;1,LEN(K63)&gt;35),"Town Name must be between 1 and 35 characters long","")</f>
        <v>Town Name must be between 1 and 35 characters long</v>
      </c>
      <c r="L64" s="103" t="str">
        <f>IF(NOT(LEN(L63)=2),"Country Code must be 2 characters long","")</f>
        <v>Country Code must be 2 characters long</v>
      </c>
      <c r="M64" s="103" t="str">
        <f>IF(OR(LEN(M63)&lt;10,LEN(M63)&gt;34),"IBAN may be up to 34 characters long","")</f>
        <v>IBAN may be up to 34 characters long</v>
      </c>
      <c r="N64" s="103" t="str">
        <f>IF(ISBLANK(N63),"Code cannot be left blank","")</f>
        <v>Code cannot be left blank</v>
      </c>
      <c r="O64" s="103" t="str">
        <f>IF(OR(LEN(O63)&lt;1,LEN(O63)&gt;140),"Transaction Details must be between 1 and 140 characters long","")</f>
        <v>Transaction Details must be between 1 and 140 characters long</v>
      </c>
      <c r="Q64" s="96" t="s">
        <v>13</v>
      </c>
    </row>
    <row r="65" spans="1:17" s="109" customFormat="1">
      <c r="A65" s="108"/>
      <c r="B65" s="108"/>
      <c r="C65" s="108" t="s">
        <v>83</v>
      </c>
      <c r="D65" s="108"/>
      <c r="E65" s="108"/>
      <c r="F65" s="108"/>
      <c r="G65" s="108"/>
      <c r="H65" s="108"/>
      <c r="I65" s="108"/>
      <c r="J65" s="108"/>
      <c r="K65" s="108"/>
      <c r="L65" s="108"/>
      <c r="M65" s="108"/>
      <c r="N65" s="108"/>
      <c r="O65" s="108"/>
      <c r="Q65" s="110" t="s">
        <v>12</v>
      </c>
    </row>
    <row r="66" spans="1:17" s="105" customFormat="1" ht="36">
      <c r="A66" s="103" t="str">
        <f>IF(OR(LEN(A65)&lt;1,LEN(A65)&gt;35),"Transaction Identification must be between 1 and 35 characters long","")</f>
        <v>Transaction Identification must be between 1 and 35 characters long</v>
      </c>
      <c r="B66" s="103" t="str">
        <f>IF(OR(LEN(B65)&lt;1,LEN(B65)&gt;35),"Uniqie Identification must be between 1 and 35 characters long","")</f>
        <v>Uniqie Identification must be between 1 and 35 characters long</v>
      </c>
      <c r="C66" s="106"/>
      <c r="D66" s="103" t="str">
        <f>IF(OR(D65&lt;0.01,D65&gt;9999999999999990),"Transaction Amount is not valid","")</f>
        <v>Transaction Amount is not valid</v>
      </c>
      <c r="E66" s="103" t="str">
        <f>IF(AND(LEN(E65)&lt;&gt;8,LEN(E65)&lt;&gt;11),
    "BIC must be 8 or 11 characters long",
    IF(COUNTIF('Control Data (Hidden)'!$B$279:$B$335,E65)=0,
        "Warning: Is IBAN Valid?",
        ""
    )
)</f>
        <v>BIC must be 8 or 11 characters long</v>
      </c>
      <c r="F66" s="103" t="str">
        <f>IF(OR(LEN(F65)&lt;1,LEN(F65)&gt;70),"Creditor's Name must be between 1 and 70 characters long","")</f>
        <v>Creditor's Name must be between 1 and 70 characters long</v>
      </c>
      <c r="G66" s="103" t="str">
        <f>IF(LEN(G65)&gt;70,"Address cannot be longer than 70 characters","")</f>
        <v/>
      </c>
      <c r="H66" s="103" t="str">
        <f>IF(LEN(H65)&gt;16,"Building Number cannot be longer than 16 characters","")</f>
        <v/>
      </c>
      <c r="I66" s="103" t="str">
        <f>IF(LEN(I65)&gt;35,"Building Name cannot be longer than 35 characters","")</f>
        <v/>
      </c>
      <c r="J66" s="103" t="str">
        <f>IF(LEN(J65)&gt;16,"Postal Code cannot be longer than 16 characters","")</f>
        <v/>
      </c>
      <c r="K66" s="103" t="str">
        <f>IF(OR(LEN(K65)&lt;1,LEN(K65)&gt;35),"Town Name must be between 1 and 35 characters long","")</f>
        <v>Town Name must be between 1 and 35 characters long</v>
      </c>
      <c r="L66" s="103" t="str">
        <f>IF(NOT(LEN(L65)=2),"Country Code must be 2 characters long","")</f>
        <v>Country Code must be 2 characters long</v>
      </c>
      <c r="M66" s="103" t="str">
        <f>IF(OR(LEN(M65)&lt;10,LEN(M65)&gt;34),"IBAN may be up to 34 characters long","")</f>
        <v>IBAN may be up to 34 characters long</v>
      </c>
      <c r="N66" s="103" t="str">
        <f>IF(ISBLANK(N65),"Code cannot be left blank","")</f>
        <v>Code cannot be left blank</v>
      </c>
      <c r="O66" s="103" t="str">
        <f>IF(OR(LEN(O65)&lt;1,LEN(O65)&gt;140),"Transaction Details must be between 1 and 140 characters long","")</f>
        <v>Transaction Details must be between 1 and 140 characters long</v>
      </c>
      <c r="Q66" s="96" t="s">
        <v>13</v>
      </c>
    </row>
    <row r="67" spans="1:17" s="109" customFormat="1">
      <c r="A67" s="108"/>
      <c r="B67" s="108"/>
      <c r="C67" s="108" t="s">
        <v>83</v>
      </c>
      <c r="D67" s="108"/>
      <c r="E67" s="108"/>
      <c r="F67" s="108"/>
      <c r="G67" s="108"/>
      <c r="H67" s="108"/>
      <c r="I67" s="108"/>
      <c r="J67" s="108"/>
      <c r="K67" s="108"/>
      <c r="L67" s="108"/>
      <c r="M67" s="108"/>
      <c r="N67" s="108"/>
      <c r="O67" s="108"/>
      <c r="Q67" s="110" t="s">
        <v>12</v>
      </c>
    </row>
    <row r="68" spans="1:17" s="105" customFormat="1" ht="36">
      <c r="A68" s="103" t="str">
        <f>IF(OR(LEN(A67)&lt;1,LEN(A67)&gt;35),"Transaction Identification must be between 1 and 35 characters long","")</f>
        <v>Transaction Identification must be between 1 and 35 characters long</v>
      </c>
      <c r="B68" s="103" t="str">
        <f>IF(OR(LEN(B67)&lt;1,LEN(B67)&gt;35),"Uniqie Identification must be between 1 and 35 characters long","")</f>
        <v>Uniqie Identification must be between 1 and 35 characters long</v>
      </c>
      <c r="C68" s="106"/>
      <c r="D68" s="103" t="str">
        <f>IF(OR(D67&lt;0.01,D67&gt;9999999999999990),"Transaction Amount is not valid","")</f>
        <v>Transaction Amount is not valid</v>
      </c>
      <c r="E68" s="103" t="str">
        <f>IF(AND(LEN(E67)&lt;&gt;8,LEN(E67)&lt;&gt;11),
    "BIC must be 8 or 11 characters long",
    IF(COUNTIF('Control Data (Hidden)'!$B$279:$B$335,E67)=0,
        "Warning: Is IBAN Valid?",
        ""
    )
)</f>
        <v>BIC must be 8 or 11 characters long</v>
      </c>
      <c r="F68" s="103" t="str">
        <f>IF(OR(LEN(F67)&lt;1,LEN(F67)&gt;70),"Creditor's Name must be between 1 and 70 characters long","")</f>
        <v>Creditor's Name must be between 1 and 70 characters long</v>
      </c>
      <c r="G68" s="103" t="str">
        <f>IF(LEN(G67)&gt;70,"Address cannot be longer than 70 characters","")</f>
        <v/>
      </c>
      <c r="H68" s="103" t="str">
        <f>IF(LEN(H67)&gt;16,"Building Number cannot be longer than 16 characters","")</f>
        <v/>
      </c>
      <c r="I68" s="103" t="str">
        <f>IF(LEN(I67)&gt;35,"Building Name cannot be longer than 35 characters","")</f>
        <v/>
      </c>
      <c r="J68" s="103" t="str">
        <f>IF(LEN(J67)&gt;16,"Postal Code cannot be longer than 16 characters","")</f>
        <v/>
      </c>
      <c r="K68" s="103" t="str">
        <f>IF(OR(LEN(K67)&lt;1,LEN(K67)&gt;35),"Town Name must be between 1 and 35 characters long","")</f>
        <v>Town Name must be between 1 and 35 characters long</v>
      </c>
      <c r="L68" s="103" t="str">
        <f>IF(NOT(LEN(L67)=2),"Country Code must be 2 characters long","")</f>
        <v>Country Code must be 2 characters long</v>
      </c>
      <c r="M68" s="103" t="str">
        <f>IF(OR(LEN(M67)&lt;10,LEN(M67)&gt;34),"IBAN may be up to 34 characters long","")</f>
        <v>IBAN may be up to 34 characters long</v>
      </c>
      <c r="N68" s="103" t="str">
        <f>IF(ISBLANK(N67),"Code cannot be left blank","")</f>
        <v>Code cannot be left blank</v>
      </c>
      <c r="O68" s="103" t="str">
        <f>IF(OR(LEN(O67)&lt;1,LEN(O67)&gt;140),"Transaction Details must be between 1 and 140 characters long","")</f>
        <v>Transaction Details must be between 1 and 140 characters long</v>
      </c>
      <c r="Q68" s="96" t="s">
        <v>13</v>
      </c>
    </row>
    <row r="69" spans="1:17" s="109" customFormat="1">
      <c r="A69" s="108"/>
      <c r="B69" s="108"/>
      <c r="C69" s="108" t="s">
        <v>83</v>
      </c>
      <c r="D69" s="108"/>
      <c r="E69" s="108"/>
      <c r="F69" s="108"/>
      <c r="G69" s="108"/>
      <c r="H69" s="108"/>
      <c r="I69" s="108"/>
      <c r="J69" s="108"/>
      <c r="K69" s="108"/>
      <c r="L69" s="108"/>
      <c r="M69" s="108"/>
      <c r="N69" s="108"/>
      <c r="O69" s="108"/>
      <c r="Q69" s="110" t="s">
        <v>12</v>
      </c>
    </row>
    <row r="70" spans="1:17" s="105" customFormat="1" ht="36">
      <c r="A70" s="103" t="str">
        <f>IF(OR(LEN(A69)&lt;1,LEN(A69)&gt;35),"Transaction Identification must be between 1 and 35 characters long","")</f>
        <v>Transaction Identification must be between 1 and 35 characters long</v>
      </c>
      <c r="B70" s="103" t="str">
        <f>IF(OR(LEN(B69)&lt;1,LEN(B69)&gt;35),"Uniqie Identification must be between 1 and 35 characters long","")</f>
        <v>Uniqie Identification must be between 1 and 35 characters long</v>
      </c>
      <c r="C70" s="106"/>
      <c r="D70" s="103" t="str">
        <f>IF(OR(D69&lt;0.01,D69&gt;9999999999999990),"Transaction Amount is not valid","")</f>
        <v>Transaction Amount is not valid</v>
      </c>
      <c r="E70" s="103" t="str">
        <f>IF(AND(LEN(E69)&lt;&gt;8,LEN(E69)&lt;&gt;11),
    "BIC must be 8 or 11 characters long",
    IF(COUNTIF('Control Data (Hidden)'!$B$279:$B$335,E69)=0,
        "Warning: Is IBAN Valid?",
        ""
    )
)</f>
        <v>BIC must be 8 or 11 characters long</v>
      </c>
      <c r="F70" s="103" t="str">
        <f>IF(OR(LEN(F69)&lt;1,LEN(F69)&gt;70),"Creditor's Name must be between 1 and 70 characters long","")</f>
        <v>Creditor's Name must be between 1 and 70 characters long</v>
      </c>
      <c r="G70" s="103" t="str">
        <f>IF(LEN(G69)&gt;70,"Address cannot be longer than 70 characters","")</f>
        <v/>
      </c>
      <c r="H70" s="103" t="str">
        <f>IF(LEN(H69)&gt;16,"Building Number cannot be longer than 16 characters","")</f>
        <v/>
      </c>
      <c r="I70" s="103" t="str">
        <f>IF(LEN(I69)&gt;35,"Building Name cannot be longer than 35 characters","")</f>
        <v/>
      </c>
      <c r="J70" s="103" t="str">
        <f>IF(LEN(J69)&gt;16,"Postal Code cannot be longer than 16 characters","")</f>
        <v/>
      </c>
      <c r="K70" s="103" t="str">
        <f>IF(OR(LEN(K69)&lt;1,LEN(K69)&gt;35),"Town Name must be between 1 and 35 characters long","")</f>
        <v>Town Name must be between 1 and 35 characters long</v>
      </c>
      <c r="L70" s="103" t="str">
        <f>IF(NOT(LEN(L69)=2),"Country Code must be 2 characters long","")</f>
        <v>Country Code must be 2 characters long</v>
      </c>
      <c r="M70" s="103" t="str">
        <f>IF(OR(LEN(M69)&lt;10,LEN(M69)&gt;34),"IBAN may be up to 34 characters long","")</f>
        <v>IBAN may be up to 34 characters long</v>
      </c>
      <c r="N70" s="103" t="str">
        <f>IF(ISBLANK(N69),"Code cannot be left blank","")</f>
        <v>Code cannot be left blank</v>
      </c>
      <c r="O70" s="103" t="str">
        <f>IF(OR(LEN(O69)&lt;1,LEN(O69)&gt;140),"Transaction Details must be between 1 and 140 characters long","")</f>
        <v>Transaction Details must be between 1 and 140 characters long</v>
      </c>
      <c r="Q70" s="96" t="s">
        <v>13</v>
      </c>
    </row>
    <row r="71" spans="1:17" s="109" customFormat="1">
      <c r="A71" s="108"/>
      <c r="B71" s="108"/>
      <c r="C71" s="108" t="s">
        <v>83</v>
      </c>
      <c r="D71" s="108"/>
      <c r="E71" s="108"/>
      <c r="F71" s="108"/>
      <c r="G71" s="108"/>
      <c r="H71" s="108"/>
      <c r="I71" s="108"/>
      <c r="J71" s="108"/>
      <c r="K71" s="108"/>
      <c r="L71" s="108"/>
      <c r="M71" s="108"/>
      <c r="N71" s="108"/>
      <c r="O71" s="108"/>
      <c r="Q71" s="110" t="s">
        <v>12</v>
      </c>
    </row>
    <row r="72" spans="1:17" s="105" customFormat="1" ht="36">
      <c r="A72" s="103" t="str">
        <f>IF(OR(LEN(A71)&lt;1,LEN(A71)&gt;35),"Transaction Identification must be between 1 and 35 characters long","")</f>
        <v>Transaction Identification must be between 1 and 35 characters long</v>
      </c>
      <c r="B72" s="103" t="str">
        <f>IF(OR(LEN(B71)&lt;1,LEN(B71)&gt;35),"Uniqie Identification must be between 1 and 35 characters long","")</f>
        <v>Uniqie Identification must be between 1 and 35 characters long</v>
      </c>
      <c r="C72" s="106"/>
      <c r="D72" s="103" t="str">
        <f>IF(OR(D71&lt;0.01,D71&gt;9999999999999990),"Transaction Amount is not valid","")</f>
        <v>Transaction Amount is not valid</v>
      </c>
      <c r="E72" s="103" t="str">
        <f>IF(AND(LEN(E71)&lt;&gt;8,LEN(E71)&lt;&gt;11),
    "BIC must be 8 or 11 characters long",
    IF(COUNTIF('Control Data (Hidden)'!$B$279:$B$335,E71)=0,
        "Warning: Is IBAN Valid?",
        ""
    )
)</f>
        <v>BIC must be 8 or 11 characters long</v>
      </c>
      <c r="F72" s="103" t="str">
        <f>IF(OR(LEN(F71)&lt;1,LEN(F71)&gt;70),"Creditor's Name must be between 1 and 70 characters long","")</f>
        <v>Creditor's Name must be between 1 and 70 characters long</v>
      </c>
      <c r="G72" s="103" t="str">
        <f>IF(LEN(G71)&gt;70,"Address cannot be longer than 70 characters","")</f>
        <v/>
      </c>
      <c r="H72" s="103" t="str">
        <f>IF(LEN(H71)&gt;16,"Building Number cannot be longer than 16 characters","")</f>
        <v/>
      </c>
      <c r="I72" s="103" t="str">
        <f>IF(LEN(I71)&gt;35,"Building Name cannot be longer than 35 characters","")</f>
        <v/>
      </c>
      <c r="J72" s="103" t="str">
        <f>IF(LEN(J71)&gt;16,"Postal Code cannot be longer than 16 characters","")</f>
        <v/>
      </c>
      <c r="K72" s="103" t="str">
        <f>IF(OR(LEN(K71)&lt;1,LEN(K71)&gt;35),"Town Name must be between 1 and 35 characters long","")</f>
        <v>Town Name must be between 1 and 35 characters long</v>
      </c>
      <c r="L72" s="103" t="str">
        <f>IF(NOT(LEN(L71)=2),"Country Code must be 2 characters long","")</f>
        <v>Country Code must be 2 characters long</v>
      </c>
      <c r="M72" s="103" t="str">
        <f>IF(OR(LEN(M71)&lt;10,LEN(M71)&gt;34),"IBAN may be up to 34 characters long","")</f>
        <v>IBAN may be up to 34 characters long</v>
      </c>
      <c r="N72" s="103" t="str">
        <f>IF(ISBLANK(N71),"Code cannot be left blank","")</f>
        <v>Code cannot be left blank</v>
      </c>
      <c r="O72" s="103" t="str">
        <f>IF(OR(LEN(O71)&lt;1,LEN(O71)&gt;140),"Transaction Details must be between 1 and 140 characters long","")</f>
        <v>Transaction Details must be between 1 and 140 characters long</v>
      </c>
      <c r="Q72" s="96" t="s">
        <v>13</v>
      </c>
    </row>
    <row r="73" spans="1:17" s="109" customFormat="1">
      <c r="A73" s="108"/>
      <c r="B73" s="108"/>
      <c r="C73" s="108" t="s">
        <v>83</v>
      </c>
      <c r="D73" s="108"/>
      <c r="E73" s="108"/>
      <c r="F73" s="108"/>
      <c r="G73" s="108"/>
      <c r="H73" s="108"/>
      <c r="I73" s="108"/>
      <c r="J73" s="108"/>
      <c r="K73" s="108"/>
      <c r="L73" s="108"/>
      <c r="M73" s="108"/>
      <c r="N73" s="108"/>
      <c r="O73" s="108"/>
      <c r="Q73" s="110" t="s">
        <v>12</v>
      </c>
    </row>
    <row r="74" spans="1:17" s="105" customFormat="1" ht="36">
      <c r="A74" s="103" t="str">
        <f>IF(OR(LEN(A73)&lt;1,LEN(A73)&gt;35),"Transaction Identification must be between 1 and 35 characters long","")</f>
        <v>Transaction Identification must be between 1 and 35 characters long</v>
      </c>
      <c r="B74" s="103" t="str">
        <f>IF(OR(LEN(B73)&lt;1,LEN(B73)&gt;35),"Uniqie Identification must be between 1 and 35 characters long","")</f>
        <v>Uniqie Identification must be between 1 and 35 characters long</v>
      </c>
      <c r="C74" s="106"/>
      <c r="D74" s="103" t="str">
        <f>IF(OR(D73&lt;0.01,D73&gt;9999999999999990),"Transaction Amount is not valid","")</f>
        <v>Transaction Amount is not valid</v>
      </c>
      <c r="E74" s="103" t="str">
        <f>IF(AND(LEN(E73)&lt;&gt;8,LEN(E73)&lt;&gt;11),
    "BIC must be 8 or 11 characters long",
    IF(COUNTIF('Control Data (Hidden)'!$B$279:$B$335,E73)=0,
        "Warning: Is IBAN Valid?",
        ""
    )
)</f>
        <v>BIC must be 8 or 11 characters long</v>
      </c>
      <c r="F74" s="103" t="str">
        <f>IF(OR(LEN(F73)&lt;1,LEN(F73)&gt;70),"Creditor's Name must be between 1 and 70 characters long","")</f>
        <v>Creditor's Name must be between 1 and 70 characters long</v>
      </c>
      <c r="G74" s="103" t="str">
        <f>IF(LEN(G73)&gt;70,"Address cannot be longer than 70 characters","")</f>
        <v/>
      </c>
      <c r="H74" s="103" t="str">
        <f>IF(LEN(H73)&gt;16,"Building Number cannot be longer than 16 characters","")</f>
        <v/>
      </c>
      <c r="I74" s="103" t="str">
        <f>IF(LEN(I73)&gt;35,"Building Name cannot be longer than 35 characters","")</f>
        <v/>
      </c>
      <c r="J74" s="103" t="str">
        <f>IF(LEN(J73)&gt;16,"Postal Code cannot be longer than 16 characters","")</f>
        <v/>
      </c>
      <c r="K74" s="103" t="str">
        <f>IF(OR(LEN(K73)&lt;1,LEN(K73)&gt;35),"Town Name must be between 1 and 35 characters long","")</f>
        <v>Town Name must be between 1 and 35 characters long</v>
      </c>
      <c r="L74" s="103" t="str">
        <f>IF(NOT(LEN(L73)=2),"Country Code must be 2 characters long","")</f>
        <v>Country Code must be 2 characters long</v>
      </c>
      <c r="M74" s="103" t="str">
        <f>IF(OR(LEN(M73)&lt;10,LEN(M73)&gt;34),"IBAN may be up to 34 characters long","")</f>
        <v>IBAN may be up to 34 characters long</v>
      </c>
      <c r="N74" s="103" t="str">
        <f>IF(ISBLANK(N73),"Code cannot be left blank","")</f>
        <v>Code cannot be left blank</v>
      </c>
      <c r="O74" s="103" t="str">
        <f>IF(OR(LEN(O73)&lt;1,LEN(O73)&gt;140),"Transaction Details must be between 1 and 140 characters long","")</f>
        <v>Transaction Details must be between 1 and 140 characters long</v>
      </c>
      <c r="Q74" s="96" t="s">
        <v>13</v>
      </c>
    </row>
    <row r="75" spans="1:17" s="109" customFormat="1">
      <c r="A75" s="108"/>
      <c r="B75" s="108"/>
      <c r="C75" s="108" t="s">
        <v>83</v>
      </c>
      <c r="D75" s="108"/>
      <c r="E75" s="108"/>
      <c r="F75" s="108"/>
      <c r="G75" s="108"/>
      <c r="H75" s="108"/>
      <c r="I75" s="108"/>
      <c r="J75" s="108"/>
      <c r="K75" s="108"/>
      <c r="L75" s="108"/>
      <c r="M75" s="108"/>
      <c r="N75" s="108"/>
      <c r="O75" s="108"/>
      <c r="Q75" s="110" t="s">
        <v>12</v>
      </c>
    </row>
    <row r="76" spans="1:17" s="105" customFormat="1" ht="36">
      <c r="A76" s="103" t="str">
        <f>IF(OR(LEN(A75)&lt;1,LEN(A75)&gt;35),"Transaction Identification must be between 1 and 35 characters long","")</f>
        <v>Transaction Identification must be between 1 and 35 characters long</v>
      </c>
      <c r="B76" s="103" t="str">
        <f>IF(OR(LEN(B75)&lt;1,LEN(B75)&gt;35),"Uniqie Identification must be between 1 and 35 characters long","")</f>
        <v>Uniqie Identification must be between 1 and 35 characters long</v>
      </c>
      <c r="C76" s="106"/>
      <c r="D76" s="103" t="str">
        <f>IF(OR(D75&lt;0.01,D75&gt;9999999999999990),"Transaction Amount is not valid","")</f>
        <v>Transaction Amount is not valid</v>
      </c>
      <c r="E76" s="103" t="str">
        <f>IF(AND(LEN(E75)&lt;&gt;8,LEN(E75)&lt;&gt;11),
    "BIC must be 8 or 11 characters long",
    IF(COUNTIF('Control Data (Hidden)'!$B$279:$B$335,E75)=0,
        "Warning: Is IBAN Valid?",
        ""
    )
)</f>
        <v>BIC must be 8 or 11 characters long</v>
      </c>
      <c r="F76" s="103" t="str">
        <f>IF(OR(LEN(F75)&lt;1,LEN(F75)&gt;70),"Creditor's Name must be between 1 and 70 characters long","")</f>
        <v>Creditor's Name must be between 1 and 70 characters long</v>
      </c>
      <c r="G76" s="103" t="str">
        <f>IF(LEN(G75)&gt;70,"Address cannot be longer than 70 characters","")</f>
        <v/>
      </c>
      <c r="H76" s="103" t="str">
        <f>IF(LEN(H75)&gt;16,"Building Number cannot be longer than 16 characters","")</f>
        <v/>
      </c>
      <c r="I76" s="103" t="str">
        <f>IF(LEN(I75)&gt;35,"Building Name cannot be longer than 35 characters","")</f>
        <v/>
      </c>
      <c r="J76" s="103" t="str">
        <f>IF(LEN(J75)&gt;16,"Postal Code cannot be longer than 16 characters","")</f>
        <v/>
      </c>
      <c r="K76" s="103" t="str">
        <f>IF(OR(LEN(K75)&lt;1,LEN(K75)&gt;35),"Town Name must be between 1 and 35 characters long","")</f>
        <v>Town Name must be between 1 and 35 characters long</v>
      </c>
      <c r="L76" s="103" t="str">
        <f>IF(NOT(LEN(L75)=2),"Country Code must be 2 characters long","")</f>
        <v>Country Code must be 2 characters long</v>
      </c>
      <c r="M76" s="103" t="str">
        <f>IF(OR(LEN(M75)&lt;10,LEN(M75)&gt;34),"IBAN may be up to 34 characters long","")</f>
        <v>IBAN may be up to 34 characters long</v>
      </c>
      <c r="N76" s="103" t="str">
        <f>IF(ISBLANK(N75),"Code cannot be left blank","")</f>
        <v>Code cannot be left blank</v>
      </c>
      <c r="O76" s="103" t="str">
        <f>IF(OR(LEN(O75)&lt;1,LEN(O75)&gt;140),"Transaction Details must be between 1 and 140 characters long","")</f>
        <v>Transaction Details must be between 1 and 140 characters long</v>
      </c>
      <c r="Q76" s="96" t="s">
        <v>13</v>
      </c>
    </row>
    <row r="77" spans="1:17" s="109" customFormat="1">
      <c r="A77" s="108"/>
      <c r="B77" s="108"/>
      <c r="C77" s="108" t="s">
        <v>83</v>
      </c>
      <c r="D77" s="108"/>
      <c r="E77" s="108"/>
      <c r="F77" s="108"/>
      <c r="G77" s="108"/>
      <c r="H77" s="108"/>
      <c r="I77" s="108"/>
      <c r="J77" s="108"/>
      <c r="K77" s="108"/>
      <c r="L77" s="108"/>
      <c r="M77" s="108"/>
      <c r="N77" s="108"/>
      <c r="O77" s="108"/>
      <c r="Q77" s="110" t="s">
        <v>12</v>
      </c>
    </row>
    <row r="78" spans="1:17" s="105" customFormat="1" ht="36">
      <c r="A78" s="103" t="str">
        <f>IF(OR(LEN(A77)&lt;1,LEN(A77)&gt;35),"Transaction Identification must be between 1 and 35 characters long","")</f>
        <v>Transaction Identification must be between 1 and 35 characters long</v>
      </c>
      <c r="B78" s="103" t="str">
        <f>IF(OR(LEN(B77)&lt;1,LEN(B77)&gt;35),"Uniqie Identification must be between 1 and 35 characters long","")</f>
        <v>Uniqie Identification must be between 1 and 35 characters long</v>
      </c>
      <c r="C78" s="106"/>
      <c r="D78" s="103" t="str">
        <f>IF(OR(D77&lt;0.01,D77&gt;9999999999999990),"Transaction Amount is not valid","")</f>
        <v>Transaction Amount is not valid</v>
      </c>
      <c r="E78" s="103" t="str">
        <f>IF(AND(LEN(E77)&lt;&gt;8,LEN(E77)&lt;&gt;11),
    "BIC must be 8 or 11 characters long",
    IF(COUNTIF('Control Data (Hidden)'!$B$279:$B$335,E77)=0,
        "Warning: Is IBAN Valid?",
        ""
    )
)</f>
        <v>BIC must be 8 or 11 characters long</v>
      </c>
      <c r="F78" s="103" t="str">
        <f>IF(OR(LEN(F77)&lt;1,LEN(F77)&gt;70),"Creditor's Name must be between 1 and 70 characters long","")</f>
        <v>Creditor's Name must be between 1 and 70 characters long</v>
      </c>
      <c r="G78" s="103" t="str">
        <f>IF(LEN(G77)&gt;70,"Address cannot be longer than 70 characters","")</f>
        <v/>
      </c>
      <c r="H78" s="103" t="str">
        <f>IF(LEN(H77)&gt;16,"Building Number cannot be longer than 16 characters","")</f>
        <v/>
      </c>
      <c r="I78" s="103" t="str">
        <f>IF(LEN(I77)&gt;35,"Building Name cannot be longer than 35 characters","")</f>
        <v/>
      </c>
      <c r="J78" s="103" t="str">
        <f>IF(LEN(J77)&gt;16,"Postal Code cannot be longer than 16 characters","")</f>
        <v/>
      </c>
      <c r="K78" s="103" t="str">
        <f>IF(OR(LEN(K77)&lt;1,LEN(K77)&gt;35),"Town Name must be between 1 and 35 characters long","")</f>
        <v>Town Name must be between 1 and 35 characters long</v>
      </c>
      <c r="L78" s="103" t="str">
        <f>IF(NOT(LEN(L77)=2),"Country Code must be 2 characters long","")</f>
        <v>Country Code must be 2 characters long</v>
      </c>
      <c r="M78" s="103" t="str">
        <f>IF(OR(LEN(M77)&lt;10,LEN(M77)&gt;34),"IBAN may be up to 34 characters long","")</f>
        <v>IBAN may be up to 34 characters long</v>
      </c>
      <c r="N78" s="103" t="str">
        <f>IF(ISBLANK(N77),"Code cannot be left blank","")</f>
        <v>Code cannot be left blank</v>
      </c>
      <c r="O78" s="103" t="str">
        <f>IF(OR(LEN(O77)&lt;1,LEN(O77)&gt;140),"Transaction Details must be between 1 and 140 characters long","")</f>
        <v>Transaction Details must be between 1 and 140 characters long</v>
      </c>
      <c r="Q78" s="96" t="s">
        <v>13</v>
      </c>
    </row>
    <row r="79" spans="1:17" s="109" customFormat="1">
      <c r="A79" s="108"/>
      <c r="B79" s="108"/>
      <c r="C79" s="108" t="s">
        <v>83</v>
      </c>
      <c r="D79" s="108"/>
      <c r="E79" s="108"/>
      <c r="F79" s="108"/>
      <c r="G79" s="108"/>
      <c r="H79" s="108"/>
      <c r="I79" s="108"/>
      <c r="J79" s="108"/>
      <c r="K79" s="108"/>
      <c r="L79" s="108"/>
      <c r="M79" s="108"/>
      <c r="N79" s="108"/>
      <c r="O79" s="108"/>
      <c r="Q79" s="110" t="s">
        <v>12</v>
      </c>
    </row>
    <row r="80" spans="1:17" s="105" customFormat="1" ht="36">
      <c r="A80" s="103" t="str">
        <f>IF(OR(LEN(A79)&lt;1,LEN(A79)&gt;35),"Transaction Identification must be between 1 and 35 characters long","")</f>
        <v>Transaction Identification must be between 1 and 35 characters long</v>
      </c>
      <c r="B80" s="103" t="str">
        <f>IF(OR(LEN(B79)&lt;1,LEN(B79)&gt;35),"Uniqie Identification must be between 1 and 35 characters long","")</f>
        <v>Uniqie Identification must be between 1 and 35 characters long</v>
      </c>
      <c r="C80" s="106"/>
      <c r="D80" s="103" t="str">
        <f>IF(OR(D79&lt;0.01,D79&gt;9999999999999990),"Transaction Amount is not valid","")</f>
        <v>Transaction Amount is not valid</v>
      </c>
      <c r="E80" s="103" t="str">
        <f>IF(AND(LEN(E79)&lt;&gt;8,LEN(E79)&lt;&gt;11),
    "BIC must be 8 or 11 characters long",
    IF(COUNTIF('Control Data (Hidden)'!$B$279:$B$335,E79)=0,
        "Warning: Is IBAN Valid?",
        ""
    )
)</f>
        <v>BIC must be 8 or 11 characters long</v>
      </c>
      <c r="F80" s="103" t="str">
        <f>IF(OR(LEN(F79)&lt;1,LEN(F79)&gt;70),"Creditor's Name must be between 1 and 70 characters long","")</f>
        <v>Creditor's Name must be between 1 and 70 characters long</v>
      </c>
      <c r="G80" s="103" t="str">
        <f>IF(LEN(G79)&gt;70,"Address cannot be longer than 70 characters","")</f>
        <v/>
      </c>
      <c r="H80" s="103" t="str">
        <f>IF(LEN(H79)&gt;16,"Building Number cannot be longer than 16 characters","")</f>
        <v/>
      </c>
      <c r="I80" s="103" t="str">
        <f>IF(LEN(I79)&gt;35,"Building Name cannot be longer than 35 characters","")</f>
        <v/>
      </c>
      <c r="J80" s="103" t="str">
        <f>IF(LEN(J79)&gt;16,"Postal Code cannot be longer than 16 characters","")</f>
        <v/>
      </c>
      <c r="K80" s="103" t="str">
        <f>IF(OR(LEN(K79)&lt;1,LEN(K79)&gt;35),"Town Name must be between 1 and 35 characters long","")</f>
        <v>Town Name must be between 1 and 35 characters long</v>
      </c>
      <c r="L80" s="103" t="str">
        <f>IF(NOT(LEN(L79)=2),"Country Code must be 2 characters long","")</f>
        <v>Country Code must be 2 characters long</v>
      </c>
      <c r="M80" s="103" t="str">
        <f>IF(OR(LEN(M79)&lt;10,LEN(M79)&gt;34),"IBAN may be up to 34 characters long","")</f>
        <v>IBAN may be up to 34 characters long</v>
      </c>
      <c r="N80" s="103" t="str">
        <f>IF(ISBLANK(N79),"Code cannot be left blank","")</f>
        <v>Code cannot be left blank</v>
      </c>
      <c r="O80" s="103" t="str">
        <f>IF(OR(LEN(O79)&lt;1,LEN(O79)&gt;140),"Transaction Details must be between 1 and 140 characters long","")</f>
        <v>Transaction Details must be between 1 and 140 characters long</v>
      </c>
      <c r="Q80" s="96" t="s">
        <v>13</v>
      </c>
    </row>
    <row r="81" spans="1:17" s="109" customFormat="1">
      <c r="A81" s="108"/>
      <c r="B81" s="108"/>
      <c r="C81" s="108" t="s">
        <v>83</v>
      </c>
      <c r="D81" s="108"/>
      <c r="E81" s="108"/>
      <c r="F81" s="108"/>
      <c r="G81" s="108"/>
      <c r="H81" s="108"/>
      <c r="I81" s="108"/>
      <c r="J81" s="108"/>
      <c r="K81" s="108"/>
      <c r="L81" s="108"/>
      <c r="M81" s="108"/>
      <c r="N81" s="108"/>
      <c r="O81" s="108"/>
      <c r="Q81" s="110" t="s">
        <v>12</v>
      </c>
    </row>
    <row r="82" spans="1:17" s="105" customFormat="1" ht="36">
      <c r="A82" s="103" t="str">
        <f>IF(OR(LEN(A81)&lt;1,LEN(A81)&gt;35),"Transaction Identification must be between 1 and 35 characters long","")</f>
        <v>Transaction Identification must be between 1 and 35 characters long</v>
      </c>
      <c r="B82" s="103" t="str">
        <f>IF(OR(LEN(B81)&lt;1,LEN(B81)&gt;35),"Uniqie Identification must be between 1 and 35 characters long","")</f>
        <v>Uniqie Identification must be between 1 and 35 characters long</v>
      </c>
      <c r="C82" s="106"/>
      <c r="D82" s="103" t="str">
        <f>IF(OR(D81&lt;0.01,D81&gt;9999999999999990),"Transaction Amount is not valid","")</f>
        <v>Transaction Amount is not valid</v>
      </c>
      <c r="E82" s="103" t="str">
        <f>IF(AND(LEN(E81)&lt;&gt;8,LEN(E81)&lt;&gt;11),
    "BIC must be 8 or 11 characters long",
    IF(COUNTIF('Control Data (Hidden)'!$B$279:$B$335,E81)=0,
        "Warning: Is IBAN Valid?",
        ""
    )
)</f>
        <v>BIC must be 8 or 11 characters long</v>
      </c>
      <c r="F82" s="103" t="str">
        <f>IF(OR(LEN(F81)&lt;1,LEN(F81)&gt;70),"Creditor's Name must be between 1 and 70 characters long","")</f>
        <v>Creditor's Name must be between 1 and 70 characters long</v>
      </c>
      <c r="G82" s="103" t="str">
        <f>IF(LEN(G81)&gt;70,"Address cannot be longer than 70 characters","")</f>
        <v/>
      </c>
      <c r="H82" s="103" t="str">
        <f>IF(LEN(H81)&gt;16,"Building Number cannot be longer than 16 characters","")</f>
        <v/>
      </c>
      <c r="I82" s="103" t="str">
        <f>IF(LEN(I81)&gt;35,"Building Name cannot be longer than 35 characters","")</f>
        <v/>
      </c>
      <c r="J82" s="103" t="str">
        <f>IF(LEN(J81)&gt;16,"Postal Code cannot be longer than 16 characters","")</f>
        <v/>
      </c>
      <c r="K82" s="103" t="str">
        <f>IF(OR(LEN(K81)&lt;1,LEN(K81)&gt;35),"Town Name must be between 1 and 35 characters long","")</f>
        <v>Town Name must be between 1 and 35 characters long</v>
      </c>
      <c r="L82" s="103" t="str">
        <f>IF(NOT(LEN(L81)=2),"Country Code must be 2 characters long","")</f>
        <v>Country Code must be 2 characters long</v>
      </c>
      <c r="M82" s="103" t="str">
        <f>IF(OR(LEN(M81)&lt;10,LEN(M81)&gt;34),"IBAN may be up to 34 characters long","")</f>
        <v>IBAN may be up to 34 characters long</v>
      </c>
      <c r="N82" s="103" t="str">
        <f>IF(ISBLANK(N81),"Code cannot be left blank","")</f>
        <v>Code cannot be left blank</v>
      </c>
      <c r="O82" s="103" t="str">
        <f>IF(OR(LEN(O81)&lt;1,LEN(O81)&gt;140),"Transaction Details must be between 1 and 140 characters long","")</f>
        <v>Transaction Details must be between 1 and 140 characters long</v>
      </c>
      <c r="Q82" s="96" t="s">
        <v>13</v>
      </c>
    </row>
    <row r="83" spans="1:17" s="109" customFormat="1">
      <c r="A83" s="108"/>
      <c r="B83" s="108"/>
      <c r="C83" s="108" t="s">
        <v>83</v>
      </c>
      <c r="D83" s="108"/>
      <c r="E83" s="108"/>
      <c r="F83" s="108"/>
      <c r="G83" s="108"/>
      <c r="H83" s="108"/>
      <c r="I83" s="108"/>
      <c r="J83" s="108"/>
      <c r="K83" s="108"/>
      <c r="L83" s="108"/>
      <c r="M83" s="108"/>
      <c r="N83" s="108"/>
      <c r="O83" s="108"/>
      <c r="Q83" s="110" t="s">
        <v>12</v>
      </c>
    </row>
    <row r="84" spans="1:17" s="105" customFormat="1" ht="36">
      <c r="A84" s="103" t="str">
        <f>IF(OR(LEN(A83)&lt;1,LEN(A83)&gt;35),"Transaction Identification must be between 1 and 35 characters long","")</f>
        <v>Transaction Identification must be between 1 and 35 characters long</v>
      </c>
      <c r="B84" s="103" t="str">
        <f>IF(OR(LEN(B83)&lt;1,LEN(B83)&gt;35),"Uniqie Identification must be between 1 and 35 characters long","")</f>
        <v>Uniqie Identification must be between 1 and 35 characters long</v>
      </c>
      <c r="C84" s="106"/>
      <c r="D84" s="103" t="str">
        <f>IF(OR(D83&lt;0.01,D83&gt;9999999999999990),"Transaction Amount is not valid","")</f>
        <v>Transaction Amount is not valid</v>
      </c>
      <c r="E84" s="103" t="str">
        <f>IF(AND(LEN(E83)&lt;&gt;8,LEN(E83)&lt;&gt;11),
    "BIC must be 8 or 11 characters long",
    IF(COUNTIF('Control Data (Hidden)'!$B$279:$B$335,E83)=0,
        "Warning: Is IBAN Valid?",
        ""
    )
)</f>
        <v>BIC must be 8 or 11 characters long</v>
      </c>
      <c r="F84" s="103" t="str">
        <f>IF(OR(LEN(F83)&lt;1,LEN(F83)&gt;70),"Creditor's Name must be between 1 and 70 characters long","")</f>
        <v>Creditor's Name must be between 1 and 70 characters long</v>
      </c>
      <c r="G84" s="103" t="str">
        <f>IF(LEN(G83)&gt;70,"Address cannot be longer than 70 characters","")</f>
        <v/>
      </c>
      <c r="H84" s="103" t="str">
        <f>IF(LEN(H83)&gt;16,"Building Number cannot be longer than 16 characters","")</f>
        <v/>
      </c>
      <c r="I84" s="103" t="str">
        <f>IF(LEN(I83)&gt;35,"Building Name cannot be longer than 35 characters","")</f>
        <v/>
      </c>
      <c r="J84" s="103" t="str">
        <f>IF(LEN(J83)&gt;16,"Postal Code cannot be longer than 16 characters","")</f>
        <v/>
      </c>
      <c r="K84" s="103" t="str">
        <f>IF(OR(LEN(K83)&lt;1,LEN(K83)&gt;35),"Town Name must be between 1 and 35 characters long","")</f>
        <v>Town Name must be between 1 and 35 characters long</v>
      </c>
      <c r="L84" s="103" t="str">
        <f>IF(NOT(LEN(L83)=2),"Country Code must be 2 characters long","")</f>
        <v>Country Code must be 2 characters long</v>
      </c>
      <c r="M84" s="103" t="str">
        <f>IF(OR(LEN(M83)&lt;10,LEN(M83)&gt;34),"IBAN may be up to 34 characters long","")</f>
        <v>IBAN may be up to 34 characters long</v>
      </c>
      <c r="N84" s="103" t="str">
        <f>IF(ISBLANK(N83),"Code cannot be left blank","")</f>
        <v>Code cannot be left blank</v>
      </c>
      <c r="O84" s="103" t="str">
        <f>IF(OR(LEN(O83)&lt;1,LEN(O83)&gt;140),"Transaction Details must be between 1 and 140 characters long","")</f>
        <v>Transaction Details must be between 1 and 140 characters long</v>
      </c>
      <c r="Q84" s="96" t="s">
        <v>13</v>
      </c>
    </row>
    <row r="85" spans="1:17" s="109" customFormat="1">
      <c r="A85" s="108"/>
      <c r="B85" s="108"/>
      <c r="C85" s="108" t="s">
        <v>83</v>
      </c>
      <c r="D85" s="108"/>
      <c r="E85" s="108"/>
      <c r="F85" s="108"/>
      <c r="G85" s="108"/>
      <c r="H85" s="108"/>
      <c r="I85" s="108"/>
      <c r="J85" s="108"/>
      <c r="K85" s="108"/>
      <c r="L85" s="108"/>
      <c r="M85" s="108"/>
      <c r="N85" s="108"/>
      <c r="O85" s="108"/>
      <c r="Q85" s="110" t="s">
        <v>12</v>
      </c>
    </row>
    <row r="86" spans="1:17" s="105" customFormat="1" ht="36">
      <c r="A86" s="103" t="str">
        <f>IF(OR(LEN(A85)&lt;1,LEN(A85)&gt;35),"Transaction Identification must be between 1 and 35 characters long","")</f>
        <v>Transaction Identification must be between 1 and 35 characters long</v>
      </c>
      <c r="B86" s="103" t="str">
        <f>IF(OR(LEN(B85)&lt;1,LEN(B85)&gt;35),"Uniqie Identification must be between 1 and 35 characters long","")</f>
        <v>Uniqie Identification must be between 1 and 35 characters long</v>
      </c>
      <c r="C86" s="106"/>
      <c r="D86" s="103" t="str">
        <f>IF(OR(D85&lt;0.01,D85&gt;9999999999999990),"Transaction Amount is not valid","")</f>
        <v>Transaction Amount is not valid</v>
      </c>
      <c r="E86" s="103" t="str">
        <f>IF(AND(LEN(E85)&lt;&gt;8,LEN(E85)&lt;&gt;11),
    "BIC must be 8 or 11 characters long",
    IF(COUNTIF('Control Data (Hidden)'!$B$279:$B$335,E85)=0,
        "Warning: Is IBAN Valid?",
        ""
    )
)</f>
        <v>BIC must be 8 or 11 characters long</v>
      </c>
      <c r="F86" s="103" t="str">
        <f>IF(OR(LEN(F85)&lt;1,LEN(F85)&gt;70),"Creditor's Name must be between 1 and 70 characters long","")</f>
        <v>Creditor's Name must be between 1 and 70 characters long</v>
      </c>
      <c r="G86" s="103" t="str">
        <f>IF(LEN(G85)&gt;70,"Address cannot be longer than 70 characters","")</f>
        <v/>
      </c>
      <c r="H86" s="103" t="str">
        <f>IF(LEN(H85)&gt;16,"Building Number cannot be longer than 16 characters","")</f>
        <v/>
      </c>
      <c r="I86" s="103" t="str">
        <f>IF(LEN(I85)&gt;35,"Building Name cannot be longer than 35 characters","")</f>
        <v/>
      </c>
      <c r="J86" s="103" t="str">
        <f>IF(LEN(J85)&gt;16,"Postal Code cannot be longer than 16 characters","")</f>
        <v/>
      </c>
      <c r="K86" s="103" t="str">
        <f>IF(OR(LEN(K85)&lt;1,LEN(K85)&gt;35),"Town Name must be between 1 and 35 characters long","")</f>
        <v>Town Name must be between 1 and 35 characters long</v>
      </c>
      <c r="L86" s="103" t="str">
        <f>IF(NOT(LEN(L85)=2),"Country Code must be 2 characters long","")</f>
        <v>Country Code must be 2 characters long</v>
      </c>
      <c r="M86" s="103" t="str">
        <f>IF(OR(LEN(M85)&lt;10,LEN(M85)&gt;34),"IBAN may be up to 34 characters long","")</f>
        <v>IBAN may be up to 34 characters long</v>
      </c>
      <c r="N86" s="103" t="str">
        <f>IF(ISBLANK(N85),"Code cannot be left blank","")</f>
        <v>Code cannot be left blank</v>
      </c>
      <c r="O86" s="103" t="str">
        <f>IF(OR(LEN(O85)&lt;1,LEN(O85)&gt;140),"Transaction Details must be between 1 and 140 characters long","")</f>
        <v>Transaction Details must be between 1 and 140 characters long</v>
      </c>
      <c r="Q86" s="96" t="s">
        <v>13</v>
      </c>
    </row>
    <row r="87" spans="1:17" s="109" customFormat="1">
      <c r="A87" s="108"/>
      <c r="B87" s="108"/>
      <c r="C87" s="108" t="s">
        <v>83</v>
      </c>
      <c r="D87" s="108"/>
      <c r="E87" s="108"/>
      <c r="F87" s="108"/>
      <c r="G87" s="108"/>
      <c r="H87" s="108"/>
      <c r="I87" s="108"/>
      <c r="J87" s="108"/>
      <c r="K87" s="108"/>
      <c r="L87" s="108"/>
      <c r="M87" s="108"/>
      <c r="N87" s="108"/>
      <c r="O87" s="108"/>
      <c r="Q87" s="110" t="s">
        <v>12</v>
      </c>
    </row>
    <row r="88" spans="1:17" s="105" customFormat="1" ht="36">
      <c r="A88" s="103" t="str">
        <f>IF(OR(LEN(A87)&lt;1,LEN(A87)&gt;35),"Transaction Identification must be between 1 and 35 characters long","")</f>
        <v>Transaction Identification must be between 1 and 35 characters long</v>
      </c>
      <c r="B88" s="103" t="str">
        <f>IF(OR(LEN(B87)&lt;1,LEN(B87)&gt;35),"Uniqie Identification must be between 1 and 35 characters long","")</f>
        <v>Uniqie Identification must be between 1 and 35 characters long</v>
      </c>
      <c r="C88" s="106"/>
      <c r="D88" s="103" t="str">
        <f>IF(OR(D87&lt;0.01,D87&gt;9999999999999990),"Transaction Amount is not valid","")</f>
        <v>Transaction Amount is not valid</v>
      </c>
      <c r="E88" s="103" t="str">
        <f>IF(AND(LEN(E87)&lt;&gt;8,LEN(E87)&lt;&gt;11),
    "BIC must be 8 or 11 characters long",
    IF(COUNTIF('Control Data (Hidden)'!$B$279:$B$335,E87)=0,
        "Warning: Is IBAN Valid?",
        ""
    )
)</f>
        <v>BIC must be 8 or 11 characters long</v>
      </c>
      <c r="F88" s="103" t="str">
        <f>IF(OR(LEN(F87)&lt;1,LEN(F87)&gt;70),"Creditor's Name must be between 1 and 70 characters long","")</f>
        <v>Creditor's Name must be between 1 and 70 characters long</v>
      </c>
      <c r="G88" s="103" t="str">
        <f>IF(LEN(G87)&gt;70,"Address cannot be longer than 70 characters","")</f>
        <v/>
      </c>
      <c r="H88" s="103" t="str">
        <f>IF(LEN(H87)&gt;16,"Building Number cannot be longer than 16 characters","")</f>
        <v/>
      </c>
      <c r="I88" s="103" t="str">
        <f>IF(LEN(I87)&gt;35,"Building Name cannot be longer than 35 characters","")</f>
        <v/>
      </c>
      <c r="J88" s="103" t="str">
        <f>IF(LEN(J87)&gt;16,"Postal Code cannot be longer than 16 characters","")</f>
        <v/>
      </c>
      <c r="K88" s="103" t="str">
        <f>IF(OR(LEN(K87)&lt;1,LEN(K87)&gt;35),"Town Name must be between 1 and 35 characters long","")</f>
        <v>Town Name must be between 1 and 35 characters long</v>
      </c>
      <c r="L88" s="103" t="str">
        <f>IF(NOT(LEN(L87)=2),"Country Code must be 2 characters long","")</f>
        <v>Country Code must be 2 characters long</v>
      </c>
      <c r="M88" s="103" t="str">
        <f>IF(OR(LEN(M87)&lt;10,LEN(M87)&gt;34),"IBAN may be up to 34 characters long","")</f>
        <v>IBAN may be up to 34 characters long</v>
      </c>
      <c r="N88" s="103" t="str">
        <f>IF(ISBLANK(N87),"Code cannot be left blank","")</f>
        <v>Code cannot be left blank</v>
      </c>
      <c r="O88" s="103" t="str">
        <f>IF(OR(LEN(O87)&lt;1,LEN(O87)&gt;140),"Transaction Details must be between 1 and 140 characters long","")</f>
        <v>Transaction Details must be between 1 and 140 characters long</v>
      </c>
      <c r="Q88" s="96" t="s">
        <v>13</v>
      </c>
    </row>
    <row r="89" spans="1:17" s="109" customFormat="1">
      <c r="A89" s="108"/>
      <c r="B89" s="108"/>
      <c r="C89" s="108" t="s">
        <v>83</v>
      </c>
      <c r="D89" s="108"/>
      <c r="E89" s="108"/>
      <c r="F89" s="108"/>
      <c r="G89" s="108"/>
      <c r="H89" s="108"/>
      <c r="I89" s="108"/>
      <c r="J89" s="108"/>
      <c r="K89" s="108"/>
      <c r="L89" s="108"/>
      <c r="M89" s="108"/>
      <c r="N89" s="108"/>
      <c r="O89" s="108"/>
      <c r="Q89" s="110" t="s">
        <v>12</v>
      </c>
    </row>
    <row r="90" spans="1:17" s="105" customFormat="1" ht="36">
      <c r="A90" s="103" t="str">
        <f>IF(OR(LEN(A89)&lt;1,LEN(A89)&gt;35),"Transaction Identification must be between 1 and 35 characters long","")</f>
        <v>Transaction Identification must be between 1 and 35 characters long</v>
      </c>
      <c r="B90" s="103" t="str">
        <f>IF(OR(LEN(B89)&lt;1,LEN(B89)&gt;35),"Uniqie Identification must be between 1 and 35 characters long","")</f>
        <v>Uniqie Identification must be between 1 and 35 characters long</v>
      </c>
      <c r="C90" s="106"/>
      <c r="D90" s="103" t="str">
        <f>IF(OR(D89&lt;0.01,D89&gt;9999999999999990),"Transaction Amount is not valid","")</f>
        <v>Transaction Amount is not valid</v>
      </c>
      <c r="E90" s="103" t="str">
        <f>IF(AND(LEN(E89)&lt;&gt;8,LEN(E89)&lt;&gt;11),
    "BIC must be 8 or 11 characters long",
    IF(COUNTIF('Control Data (Hidden)'!$B$279:$B$335,E89)=0,
        "Warning: Is IBAN Valid?",
        ""
    )
)</f>
        <v>BIC must be 8 or 11 characters long</v>
      </c>
      <c r="F90" s="103" t="str">
        <f>IF(OR(LEN(F89)&lt;1,LEN(F89)&gt;70),"Creditor's Name must be between 1 and 70 characters long","")</f>
        <v>Creditor's Name must be between 1 and 70 characters long</v>
      </c>
      <c r="G90" s="103" t="str">
        <f>IF(LEN(G89)&gt;70,"Address cannot be longer than 70 characters","")</f>
        <v/>
      </c>
      <c r="H90" s="103" t="str">
        <f>IF(LEN(H89)&gt;16,"Building Number cannot be longer than 16 characters","")</f>
        <v/>
      </c>
      <c r="I90" s="103" t="str">
        <f>IF(LEN(I89)&gt;35,"Building Name cannot be longer than 35 characters","")</f>
        <v/>
      </c>
      <c r="J90" s="103" t="str">
        <f>IF(LEN(J89)&gt;16,"Postal Code cannot be longer than 16 characters","")</f>
        <v/>
      </c>
      <c r="K90" s="103" t="str">
        <f>IF(OR(LEN(K89)&lt;1,LEN(K89)&gt;35),"Town Name must be between 1 and 35 characters long","")</f>
        <v>Town Name must be between 1 and 35 characters long</v>
      </c>
      <c r="L90" s="103" t="str">
        <f>IF(NOT(LEN(L89)=2),"Country Code must be 2 characters long","")</f>
        <v>Country Code must be 2 characters long</v>
      </c>
      <c r="M90" s="103" t="str">
        <f>IF(OR(LEN(M89)&lt;10,LEN(M89)&gt;34),"IBAN may be up to 34 characters long","")</f>
        <v>IBAN may be up to 34 characters long</v>
      </c>
      <c r="N90" s="103" t="str">
        <f>IF(ISBLANK(N89),"Code cannot be left blank","")</f>
        <v>Code cannot be left blank</v>
      </c>
      <c r="O90" s="103" t="str">
        <f>IF(OR(LEN(O89)&lt;1,LEN(O89)&gt;140),"Transaction Details must be between 1 and 140 characters long","")</f>
        <v>Transaction Details must be between 1 and 140 characters long</v>
      </c>
      <c r="Q90" s="96" t="s">
        <v>13</v>
      </c>
    </row>
    <row r="91" spans="1:17" s="109" customFormat="1">
      <c r="A91" s="108"/>
      <c r="B91" s="108"/>
      <c r="C91" s="108" t="s">
        <v>83</v>
      </c>
      <c r="D91" s="108"/>
      <c r="E91" s="108"/>
      <c r="F91" s="108"/>
      <c r="G91" s="108"/>
      <c r="H91" s="108"/>
      <c r="I91" s="108"/>
      <c r="J91" s="108"/>
      <c r="K91" s="108"/>
      <c r="L91" s="108"/>
      <c r="M91" s="108"/>
      <c r="N91" s="108"/>
      <c r="O91" s="108"/>
      <c r="Q91" s="110" t="s">
        <v>12</v>
      </c>
    </row>
    <row r="92" spans="1:17" s="105" customFormat="1" ht="36">
      <c r="A92" s="103" t="str">
        <f>IF(OR(LEN(A91)&lt;1,LEN(A91)&gt;35),"Transaction Identification must be between 1 and 35 characters long","")</f>
        <v>Transaction Identification must be between 1 and 35 characters long</v>
      </c>
      <c r="B92" s="103" t="str">
        <f>IF(OR(LEN(B91)&lt;1,LEN(B91)&gt;35),"Uniqie Identification must be between 1 and 35 characters long","")</f>
        <v>Uniqie Identification must be between 1 and 35 characters long</v>
      </c>
      <c r="C92" s="106"/>
      <c r="D92" s="103" t="str">
        <f>IF(OR(D91&lt;0.01,D91&gt;9999999999999990),"Transaction Amount is not valid","")</f>
        <v>Transaction Amount is not valid</v>
      </c>
      <c r="E92" s="103" t="str">
        <f>IF(AND(LEN(E91)&lt;&gt;8,LEN(E91)&lt;&gt;11),
    "BIC must be 8 or 11 characters long",
    IF(COUNTIF('Control Data (Hidden)'!$B$279:$B$335,E91)=0,
        "Warning: Is IBAN Valid?",
        ""
    )
)</f>
        <v>BIC must be 8 or 11 characters long</v>
      </c>
      <c r="F92" s="103" t="str">
        <f>IF(OR(LEN(F91)&lt;1,LEN(F91)&gt;70),"Creditor's Name must be between 1 and 70 characters long","")</f>
        <v>Creditor's Name must be between 1 and 70 characters long</v>
      </c>
      <c r="G92" s="103" t="str">
        <f>IF(LEN(G91)&gt;70,"Address cannot be longer than 70 characters","")</f>
        <v/>
      </c>
      <c r="H92" s="103" t="str">
        <f>IF(LEN(H91)&gt;16,"Building Number cannot be longer than 16 characters","")</f>
        <v/>
      </c>
      <c r="I92" s="103" t="str">
        <f>IF(LEN(I91)&gt;35,"Building Name cannot be longer than 35 characters","")</f>
        <v/>
      </c>
      <c r="J92" s="103" t="str">
        <f>IF(LEN(J91)&gt;16,"Postal Code cannot be longer than 16 characters","")</f>
        <v/>
      </c>
      <c r="K92" s="103" t="str">
        <f>IF(OR(LEN(K91)&lt;1,LEN(K91)&gt;35),"Town Name must be between 1 and 35 characters long","")</f>
        <v>Town Name must be between 1 and 35 characters long</v>
      </c>
      <c r="L92" s="103" t="str">
        <f>IF(NOT(LEN(L91)=2),"Country Code must be 2 characters long","")</f>
        <v>Country Code must be 2 characters long</v>
      </c>
      <c r="M92" s="103" t="str">
        <f>IF(OR(LEN(M91)&lt;10,LEN(M91)&gt;34),"IBAN may be up to 34 characters long","")</f>
        <v>IBAN may be up to 34 characters long</v>
      </c>
      <c r="N92" s="103" t="str">
        <f>IF(ISBLANK(N91),"Code cannot be left blank","")</f>
        <v>Code cannot be left blank</v>
      </c>
      <c r="O92" s="103" t="str">
        <f>IF(OR(LEN(O91)&lt;1,LEN(O91)&gt;140),"Transaction Details must be between 1 and 140 characters long","")</f>
        <v>Transaction Details must be between 1 and 140 characters long</v>
      </c>
      <c r="Q92" s="96" t="s">
        <v>13</v>
      </c>
    </row>
    <row r="93" spans="1:17" s="109" customFormat="1">
      <c r="A93" s="108"/>
      <c r="B93" s="108"/>
      <c r="C93" s="108" t="s">
        <v>83</v>
      </c>
      <c r="D93" s="108"/>
      <c r="E93" s="108"/>
      <c r="F93" s="108"/>
      <c r="G93" s="108"/>
      <c r="H93" s="108"/>
      <c r="I93" s="108"/>
      <c r="J93" s="108"/>
      <c r="K93" s="108"/>
      <c r="L93" s="108"/>
      <c r="M93" s="108"/>
      <c r="N93" s="108"/>
      <c r="O93" s="108"/>
      <c r="Q93" s="110" t="s">
        <v>12</v>
      </c>
    </row>
    <row r="94" spans="1:17" s="105" customFormat="1" ht="36">
      <c r="A94" s="103" t="str">
        <f>IF(OR(LEN(A93)&lt;1,LEN(A93)&gt;35),"Transaction Identification must be between 1 and 35 characters long","")</f>
        <v>Transaction Identification must be between 1 and 35 characters long</v>
      </c>
      <c r="B94" s="103" t="str">
        <f>IF(OR(LEN(B93)&lt;1,LEN(B93)&gt;35),"Uniqie Identification must be between 1 and 35 characters long","")</f>
        <v>Uniqie Identification must be between 1 and 35 characters long</v>
      </c>
      <c r="C94" s="106"/>
      <c r="D94" s="103" t="str">
        <f>IF(OR(D93&lt;0.01,D93&gt;9999999999999990),"Transaction Amount is not valid","")</f>
        <v>Transaction Amount is not valid</v>
      </c>
      <c r="E94" s="103" t="str">
        <f>IF(AND(LEN(E93)&lt;&gt;8,LEN(E93)&lt;&gt;11),
    "BIC must be 8 or 11 characters long",
    IF(COUNTIF('Control Data (Hidden)'!$B$279:$B$335,E93)=0,
        "Warning: Is IBAN Valid?",
        ""
    )
)</f>
        <v>BIC must be 8 or 11 characters long</v>
      </c>
      <c r="F94" s="103" t="str">
        <f>IF(OR(LEN(F93)&lt;1,LEN(F93)&gt;70),"Creditor's Name must be between 1 and 70 characters long","")</f>
        <v>Creditor's Name must be between 1 and 70 characters long</v>
      </c>
      <c r="G94" s="103" t="str">
        <f>IF(LEN(G93)&gt;70,"Address cannot be longer than 70 characters","")</f>
        <v/>
      </c>
      <c r="H94" s="103" t="str">
        <f>IF(LEN(H93)&gt;16,"Building Number cannot be longer than 16 characters","")</f>
        <v/>
      </c>
      <c r="I94" s="103" t="str">
        <f>IF(LEN(I93)&gt;35,"Building Name cannot be longer than 35 characters","")</f>
        <v/>
      </c>
      <c r="J94" s="103" t="str">
        <f>IF(LEN(J93)&gt;16,"Postal Code cannot be longer than 16 characters","")</f>
        <v/>
      </c>
      <c r="K94" s="103" t="str">
        <f>IF(OR(LEN(K93)&lt;1,LEN(K93)&gt;35),"Town Name must be between 1 and 35 characters long","")</f>
        <v>Town Name must be between 1 and 35 characters long</v>
      </c>
      <c r="L94" s="103" t="str">
        <f>IF(NOT(LEN(L93)=2),"Country Code must be 2 characters long","")</f>
        <v>Country Code must be 2 characters long</v>
      </c>
      <c r="M94" s="103" t="str">
        <f>IF(OR(LEN(M93)&lt;10,LEN(M93)&gt;34),"IBAN may be up to 34 characters long","")</f>
        <v>IBAN may be up to 34 characters long</v>
      </c>
      <c r="N94" s="103" t="str">
        <f>IF(ISBLANK(N93),"Code cannot be left blank","")</f>
        <v>Code cannot be left blank</v>
      </c>
      <c r="O94" s="103" t="str">
        <f>IF(OR(LEN(O93)&lt;1,LEN(O93)&gt;140),"Transaction Details must be between 1 and 140 characters long","")</f>
        <v>Transaction Details must be between 1 and 140 characters long</v>
      </c>
      <c r="Q94" s="96" t="s">
        <v>13</v>
      </c>
    </row>
    <row r="95" spans="1:17" s="109" customFormat="1">
      <c r="A95" s="108"/>
      <c r="B95" s="108"/>
      <c r="C95" s="108" t="s">
        <v>83</v>
      </c>
      <c r="D95" s="108"/>
      <c r="E95" s="108"/>
      <c r="F95" s="108"/>
      <c r="G95" s="108"/>
      <c r="H95" s="108"/>
      <c r="I95" s="108"/>
      <c r="J95" s="108"/>
      <c r="K95" s="108"/>
      <c r="L95" s="108"/>
      <c r="M95" s="108"/>
      <c r="N95" s="108"/>
      <c r="O95" s="108"/>
      <c r="Q95" s="110" t="s">
        <v>12</v>
      </c>
    </row>
    <row r="96" spans="1:17" s="105" customFormat="1" ht="36">
      <c r="A96" s="103" t="str">
        <f>IF(OR(LEN(A95)&lt;1,LEN(A95)&gt;35),"Transaction Identification must be between 1 and 35 characters long","")</f>
        <v>Transaction Identification must be between 1 and 35 characters long</v>
      </c>
      <c r="B96" s="103" t="str">
        <f>IF(OR(LEN(B95)&lt;1,LEN(B95)&gt;35),"Uniqie Identification must be between 1 and 35 characters long","")</f>
        <v>Uniqie Identification must be between 1 and 35 characters long</v>
      </c>
      <c r="C96" s="106"/>
      <c r="D96" s="103" t="str">
        <f>IF(OR(D95&lt;0.01,D95&gt;9999999999999990),"Transaction Amount is not valid","")</f>
        <v>Transaction Amount is not valid</v>
      </c>
      <c r="E96" s="103" t="str">
        <f>IF(AND(LEN(E95)&lt;&gt;8,LEN(E95)&lt;&gt;11),
    "BIC must be 8 or 11 characters long",
    IF(COUNTIF('Control Data (Hidden)'!$B$279:$B$335,E95)=0,
        "Warning: Is IBAN Valid?",
        ""
    )
)</f>
        <v>BIC must be 8 or 11 characters long</v>
      </c>
      <c r="F96" s="103" t="str">
        <f>IF(OR(LEN(F95)&lt;1,LEN(F95)&gt;70),"Creditor's Name must be between 1 and 70 characters long","")</f>
        <v>Creditor's Name must be between 1 and 70 characters long</v>
      </c>
      <c r="G96" s="103" t="str">
        <f>IF(LEN(G95)&gt;70,"Address cannot be longer than 70 characters","")</f>
        <v/>
      </c>
      <c r="H96" s="103" t="str">
        <f>IF(LEN(H95)&gt;16,"Building Number cannot be longer than 16 characters","")</f>
        <v/>
      </c>
      <c r="I96" s="103" t="str">
        <f>IF(LEN(I95)&gt;35,"Building Name cannot be longer than 35 characters","")</f>
        <v/>
      </c>
      <c r="J96" s="103" t="str">
        <f>IF(LEN(J95)&gt;16,"Postal Code cannot be longer than 16 characters","")</f>
        <v/>
      </c>
      <c r="K96" s="103" t="str">
        <f>IF(OR(LEN(K95)&lt;1,LEN(K95)&gt;35),"Town Name must be between 1 and 35 characters long","")</f>
        <v>Town Name must be between 1 and 35 characters long</v>
      </c>
      <c r="L96" s="103" t="str">
        <f>IF(NOT(LEN(L95)=2),"Country Code must be 2 characters long","")</f>
        <v>Country Code must be 2 characters long</v>
      </c>
      <c r="M96" s="103" t="str">
        <f>IF(OR(LEN(M95)&lt;10,LEN(M95)&gt;34),"IBAN may be up to 34 characters long","")</f>
        <v>IBAN may be up to 34 characters long</v>
      </c>
      <c r="N96" s="103" t="str">
        <f>IF(ISBLANK(N95),"Code cannot be left blank","")</f>
        <v>Code cannot be left blank</v>
      </c>
      <c r="O96" s="103" t="str">
        <f>IF(OR(LEN(O95)&lt;1,LEN(O95)&gt;140),"Transaction Details must be between 1 and 140 characters long","")</f>
        <v>Transaction Details must be between 1 and 140 characters long</v>
      </c>
      <c r="Q96" s="96" t="s">
        <v>13</v>
      </c>
    </row>
    <row r="97" spans="1:17" s="109" customFormat="1">
      <c r="A97" s="108"/>
      <c r="B97" s="108"/>
      <c r="C97" s="108" t="s">
        <v>83</v>
      </c>
      <c r="D97" s="108"/>
      <c r="E97" s="108"/>
      <c r="F97" s="108"/>
      <c r="G97" s="108"/>
      <c r="H97" s="108"/>
      <c r="I97" s="108"/>
      <c r="J97" s="108"/>
      <c r="K97" s="108"/>
      <c r="L97" s="108"/>
      <c r="M97" s="108"/>
      <c r="N97" s="108"/>
      <c r="O97" s="108"/>
      <c r="Q97" s="110" t="s">
        <v>12</v>
      </c>
    </row>
    <row r="98" spans="1:17" s="105" customFormat="1" ht="36">
      <c r="A98" s="103" t="str">
        <f>IF(OR(LEN(A97)&lt;1,LEN(A97)&gt;35),"Transaction Identification must be between 1 and 35 characters long","")</f>
        <v>Transaction Identification must be between 1 and 35 characters long</v>
      </c>
      <c r="B98" s="103" t="str">
        <f>IF(OR(LEN(B97)&lt;1,LEN(B97)&gt;35),"Uniqie Identification must be between 1 and 35 characters long","")</f>
        <v>Uniqie Identification must be between 1 and 35 characters long</v>
      </c>
      <c r="C98" s="106"/>
      <c r="D98" s="103" t="str">
        <f>IF(OR(D97&lt;0.01,D97&gt;9999999999999990),"Transaction Amount is not valid","")</f>
        <v>Transaction Amount is not valid</v>
      </c>
      <c r="E98" s="103" t="str">
        <f>IF(AND(LEN(E97)&lt;&gt;8,LEN(E97)&lt;&gt;11),
    "BIC must be 8 or 11 characters long",
    IF(COUNTIF('Control Data (Hidden)'!$B$279:$B$335,E97)=0,
        "Warning: Is IBAN Valid?",
        ""
    )
)</f>
        <v>BIC must be 8 or 11 characters long</v>
      </c>
      <c r="F98" s="103" t="str">
        <f>IF(OR(LEN(F97)&lt;1,LEN(F97)&gt;70),"Creditor's Name must be between 1 and 70 characters long","")</f>
        <v>Creditor's Name must be between 1 and 70 characters long</v>
      </c>
      <c r="G98" s="103" t="str">
        <f>IF(LEN(G97)&gt;70,"Address cannot be longer than 70 characters","")</f>
        <v/>
      </c>
      <c r="H98" s="103" t="str">
        <f>IF(LEN(H97)&gt;16,"Building Number cannot be longer than 16 characters","")</f>
        <v/>
      </c>
      <c r="I98" s="103" t="str">
        <f>IF(LEN(I97)&gt;35,"Building Name cannot be longer than 35 characters","")</f>
        <v/>
      </c>
      <c r="J98" s="103" t="str">
        <f>IF(LEN(J97)&gt;16,"Postal Code cannot be longer than 16 characters","")</f>
        <v/>
      </c>
      <c r="K98" s="103" t="str">
        <f>IF(OR(LEN(K97)&lt;1,LEN(K97)&gt;35),"Town Name must be between 1 and 35 characters long","")</f>
        <v>Town Name must be between 1 and 35 characters long</v>
      </c>
      <c r="L98" s="103" t="str">
        <f>IF(NOT(LEN(L97)=2),"Country Code must be 2 characters long","")</f>
        <v>Country Code must be 2 characters long</v>
      </c>
      <c r="M98" s="103" t="str">
        <f>IF(OR(LEN(M97)&lt;10,LEN(M97)&gt;34),"IBAN may be up to 34 characters long","")</f>
        <v>IBAN may be up to 34 characters long</v>
      </c>
      <c r="N98" s="103" t="str">
        <f>IF(ISBLANK(N97),"Code cannot be left blank","")</f>
        <v>Code cannot be left blank</v>
      </c>
      <c r="O98" s="103" t="str">
        <f>IF(OR(LEN(O97)&lt;1,LEN(O97)&gt;140),"Transaction Details must be between 1 and 140 characters long","")</f>
        <v>Transaction Details must be between 1 and 140 characters long</v>
      </c>
      <c r="Q98" s="96" t="s">
        <v>13</v>
      </c>
    </row>
    <row r="99" spans="1:17" s="109" customFormat="1">
      <c r="A99" s="108"/>
      <c r="B99" s="108"/>
      <c r="C99" s="108" t="s">
        <v>83</v>
      </c>
      <c r="D99" s="108"/>
      <c r="E99" s="108"/>
      <c r="F99" s="108"/>
      <c r="G99" s="108"/>
      <c r="H99" s="108"/>
      <c r="I99" s="108"/>
      <c r="J99" s="108"/>
      <c r="K99" s="108"/>
      <c r="L99" s="108"/>
      <c r="M99" s="108"/>
      <c r="N99" s="108"/>
      <c r="O99" s="108"/>
      <c r="Q99" s="110" t="s">
        <v>12</v>
      </c>
    </row>
    <row r="100" spans="1:17" s="105" customFormat="1" ht="36">
      <c r="A100" s="103" t="str">
        <f>IF(OR(LEN(A99)&lt;1,LEN(A99)&gt;35),"Transaction Identification must be between 1 and 35 characters long","")</f>
        <v>Transaction Identification must be between 1 and 35 characters long</v>
      </c>
      <c r="B100" s="103" t="str">
        <f>IF(OR(LEN(B99)&lt;1,LEN(B99)&gt;35),"Uniqie Identification must be between 1 and 35 characters long","")</f>
        <v>Uniqie Identification must be between 1 and 35 characters long</v>
      </c>
      <c r="C100" s="106"/>
      <c r="D100" s="103" t="str">
        <f>IF(OR(D99&lt;0.01,D99&gt;9999999999999990),"Transaction Amount is not valid","")</f>
        <v>Transaction Amount is not valid</v>
      </c>
      <c r="E100" s="103" t="str">
        <f>IF(AND(LEN(E99)&lt;&gt;8,LEN(E99)&lt;&gt;11),
    "BIC must be 8 or 11 characters long",
    IF(COUNTIF('Control Data (Hidden)'!$B$279:$B$335,E99)=0,
        "Warning: Is IBAN Valid?",
        ""
    )
)</f>
        <v>BIC must be 8 or 11 characters long</v>
      </c>
      <c r="F100" s="103" t="str">
        <f>IF(OR(LEN(F99)&lt;1,LEN(F99)&gt;70),"Creditor's Name must be between 1 and 70 characters long","")</f>
        <v>Creditor's Name must be between 1 and 70 characters long</v>
      </c>
      <c r="G100" s="103" t="str">
        <f>IF(LEN(G99)&gt;70,"Address cannot be longer than 70 characters","")</f>
        <v/>
      </c>
      <c r="H100" s="103" t="str">
        <f>IF(LEN(H99)&gt;16,"Building Number cannot be longer than 16 characters","")</f>
        <v/>
      </c>
      <c r="I100" s="103" t="str">
        <f>IF(LEN(I99)&gt;35,"Building Name cannot be longer than 35 characters","")</f>
        <v/>
      </c>
      <c r="J100" s="103" t="str">
        <f>IF(LEN(J99)&gt;16,"Postal Code cannot be longer than 16 characters","")</f>
        <v/>
      </c>
      <c r="K100" s="103" t="str">
        <f>IF(OR(LEN(K99)&lt;1,LEN(K99)&gt;35),"Town Name must be between 1 and 35 characters long","")</f>
        <v>Town Name must be between 1 and 35 characters long</v>
      </c>
      <c r="L100" s="103" t="str">
        <f>IF(NOT(LEN(L99)=2),"Country Code must be 2 characters long","")</f>
        <v>Country Code must be 2 characters long</v>
      </c>
      <c r="M100" s="103" t="str">
        <f>IF(OR(LEN(M99)&lt;10,LEN(M99)&gt;34),"IBAN may be up to 34 characters long","")</f>
        <v>IBAN may be up to 34 characters long</v>
      </c>
      <c r="N100" s="103" t="str">
        <f>IF(ISBLANK(N99),"Code cannot be left blank","")</f>
        <v>Code cannot be left blank</v>
      </c>
      <c r="O100" s="103" t="str">
        <f>IF(OR(LEN(O99)&lt;1,LEN(O99)&gt;140),"Transaction Details must be between 1 and 140 characters long","")</f>
        <v>Transaction Details must be between 1 and 140 characters long</v>
      </c>
      <c r="Q100" s="96" t="s">
        <v>13</v>
      </c>
    </row>
    <row r="101" spans="1:17" s="109" customFormat="1">
      <c r="A101" s="108"/>
      <c r="B101" s="108"/>
      <c r="C101" s="108" t="s">
        <v>83</v>
      </c>
      <c r="D101" s="108"/>
      <c r="E101" s="108"/>
      <c r="F101" s="108"/>
      <c r="G101" s="108"/>
      <c r="H101" s="108"/>
      <c r="I101" s="108"/>
      <c r="J101" s="108"/>
      <c r="K101" s="108"/>
      <c r="L101" s="108"/>
      <c r="M101" s="108"/>
      <c r="N101" s="108"/>
      <c r="O101" s="108"/>
      <c r="Q101" s="110" t="s">
        <v>12</v>
      </c>
    </row>
    <row r="102" spans="1:17" s="105" customFormat="1" ht="36">
      <c r="A102" s="103" t="str">
        <f>IF(OR(LEN(A101)&lt;1,LEN(A101)&gt;35),"Transaction Identification must be between 1 and 35 characters long","")</f>
        <v>Transaction Identification must be between 1 and 35 characters long</v>
      </c>
      <c r="B102" s="103" t="str">
        <f>IF(OR(LEN(B101)&lt;1,LEN(B101)&gt;35),"Uniqie Identification must be between 1 and 35 characters long","")</f>
        <v>Uniqie Identification must be between 1 and 35 characters long</v>
      </c>
      <c r="C102" s="106"/>
      <c r="D102" s="103" t="str">
        <f>IF(OR(D101&lt;0.01,D101&gt;9999999999999990),"Transaction Amount is not valid","")</f>
        <v>Transaction Amount is not valid</v>
      </c>
      <c r="E102" s="103" t="str">
        <f>IF(AND(LEN(E101)&lt;&gt;8,LEN(E101)&lt;&gt;11),
    "BIC must be 8 or 11 characters long",
    IF(COUNTIF('Control Data (Hidden)'!$B$279:$B$335,E101)=0,
        "Warning: Is IBAN Valid?",
        ""
    )
)</f>
        <v>BIC must be 8 or 11 characters long</v>
      </c>
      <c r="F102" s="103" t="str">
        <f>IF(OR(LEN(F101)&lt;1,LEN(F101)&gt;70),"Creditor's Name must be between 1 and 70 characters long","")</f>
        <v>Creditor's Name must be between 1 and 70 characters long</v>
      </c>
      <c r="G102" s="103" t="str">
        <f>IF(LEN(G101)&gt;70,"Address cannot be longer than 70 characters","")</f>
        <v/>
      </c>
      <c r="H102" s="103" t="str">
        <f>IF(LEN(H101)&gt;16,"Building Number cannot be longer than 16 characters","")</f>
        <v/>
      </c>
      <c r="I102" s="103" t="str">
        <f>IF(LEN(I101)&gt;35,"Building Name cannot be longer than 35 characters","")</f>
        <v/>
      </c>
      <c r="J102" s="103" t="str">
        <f>IF(LEN(J101)&gt;16,"Postal Code cannot be longer than 16 characters","")</f>
        <v/>
      </c>
      <c r="K102" s="103" t="str">
        <f>IF(OR(LEN(K101)&lt;1,LEN(K101)&gt;35),"Town Name must be between 1 and 35 characters long","")</f>
        <v>Town Name must be between 1 and 35 characters long</v>
      </c>
      <c r="L102" s="103" t="str">
        <f>IF(NOT(LEN(L101)=2),"Country Code must be 2 characters long","")</f>
        <v>Country Code must be 2 characters long</v>
      </c>
      <c r="M102" s="103" t="str">
        <f>IF(OR(LEN(M101)&lt;10,LEN(M101)&gt;34),"IBAN may be up to 34 characters long","")</f>
        <v>IBAN may be up to 34 characters long</v>
      </c>
      <c r="N102" s="103" t="str">
        <f>IF(ISBLANK(N101),"Code cannot be left blank","")</f>
        <v>Code cannot be left blank</v>
      </c>
      <c r="O102" s="103" t="str">
        <f>IF(OR(LEN(O101)&lt;1,LEN(O101)&gt;140),"Transaction Details must be between 1 and 140 characters long","")</f>
        <v>Transaction Details must be between 1 and 140 characters long</v>
      </c>
      <c r="Q102" s="96" t="s">
        <v>13</v>
      </c>
    </row>
    <row r="103" spans="1:17" s="109" customFormat="1">
      <c r="A103" s="108"/>
      <c r="B103" s="108"/>
      <c r="C103" s="108" t="s">
        <v>83</v>
      </c>
      <c r="D103" s="108"/>
      <c r="E103" s="108"/>
      <c r="F103" s="108"/>
      <c r="G103" s="108"/>
      <c r="H103" s="108"/>
      <c r="I103" s="108"/>
      <c r="J103" s="108"/>
      <c r="K103" s="108"/>
      <c r="L103" s="108"/>
      <c r="M103" s="108"/>
      <c r="N103" s="108"/>
      <c r="O103" s="108"/>
      <c r="Q103" s="110" t="s">
        <v>12</v>
      </c>
    </row>
    <row r="104" spans="1:17" s="105" customFormat="1" ht="36">
      <c r="A104" s="103" t="str">
        <f>IF(OR(LEN(A103)&lt;1,LEN(A103)&gt;35),"Transaction Identification must be between 1 and 35 characters long","")</f>
        <v>Transaction Identification must be between 1 and 35 characters long</v>
      </c>
      <c r="B104" s="103" t="str">
        <f>IF(OR(LEN(B103)&lt;1,LEN(B103)&gt;35),"Uniqie Identification must be between 1 and 35 characters long","")</f>
        <v>Uniqie Identification must be between 1 and 35 characters long</v>
      </c>
      <c r="C104" s="106"/>
      <c r="D104" s="103" t="str">
        <f>IF(OR(D103&lt;0.01,D103&gt;9999999999999990),"Transaction Amount is not valid","")</f>
        <v>Transaction Amount is not valid</v>
      </c>
      <c r="E104" s="103" t="str">
        <f>IF(AND(LEN(E103)&lt;&gt;8,LEN(E103)&lt;&gt;11),
    "BIC must be 8 or 11 characters long",
    IF(COUNTIF('Control Data (Hidden)'!$B$279:$B$335,E103)=0,
        "Warning: Is IBAN Valid?",
        ""
    )
)</f>
        <v>BIC must be 8 or 11 characters long</v>
      </c>
      <c r="F104" s="103" t="str">
        <f>IF(OR(LEN(F103)&lt;1,LEN(F103)&gt;70),"Creditor's Name must be between 1 and 70 characters long","")</f>
        <v>Creditor's Name must be between 1 and 70 characters long</v>
      </c>
      <c r="G104" s="103" t="str">
        <f>IF(LEN(G103)&gt;70,"Address cannot be longer than 70 characters","")</f>
        <v/>
      </c>
      <c r="H104" s="103" t="str">
        <f>IF(LEN(H103)&gt;16,"Building Number cannot be longer than 16 characters","")</f>
        <v/>
      </c>
      <c r="I104" s="103" t="str">
        <f>IF(LEN(I103)&gt;35,"Building Name cannot be longer than 35 characters","")</f>
        <v/>
      </c>
      <c r="J104" s="103" t="str">
        <f>IF(LEN(J103)&gt;16,"Postal Code cannot be longer than 16 characters","")</f>
        <v/>
      </c>
      <c r="K104" s="103" t="str">
        <f>IF(OR(LEN(K103)&lt;1,LEN(K103)&gt;35),"Town Name must be between 1 and 35 characters long","")</f>
        <v>Town Name must be between 1 and 35 characters long</v>
      </c>
      <c r="L104" s="103" t="str">
        <f>IF(NOT(LEN(L103)=2),"Country Code must be 2 characters long","")</f>
        <v>Country Code must be 2 characters long</v>
      </c>
      <c r="M104" s="103" t="str">
        <f>IF(OR(LEN(M103)&lt;10,LEN(M103)&gt;34),"IBAN may be up to 34 characters long","")</f>
        <v>IBAN may be up to 34 characters long</v>
      </c>
      <c r="N104" s="103" t="str">
        <f>IF(ISBLANK(N103),"Code cannot be left blank","")</f>
        <v>Code cannot be left blank</v>
      </c>
      <c r="O104" s="103" t="str">
        <f>IF(OR(LEN(O103)&lt;1,LEN(O103)&gt;140),"Transaction Details must be between 1 and 140 characters long","")</f>
        <v>Transaction Details must be between 1 and 140 characters long</v>
      </c>
      <c r="Q104" s="96" t="s">
        <v>13</v>
      </c>
    </row>
    <row r="105" spans="1:17" s="109" customFormat="1">
      <c r="A105" s="108"/>
      <c r="B105" s="108"/>
      <c r="C105" s="108" t="s">
        <v>83</v>
      </c>
      <c r="D105" s="108"/>
      <c r="E105" s="108"/>
      <c r="F105" s="108"/>
      <c r="G105" s="108"/>
      <c r="H105" s="108"/>
      <c r="I105" s="108"/>
      <c r="J105" s="108"/>
      <c r="K105" s="108"/>
      <c r="L105" s="108"/>
      <c r="M105" s="108"/>
      <c r="N105" s="108"/>
      <c r="O105" s="108"/>
      <c r="Q105" s="110" t="s">
        <v>12</v>
      </c>
    </row>
    <row r="106" spans="1:17" s="105" customFormat="1" ht="36">
      <c r="A106" s="103" t="str">
        <f>IF(OR(LEN(A105)&lt;1,LEN(A105)&gt;35),"Transaction Identification must be between 1 and 35 characters long","")</f>
        <v>Transaction Identification must be between 1 and 35 characters long</v>
      </c>
      <c r="B106" s="103" t="str">
        <f>IF(OR(LEN(B105)&lt;1,LEN(B105)&gt;35),"Uniqie Identification must be between 1 and 35 characters long","")</f>
        <v>Uniqie Identification must be between 1 and 35 characters long</v>
      </c>
      <c r="C106" s="106"/>
      <c r="D106" s="103" t="str">
        <f>IF(OR(D105&lt;0.01,D105&gt;9999999999999990),"Transaction Amount is not valid","")</f>
        <v>Transaction Amount is not valid</v>
      </c>
      <c r="E106" s="103" t="str">
        <f>IF(AND(LEN(E105)&lt;&gt;8,LEN(E105)&lt;&gt;11),
    "BIC must be 8 or 11 characters long",
    IF(COUNTIF('Control Data (Hidden)'!$B$279:$B$335,E105)=0,
        "Warning: Is IBAN Valid?",
        ""
    )
)</f>
        <v>BIC must be 8 or 11 characters long</v>
      </c>
      <c r="F106" s="103" t="str">
        <f>IF(OR(LEN(F105)&lt;1,LEN(F105)&gt;70),"Creditor's Name must be between 1 and 70 characters long","")</f>
        <v>Creditor's Name must be between 1 and 70 characters long</v>
      </c>
      <c r="G106" s="103" t="str">
        <f>IF(LEN(G105)&gt;70,"Address cannot be longer than 70 characters","")</f>
        <v/>
      </c>
      <c r="H106" s="103" t="str">
        <f>IF(LEN(H105)&gt;16,"Building Number cannot be longer than 16 characters","")</f>
        <v/>
      </c>
      <c r="I106" s="103" t="str">
        <f>IF(LEN(I105)&gt;35,"Building Name cannot be longer than 35 characters","")</f>
        <v/>
      </c>
      <c r="J106" s="103" t="str">
        <f>IF(LEN(J105)&gt;16,"Postal Code cannot be longer than 16 characters","")</f>
        <v/>
      </c>
      <c r="K106" s="103" t="str">
        <f>IF(OR(LEN(K105)&lt;1,LEN(K105)&gt;35),"Town Name must be between 1 and 35 characters long","")</f>
        <v>Town Name must be between 1 and 35 characters long</v>
      </c>
      <c r="L106" s="103" t="str">
        <f>IF(NOT(LEN(L105)=2),"Country Code must be 2 characters long","")</f>
        <v>Country Code must be 2 characters long</v>
      </c>
      <c r="M106" s="103" t="str">
        <f>IF(OR(LEN(M105)&lt;10,LEN(M105)&gt;34),"IBAN may be up to 34 characters long","")</f>
        <v>IBAN may be up to 34 characters long</v>
      </c>
      <c r="N106" s="103" t="str">
        <f>IF(ISBLANK(N105),"Code cannot be left blank","")</f>
        <v>Code cannot be left blank</v>
      </c>
      <c r="O106" s="103" t="str">
        <f>IF(OR(LEN(O105)&lt;1,LEN(O105)&gt;140),"Transaction Details must be between 1 and 140 characters long","")</f>
        <v>Transaction Details must be between 1 and 140 characters long</v>
      </c>
      <c r="Q106" s="96" t="s">
        <v>13</v>
      </c>
    </row>
    <row r="107" spans="1:17">
      <c r="L107" s="54"/>
    </row>
  </sheetData>
  <sheetProtection algorithmName="SHA-512" hashValue="UbwNs8hcFzXU8DsmX7IJAIQGEnqPN1UGP7lGpX9ERL2mGp0Au/joH7Fpo2xvvL6JLAlBdRBCiws9GdwEdGvCGQ==" saltValue="PaI5h/uyhWEoTo4nO96efg==" spinCount="100000" sheet="1" formatColumns="0" selectLockedCells="1"/>
  <dataValidations count="1">
    <dataValidation errorStyle="warning" allowBlank="1" showInputMessage="1" showErrorMessage="1" errorTitle="Code is not in list" sqref="E5" xr:uid="{9E5F9093-D4C2-43DE-90CC-DF0F2FD34E11}"/>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showInputMessage="1" showErrorMessage="1" errorTitle="CIR: Cd" error="Choose a code from the list" xr:uid="{00000000-0002-0000-0200-000000000000}">
          <x14:formula1>
            <xm:f>'Control Data (Hidden)'!$D$11:$J$11</xm:f>
          </x14:formula1>
          <xm:sqref>N5 N7 N9 N11 N13 N15 N17 N19 N21 N23 N25 N27 N29 N31 N33 N35 N37 N39 N41 N43 N45 N47 N49 N51 N53 N55 N57 N59 N61 N63 N65 N67 N69 N71 N73 N75 N77 N79 N81 N83 N85 N87 N89 N91 N93 N95 N97 N99 N101 N103 N105</xm:sqref>
        </x14:dataValidation>
        <x14:dataValidation type="list" allowBlank="1" showInputMessage="1" showErrorMessage="1" xr:uid="{93A43788-A06D-4932-A72F-FDEFB4FDB15A}">
          <x14:formula1>
            <xm:f>'Control Data (Hidden)'!$B$23:$B$271</xm:f>
          </x14:formula1>
          <xm:sqref>L5 L7 L9 L11 L13 L15 L17 L19 L21 L23 L25 L27 L29 L31 L33 L35 L37 L39 L41 L43 L45 L47 L49 L51 L53 L55 L57 L59 L61 L63 L65 L67 L69 L71 L73 L75 L77 L79 L81 L83 L85 L87 L89 L91 L93 L95 L97 L99 L101 L103 L105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52"/>
  <sheetViews>
    <sheetView workbookViewId="0">
      <selection activeCell="A7" sqref="A7"/>
    </sheetView>
  </sheetViews>
  <sheetFormatPr defaultRowHeight="15"/>
  <cols>
    <col min="1" max="1" width="13.140625" bestFit="1" customWidth="1"/>
    <col min="2" max="2" width="15.85546875" bestFit="1" customWidth="1"/>
    <col min="3" max="3" width="2.85546875" customWidth="1"/>
    <col min="15" max="15" width="12" bestFit="1" customWidth="1"/>
    <col min="17" max="17" width="2.28515625" customWidth="1"/>
  </cols>
  <sheetData>
    <row r="1" spans="1:24" ht="15.75" thickBot="1">
      <c r="A1" s="69" t="s">
        <v>87</v>
      </c>
      <c r="B1" s="18" t="s">
        <v>94</v>
      </c>
      <c r="D1" s="47" t="s">
        <v>102</v>
      </c>
      <c r="E1" s="48" t="str">
        <f>'Credit Instruction Record'!A1</f>
        <v>InstrId</v>
      </c>
      <c r="F1" s="48" t="str">
        <f>'Credit Instruction Record'!B1</f>
        <v>EndToEndId</v>
      </c>
      <c r="G1" s="48" t="str">
        <f>'Credit Instruction Record'!C1</f>
        <v>Ccy</v>
      </c>
      <c r="H1" s="48" t="str">
        <f>'Credit Instruction Record'!D1</f>
        <v>InstdAmt</v>
      </c>
      <c r="I1" s="48" t="str">
        <f>'Credit Instruction Record'!E1</f>
        <v>BIC</v>
      </c>
      <c r="J1" s="48" t="str">
        <f>'Credit Instruction Record'!F1</f>
        <v>Nm</v>
      </c>
      <c r="K1" s="48" t="str">
        <f>'Credit Instruction Record'!G1</f>
        <v>PstlAdr:StrtNm</v>
      </c>
      <c r="L1" s="48" t="str">
        <f>'Credit Instruction Record'!H1</f>
        <v>PstlAdr:BldgNb</v>
      </c>
      <c r="M1" s="48" t="str">
        <f>'Credit Instruction Record'!M1</f>
        <v>IBAN</v>
      </c>
      <c r="N1" s="48" t="str">
        <f>'Credit Instruction Record'!N1</f>
        <v>Cd</v>
      </c>
      <c r="O1" s="48" t="str">
        <f>'Credit Instruction Record'!O1</f>
        <v>Ustrd</v>
      </c>
      <c r="P1" s="49" t="s">
        <v>114</v>
      </c>
    </row>
    <row r="2" spans="1:24">
      <c r="A2" s="70" t="str">
        <f>'Control Data (Hidden)'!C1</f>
        <v>2.00.00</v>
      </c>
      <c r="B2" t="str">
        <f ca="1">CONCATENATE("BOV_",TEXT(NOW(),"YYYY-MM-DD-HHmmSS"),"000_",'Header Record'!F5)</f>
        <v>BOV_2025-05-24-100749000_XXX000</v>
      </c>
      <c r="D2" s="39">
        <v>1</v>
      </c>
      <c r="E2" t="str">
        <f>IF(ISBLANK('Credit Instruction Record'!A5),"",'Credit Instruction Record'!A5)</f>
        <v/>
      </c>
      <c r="F2" t="str">
        <f>IF(ISBLANK('Credit Instruction Record'!B5),"",'Credit Instruction Record'!B5)</f>
        <v/>
      </c>
      <c r="G2" t="str">
        <f>IF(ISBLANK('Credit Instruction Record'!C5),"",'Credit Instruction Record'!C5)</f>
        <v>EUR</v>
      </c>
      <c r="H2" s="60" t="str">
        <f>IF(ISBLANK('Credit Instruction Record'!D5),"",'Credit Instruction Record'!D5)</f>
        <v/>
      </c>
      <c r="I2" t="str">
        <f>IF(ISBLANK('Credit Instruction Record'!E5),"",'Credit Instruction Record'!E5)</f>
        <v/>
      </c>
      <c r="J2" t="str">
        <f>IF(ISBLANK('Credit Instruction Record'!F5),"",'Credit Instruction Record'!F5)</f>
        <v/>
      </c>
      <c r="K2" t="str">
        <f>IF(ISBLANK('Credit Instruction Record'!G5),"",'Credit Instruction Record'!G5)</f>
        <v/>
      </c>
      <c r="L2" t="str">
        <f>IF(ISBLANK('Credit Instruction Record'!H5),"",'Credit Instruction Record'!H5)</f>
        <v/>
      </c>
      <c r="M2" t="str">
        <f>IF(ISBLANK('Credit Instruction Record'!M5),"",'Credit Instruction Record'!M5)</f>
        <v/>
      </c>
      <c r="N2" t="str">
        <f>IF(ISBLANK('Credit Instruction Record'!N5),"",'Credit Instruction Record'!N5)</f>
        <v/>
      </c>
      <c r="O2" t="str">
        <f>IF(ISBLANK('Credit Instruction Record'!O5),"",'Credit Instruction Record'!O5)</f>
        <v/>
      </c>
      <c r="P2" s="67" t="b">
        <f>M2=""</f>
        <v>1</v>
      </c>
      <c r="R2" s="111" t="s">
        <v>115</v>
      </c>
      <c r="S2" s="112"/>
      <c r="T2" s="112"/>
      <c r="U2" s="112"/>
      <c r="V2" s="112"/>
      <c r="W2" s="112"/>
      <c r="X2" s="113"/>
    </row>
    <row r="3" spans="1:24">
      <c r="A3" s="63" t="str">
        <f>IF(ISBLANK(A2),"Cannot be left Blank","")</f>
        <v/>
      </c>
      <c r="B3" s="17"/>
      <c r="D3" s="39">
        <v>2</v>
      </c>
      <c r="E3" t="str">
        <f>IF(ISBLANK('Credit Instruction Record'!A7),"",'Credit Instruction Record'!A7)</f>
        <v/>
      </c>
      <c r="F3" t="str">
        <f>IF(ISBLANK('Credit Instruction Record'!B7),"",'Credit Instruction Record'!B7)</f>
        <v/>
      </c>
      <c r="G3" t="str">
        <f>IF(ISBLANK('Credit Instruction Record'!C7),"",'Credit Instruction Record'!C7)</f>
        <v>EUR</v>
      </c>
      <c r="H3" s="60" t="str">
        <f>IF(ISBLANK('Credit Instruction Record'!D7),"",'Credit Instruction Record'!D7)</f>
        <v/>
      </c>
      <c r="I3" t="str">
        <f>IF(ISBLANK('Credit Instruction Record'!E7),"",'Credit Instruction Record'!E7)</f>
        <v/>
      </c>
      <c r="J3" t="str">
        <f>IF(ISBLANK('Credit Instruction Record'!F7),"",'Credit Instruction Record'!F7)</f>
        <v/>
      </c>
      <c r="K3" t="str">
        <f>IF(ISBLANK('Credit Instruction Record'!G7),"",'Credit Instruction Record'!G7)</f>
        <v/>
      </c>
      <c r="L3" t="str">
        <f>IF(ISBLANK('Credit Instruction Record'!H7),"",'Credit Instruction Record'!H7)</f>
        <v/>
      </c>
      <c r="M3" t="str">
        <f>IF(ISBLANK('Credit Instruction Record'!M7),"",'Credit Instruction Record'!M7)</f>
        <v/>
      </c>
      <c r="N3" t="str">
        <f>IF(ISBLANK('Credit Instruction Record'!N7),"",'Credit Instruction Record'!N7)</f>
        <v/>
      </c>
      <c r="O3" t="str">
        <f>IF(ISBLANK('Credit Instruction Record'!O7),"",'Credit Instruction Record'!O7)</f>
        <v/>
      </c>
      <c r="P3" s="67" t="b">
        <f t="shared" ref="P3:P33" si="0">M3=""</f>
        <v>1</v>
      </c>
      <c r="R3" s="114"/>
      <c r="S3" s="115"/>
      <c r="T3" s="115"/>
      <c r="U3" s="115"/>
      <c r="V3" s="115"/>
      <c r="W3" s="115"/>
      <c r="X3" s="116"/>
    </row>
    <row r="4" spans="1:24" ht="30">
      <c r="A4" s="18" t="s">
        <v>93</v>
      </c>
      <c r="B4" s="18" t="s">
        <v>113</v>
      </c>
      <c r="D4" s="39">
        <v>3</v>
      </c>
      <c r="E4" t="str">
        <f>IF(ISBLANK('Credit Instruction Record'!A9),"",'Credit Instruction Record'!A9)</f>
        <v/>
      </c>
      <c r="F4" t="str">
        <f>IF(ISBLANK('Credit Instruction Record'!B9),"",'Credit Instruction Record'!B9)</f>
        <v/>
      </c>
      <c r="G4" t="str">
        <f>IF(ISBLANK('Credit Instruction Record'!C9),"",'Credit Instruction Record'!C9)</f>
        <v>EUR</v>
      </c>
      <c r="H4" s="60" t="str">
        <f>IF(ISBLANK('Credit Instruction Record'!D9),"",'Credit Instruction Record'!D9)</f>
        <v/>
      </c>
      <c r="I4" t="str">
        <f>IF(ISBLANK('Credit Instruction Record'!E9),"",'Credit Instruction Record'!E9)</f>
        <v/>
      </c>
      <c r="J4" t="str">
        <f>IF(ISBLANK('Credit Instruction Record'!F9),"",'Credit Instruction Record'!F9)</f>
        <v/>
      </c>
      <c r="K4" t="str">
        <f>IF(ISBLANK('Credit Instruction Record'!G9),"",'Credit Instruction Record'!G9)</f>
        <v/>
      </c>
      <c r="L4" t="str">
        <f>IF(ISBLANK('Credit Instruction Record'!H9),"",'Credit Instruction Record'!H9)</f>
        <v/>
      </c>
      <c r="M4" t="str">
        <f>IF(ISBLANK('Credit Instruction Record'!M9),"",'Credit Instruction Record'!M9)</f>
        <v/>
      </c>
      <c r="N4" t="str">
        <f>IF(ISBLANK('Credit Instruction Record'!N9),"",'Credit Instruction Record'!N9)</f>
        <v/>
      </c>
      <c r="O4" t="str">
        <f>IF(ISBLANK('Credit Instruction Record'!O9),"",'Credit Instruction Record'!O9)</f>
        <v/>
      </c>
      <c r="P4" s="67" t="b">
        <f t="shared" si="0"/>
        <v>1</v>
      </c>
      <c r="R4" s="114"/>
      <c r="S4" s="115"/>
      <c r="T4" s="115"/>
      <c r="U4" s="115"/>
      <c r="V4" s="115"/>
      <c r="W4" s="115"/>
      <c r="X4" s="116"/>
    </row>
    <row r="5" spans="1:24">
      <c r="A5" s="64">
        <f>'Header Record'!C5</f>
        <v>0</v>
      </c>
      <c r="B5" s="60">
        <f>'Header Record'!D5</f>
        <v>0</v>
      </c>
      <c r="D5" s="39">
        <v>4</v>
      </c>
      <c r="E5" t="str">
        <f>IF(ISBLANK('Credit Instruction Record'!A11),"",'Credit Instruction Record'!A11)</f>
        <v/>
      </c>
      <c r="F5" t="str">
        <f>IF(ISBLANK('Credit Instruction Record'!B11),"",'Credit Instruction Record'!B11)</f>
        <v/>
      </c>
      <c r="G5" t="str">
        <f>IF(ISBLANK('Credit Instruction Record'!C11),"",'Credit Instruction Record'!C11)</f>
        <v>EUR</v>
      </c>
      <c r="H5" s="60" t="str">
        <f>IF(ISBLANK('Credit Instruction Record'!D11),"",'Credit Instruction Record'!D11)</f>
        <v/>
      </c>
      <c r="I5" t="str">
        <f>IF(ISBLANK('Credit Instruction Record'!E11),"",'Credit Instruction Record'!E11)</f>
        <v/>
      </c>
      <c r="J5" t="str">
        <f>IF(ISBLANK('Credit Instruction Record'!F11),"",'Credit Instruction Record'!F11)</f>
        <v/>
      </c>
      <c r="K5" t="str">
        <f>IF(ISBLANK('Credit Instruction Record'!G11),"",'Credit Instruction Record'!G11)</f>
        <v/>
      </c>
      <c r="L5" t="str">
        <f>IF(ISBLANK('Credit Instruction Record'!H11),"",'Credit Instruction Record'!H11)</f>
        <v/>
      </c>
      <c r="M5" t="str">
        <f>IF(ISBLANK('Credit Instruction Record'!M11),"",'Credit Instruction Record'!M11)</f>
        <v/>
      </c>
      <c r="N5" t="str">
        <f>IF(ISBLANK('Credit Instruction Record'!N11),"",'Credit Instruction Record'!N11)</f>
        <v/>
      </c>
      <c r="O5" t="str">
        <f>IF(ISBLANK('Credit Instruction Record'!O11),"",'Credit Instruction Record'!O11)</f>
        <v/>
      </c>
      <c r="P5" s="67" t="b">
        <f t="shared" si="0"/>
        <v>1</v>
      </c>
      <c r="R5" s="114"/>
      <c r="S5" s="115"/>
      <c r="T5" s="115"/>
      <c r="U5" s="115"/>
      <c r="V5" s="115"/>
      <c r="W5" s="115"/>
      <c r="X5" s="116"/>
    </row>
    <row r="6" spans="1:24">
      <c r="D6" s="39">
        <v>5</v>
      </c>
      <c r="E6" t="str">
        <f>IF(ISBLANK('Credit Instruction Record'!A13),"",'Credit Instruction Record'!A13)</f>
        <v/>
      </c>
      <c r="F6" t="str">
        <f>IF(ISBLANK('Credit Instruction Record'!B13),"",'Credit Instruction Record'!B13)</f>
        <v/>
      </c>
      <c r="G6" t="str">
        <f>IF(ISBLANK('Credit Instruction Record'!C13),"",'Credit Instruction Record'!C13)</f>
        <v>EUR</v>
      </c>
      <c r="H6" s="60" t="str">
        <f>IF(ISBLANK('Credit Instruction Record'!D13),"",'Credit Instruction Record'!D13)</f>
        <v/>
      </c>
      <c r="I6" t="str">
        <f>IF(ISBLANK('Credit Instruction Record'!E13),"",'Credit Instruction Record'!E13)</f>
        <v/>
      </c>
      <c r="J6" t="str">
        <f>IF(ISBLANK('Credit Instruction Record'!F13),"",'Credit Instruction Record'!F13)</f>
        <v/>
      </c>
      <c r="K6" t="str">
        <f>IF(ISBLANK('Credit Instruction Record'!G13),"",'Credit Instruction Record'!G13)</f>
        <v/>
      </c>
      <c r="L6" t="str">
        <f>IF(ISBLANK('Credit Instruction Record'!H13),"",'Credit Instruction Record'!H13)</f>
        <v/>
      </c>
      <c r="M6" t="str">
        <f>IF(ISBLANK('Credit Instruction Record'!M13),"",'Credit Instruction Record'!M13)</f>
        <v/>
      </c>
      <c r="N6" t="str">
        <f>IF(ISBLANK('Credit Instruction Record'!N13),"",'Credit Instruction Record'!N13)</f>
        <v/>
      </c>
      <c r="O6" t="str">
        <f>IF(ISBLANK('Credit Instruction Record'!O13),"",'Credit Instruction Record'!O13)</f>
        <v/>
      </c>
      <c r="P6" s="67" t="b">
        <f t="shared" si="0"/>
        <v>1</v>
      </c>
      <c r="R6" s="114"/>
      <c r="S6" s="115"/>
      <c r="T6" s="115"/>
      <c r="U6" s="115"/>
      <c r="V6" s="115"/>
      <c r="W6" s="115"/>
      <c r="X6" s="116"/>
    </row>
    <row r="7" spans="1:24">
      <c r="A7" s="54"/>
      <c r="D7" s="39">
        <v>6</v>
      </c>
      <c r="E7" t="str">
        <f>IF(ISBLANK('Credit Instruction Record'!A15),"",'Credit Instruction Record'!A15)</f>
        <v/>
      </c>
      <c r="F7" t="str">
        <f>IF(ISBLANK('Credit Instruction Record'!B15),"",'Credit Instruction Record'!B15)</f>
        <v/>
      </c>
      <c r="G7" t="str">
        <f>IF(ISBLANK('Credit Instruction Record'!C15),"",'Credit Instruction Record'!C15)</f>
        <v>EUR</v>
      </c>
      <c r="H7" s="60" t="str">
        <f>IF(ISBLANK('Credit Instruction Record'!D15),"",'Credit Instruction Record'!D15)</f>
        <v/>
      </c>
      <c r="I7" t="str">
        <f>IF(ISBLANK('Credit Instruction Record'!E15),"",'Credit Instruction Record'!E15)</f>
        <v/>
      </c>
      <c r="J7" t="str">
        <f>IF(ISBLANK('Credit Instruction Record'!F15),"",'Credit Instruction Record'!F15)</f>
        <v/>
      </c>
      <c r="K7" t="str">
        <f>IF(ISBLANK('Credit Instruction Record'!G15),"",'Credit Instruction Record'!G15)</f>
        <v/>
      </c>
      <c r="L7" t="str">
        <f>IF(ISBLANK('Credit Instruction Record'!H15),"",'Credit Instruction Record'!H15)</f>
        <v/>
      </c>
      <c r="M7" t="str">
        <f>IF(ISBLANK('Credit Instruction Record'!M15),"",'Credit Instruction Record'!M15)</f>
        <v/>
      </c>
      <c r="N7" t="str">
        <f>IF(ISBLANK('Credit Instruction Record'!N15),"",'Credit Instruction Record'!N15)</f>
        <v/>
      </c>
      <c r="O7" t="str">
        <f>IF(ISBLANK('Credit Instruction Record'!O15),"",'Credit Instruction Record'!O15)</f>
        <v/>
      </c>
      <c r="P7" s="67" t="b">
        <f t="shared" si="0"/>
        <v>1</v>
      </c>
      <c r="R7" s="114"/>
      <c r="S7" s="115"/>
      <c r="T7" s="115"/>
      <c r="U7" s="115"/>
      <c r="V7" s="115"/>
      <c r="W7" s="115"/>
      <c r="X7" s="116"/>
    </row>
    <row r="8" spans="1:24">
      <c r="A8" s="150" t="s">
        <v>114</v>
      </c>
      <c r="B8" s="151" t="s">
        <v>130</v>
      </c>
      <c r="D8" s="39">
        <v>7</v>
      </c>
      <c r="E8" t="str">
        <f>IF(ISBLANK('Credit Instruction Record'!A17),"",'Credit Instruction Record'!A17)</f>
        <v/>
      </c>
      <c r="F8" t="str">
        <f>IF(ISBLANK('Credit Instruction Record'!B17),"",'Credit Instruction Record'!B17)</f>
        <v/>
      </c>
      <c r="G8" t="str">
        <f>IF(ISBLANK('Credit Instruction Record'!C17),"",'Credit Instruction Record'!C17)</f>
        <v>EUR</v>
      </c>
      <c r="H8" s="60" t="str">
        <f>IF(ISBLANK('Credit Instruction Record'!D17),"",'Credit Instruction Record'!D17)</f>
        <v/>
      </c>
      <c r="I8" t="str">
        <f>IF(ISBLANK('Credit Instruction Record'!E17),"",'Credit Instruction Record'!E17)</f>
        <v/>
      </c>
      <c r="J8" t="str">
        <f>IF(ISBLANK('Credit Instruction Record'!F17),"",'Credit Instruction Record'!F17)</f>
        <v/>
      </c>
      <c r="K8" t="str">
        <f>IF(ISBLANK('Credit Instruction Record'!G17),"",'Credit Instruction Record'!G17)</f>
        <v/>
      </c>
      <c r="L8" t="str">
        <f>IF(ISBLANK('Credit Instruction Record'!H17),"",'Credit Instruction Record'!H17)</f>
        <v/>
      </c>
      <c r="M8" t="str">
        <f>IF(ISBLANK('Credit Instruction Record'!M17),"",'Credit Instruction Record'!M17)</f>
        <v/>
      </c>
      <c r="N8" t="str">
        <f>IF(ISBLANK('Credit Instruction Record'!N17),"",'Credit Instruction Record'!N17)</f>
        <v/>
      </c>
      <c r="O8" t="str">
        <f>IF(ISBLANK('Credit Instruction Record'!O17),"",'Credit Instruction Record'!O17)</f>
        <v/>
      </c>
      <c r="P8" s="67" t="b">
        <f t="shared" si="0"/>
        <v>1</v>
      </c>
      <c r="R8" s="114"/>
      <c r="S8" s="115"/>
      <c r="T8" s="115"/>
      <c r="U8" s="115"/>
      <c r="V8" s="115"/>
      <c r="W8" s="115"/>
      <c r="X8" s="116"/>
    </row>
    <row r="9" spans="1:24">
      <c r="D9" s="39">
        <v>8</v>
      </c>
      <c r="E9" t="str">
        <f>IF(ISBLANK('Credit Instruction Record'!A19),"",'Credit Instruction Record'!A19)</f>
        <v/>
      </c>
      <c r="F9" t="str">
        <f>IF(ISBLANK('Credit Instruction Record'!B19),"",'Credit Instruction Record'!B19)</f>
        <v/>
      </c>
      <c r="G9" t="str">
        <f>IF(ISBLANK('Credit Instruction Record'!C19),"",'Credit Instruction Record'!C19)</f>
        <v>EUR</v>
      </c>
      <c r="H9" s="60" t="str">
        <f>IF(ISBLANK('Credit Instruction Record'!D19),"",'Credit Instruction Record'!D19)</f>
        <v/>
      </c>
      <c r="I9" t="str">
        <f>IF(ISBLANK('Credit Instruction Record'!E19),"",'Credit Instruction Record'!E19)</f>
        <v/>
      </c>
      <c r="J9" t="str">
        <f>IF(ISBLANK('Credit Instruction Record'!F19),"",'Credit Instruction Record'!F19)</f>
        <v/>
      </c>
      <c r="K9" t="str">
        <f>IF(ISBLANK('Credit Instruction Record'!G19),"",'Credit Instruction Record'!G19)</f>
        <v/>
      </c>
      <c r="L9" t="str">
        <f>IF(ISBLANK('Credit Instruction Record'!H19),"",'Credit Instruction Record'!H19)</f>
        <v/>
      </c>
      <c r="M9" t="str">
        <f>IF(ISBLANK('Credit Instruction Record'!M19),"",'Credit Instruction Record'!M19)</f>
        <v/>
      </c>
      <c r="N9" t="str">
        <f>IF(ISBLANK('Credit Instruction Record'!N19),"",'Credit Instruction Record'!N19)</f>
        <v/>
      </c>
      <c r="O9" t="str">
        <f>IF(ISBLANK('Credit Instruction Record'!O19),"",'Credit Instruction Record'!O19)</f>
        <v/>
      </c>
      <c r="P9" s="67" t="b">
        <f t="shared" si="0"/>
        <v>1</v>
      </c>
      <c r="R9" s="114"/>
      <c r="S9" s="115"/>
      <c r="T9" s="115"/>
      <c r="U9" s="115"/>
      <c r="V9" s="115"/>
      <c r="W9" s="115"/>
      <c r="X9" s="116"/>
    </row>
    <row r="10" spans="1:24">
      <c r="A10" s="150" t="s">
        <v>103</v>
      </c>
      <c r="B10" s="151" t="s">
        <v>105</v>
      </c>
      <c r="D10" s="39">
        <v>9</v>
      </c>
      <c r="E10" t="str">
        <f>IF(ISBLANK('Credit Instruction Record'!A21),"",'Credit Instruction Record'!A21)</f>
        <v/>
      </c>
      <c r="F10" t="str">
        <f>IF(ISBLANK('Credit Instruction Record'!B21),"",'Credit Instruction Record'!B21)</f>
        <v/>
      </c>
      <c r="G10" t="str">
        <f>IF(ISBLANK('Credit Instruction Record'!C21),"",'Credit Instruction Record'!C21)</f>
        <v>EUR</v>
      </c>
      <c r="H10" s="60" t="str">
        <f>IF(ISBLANK('Credit Instruction Record'!D21),"",'Credit Instruction Record'!D21)</f>
        <v/>
      </c>
      <c r="I10" t="str">
        <f>IF(ISBLANK('Credit Instruction Record'!E21),"",'Credit Instruction Record'!E21)</f>
        <v/>
      </c>
      <c r="J10" t="str">
        <f>IF(ISBLANK('Credit Instruction Record'!F21),"",'Credit Instruction Record'!F21)</f>
        <v/>
      </c>
      <c r="K10" t="str">
        <f>IF(ISBLANK('Credit Instruction Record'!G21),"",'Credit Instruction Record'!G21)</f>
        <v/>
      </c>
      <c r="L10" t="str">
        <f>IF(ISBLANK('Credit Instruction Record'!H21),"",'Credit Instruction Record'!H21)</f>
        <v/>
      </c>
      <c r="M10" t="str">
        <f>IF(ISBLANK('Credit Instruction Record'!M21),"",'Credit Instruction Record'!M21)</f>
        <v/>
      </c>
      <c r="N10" t="str">
        <f>IF(ISBLANK('Credit Instruction Record'!N21),"",'Credit Instruction Record'!N21)</f>
        <v/>
      </c>
      <c r="O10" t="str">
        <f>IF(ISBLANK('Credit Instruction Record'!O21),"",'Credit Instruction Record'!O21)</f>
        <v/>
      </c>
      <c r="P10" s="67" t="b">
        <f t="shared" si="0"/>
        <v>1</v>
      </c>
      <c r="R10" s="114"/>
      <c r="S10" s="115"/>
      <c r="T10" s="115"/>
      <c r="U10" s="115"/>
      <c r="V10" s="115"/>
      <c r="W10" s="115"/>
      <c r="X10" s="116"/>
    </row>
    <row r="11" spans="1:24">
      <c r="A11" s="152"/>
      <c r="B11" s="153"/>
      <c r="D11" s="39">
        <v>10</v>
      </c>
      <c r="E11" t="str">
        <f>IF(ISBLANK('Credit Instruction Record'!A23),"",'Credit Instruction Record'!A23)</f>
        <v/>
      </c>
      <c r="F11" t="str">
        <f>IF(ISBLANK('Credit Instruction Record'!B23),"",'Credit Instruction Record'!B23)</f>
        <v/>
      </c>
      <c r="G11" t="str">
        <f>IF(ISBLANK('Credit Instruction Record'!C23),"",'Credit Instruction Record'!C23)</f>
        <v>EUR</v>
      </c>
      <c r="H11" s="60" t="str">
        <f>IF(ISBLANK('Credit Instruction Record'!D23),"",'Credit Instruction Record'!D23)</f>
        <v/>
      </c>
      <c r="I11" t="str">
        <f>IF(ISBLANK('Credit Instruction Record'!E23),"",'Credit Instruction Record'!E23)</f>
        <v/>
      </c>
      <c r="J11" t="str">
        <f>IF(ISBLANK('Credit Instruction Record'!F23),"",'Credit Instruction Record'!F23)</f>
        <v/>
      </c>
      <c r="K11" t="str">
        <f>IF(ISBLANK('Credit Instruction Record'!G23),"",'Credit Instruction Record'!G23)</f>
        <v/>
      </c>
      <c r="L11" t="str">
        <f>IF(ISBLANK('Credit Instruction Record'!H23),"",'Credit Instruction Record'!H23)</f>
        <v/>
      </c>
      <c r="M11" t="str">
        <f>IF(ISBLANK('Credit Instruction Record'!M23),"",'Credit Instruction Record'!M23)</f>
        <v/>
      </c>
      <c r="N11" t="str">
        <f>IF(ISBLANK('Credit Instruction Record'!N23),"",'Credit Instruction Record'!N23)</f>
        <v/>
      </c>
      <c r="O11" t="str">
        <f>IF(ISBLANK('Credit Instruction Record'!O23),"",'Credit Instruction Record'!O23)</f>
        <v/>
      </c>
      <c r="P11" s="67" t="b">
        <f t="shared" si="0"/>
        <v>1</v>
      </c>
      <c r="R11" s="114"/>
      <c r="S11" s="115"/>
      <c r="T11" s="115"/>
      <c r="U11" s="115"/>
      <c r="V11" s="115"/>
      <c r="W11" s="115"/>
      <c r="X11" s="116"/>
    </row>
    <row r="12" spans="1:24">
      <c r="A12" s="154"/>
      <c r="B12" s="153">
        <v>0</v>
      </c>
      <c r="D12" s="39">
        <v>11</v>
      </c>
      <c r="E12" t="str">
        <f>IF(ISBLANK('Credit Instruction Record'!A25),"",'Credit Instruction Record'!A25)</f>
        <v/>
      </c>
      <c r="F12" t="str">
        <f>IF(ISBLANK('Credit Instruction Record'!B25),"",'Credit Instruction Record'!B25)</f>
        <v/>
      </c>
      <c r="G12" t="str">
        <f>IF(ISBLANK('Credit Instruction Record'!C25),"",'Credit Instruction Record'!C25)</f>
        <v>EUR</v>
      </c>
      <c r="H12" s="60" t="str">
        <f>IF(ISBLANK('Credit Instruction Record'!D25),"",'Credit Instruction Record'!D25)</f>
        <v/>
      </c>
      <c r="I12" t="str">
        <f>IF(ISBLANK('Credit Instruction Record'!E25),"",'Credit Instruction Record'!E25)</f>
        <v/>
      </c>
      <c r="J12" t="str">
        <f>IF(ISBLANK('Credit Instruction Record'!F25),"",'Credit Instruction Record'!F25)</f>
        <v/>
      </c>
      <c r="K12" t="str">
        <f>IF(ISBLANK('Credit Instruction Record'!G25),"",'Credit Instruction Record'!G25)</f>
        <v/>
      </c>
      <c r="L12" t="str">
        <f>IF(ISBLANK('Credit Instruction Record'!H25),"",'Credit Instruction Record'!H25)</f>
        <v/>
      </c>
      <c r="M12" t="str">
        <f>IF(ISBLANK('Credit Instruction Record'!M25),"",'Credit Instruction Record'!M25)</f>
        <v/>
      </c>
      <c r="N12" t="str">
        <f>IF(ISBLANK('Credit Instruction Record'!N25),"",'Credit Instruction Record'!N25)</f>
        <v/>
      </c>
      <c r="O12" t="str">
        <f>IF(ISBLANK('Credit Instruction Record'!O25),"",'Credit Instruction Record'!O25)</f>
        <v/>
      </c>
      <c r="P12" s="67" t="b">
        <f t="shared" si="0"/>
        <v>1</v>
      </c>
      <c r="R12" s="114"/>
      <c r="S12" s="115"/>
      <c r="T12" s="115"/>
      <c r="U12" s="115"/>
      <c r="V12" s="115"/>
      <c r="W12" s="115"/>
      <c r="X12" s="116"/>
    </row>
    <row r="13" spans="1:24">
      <c r="A13" s="152" t="s">
        <v>104</v>
      </c>
      <c r="B13" s="153">
        <v>0</v>
      </c>
      <c r="D13" s="39">
        <v>12</v>
      </c>
      <c r="E13" t="str">
        <f>IF(ISBLANK('Credit Instruction Record'!A27),"",'Credit Instruction Record'!A27)</f>
        <v/>
      </c>
      <c r="F13" t="str">
        <f>IF(ISBLANK('Credit Instruction Record'!B27),"",'Credit Instruction Record'!B27)</f>
        <v/>
      </c>
      <c r="G13" t="str">
        <f>IF(ISBLANK('Credit Instruction Record'!C27),"",'Credit Instruction Record'!C27)</f>
        <v>EUR</v>
      </c>
      <c r="H13" s="60" t="str">
        <f>IF(ISBLANK('Credit Instruction Record'!D27),"",'Credit Instruction Record'!D27)</f>
        <v/>
      </c>
      <c r="I13" t="str">
        <f>IF(ISBLANK('Credit Instruction Record'!E27),"",'Credit Instruction Record'!E27)</f>
        <v/>
      </c>
      <c r="J13" t="str">
        <f>IF(ISBLANK('Credit Instruction Record'!F27),"",'Credit Instruction Record'!F27)</f>
        <v/>
      </c>
      <c r="K13" t="str">
        <f>IF(ISBLANK('Credit Instruction Record'!G27),"",'Credit Instruction Record'!G27)</f>
        <v/>
      </c>
      <c r="L13" t="str">
        <f>IF(ISBLANK('Credit Instruction Record'!H27),"",'Credit Instruction Record'!H27)</f>
        <v/>
      </c>
      <c r="M13" t="str">
        <f>IF(ISBLANK('Credit Instruction Record'!M27),"",'Credit Instruction Record'!M27)</f>
        <v/>
      </c>
      <c r="N13" t="str">
        <f>IF(ISBLANK('Credit Instruction Record'!N27),"",'Credit Instruction Record'!N27)</f>
        <v/>
      </c>
      <c r="O13" t="str">
        <f>IF(ISBLANK('Credit Instruction Record'!O27),"",'Credit Instruction Record'!O27)</f>
        <v/>
      </c>
      <c r="P13" s="67" t="b">
        <f t="shared" si="0"/>
        <v>1</v>
      </c>
      <c r="R13" s="114"/>
      <c r="S13" s="115"/>
      <c r="T13" s="115"/>
      <c r="U13" s="115"/>
      <c r="V13" s="115"/>
      <c r="W13" s="115"/>
      <c r="X13" s="116"/>
    </row>
    <row r="14" spans="1:24" ht="15.75" thickBot="1">
      <c r="D14" s="39">
        <v>13</v>
      </c>
      <c r="E14" t="str">
        <f>IF(ISBLANK('Credit Instruction Record'!A29),"",'Credit Instruction Record'!A29)</f>
        <v/>
      </c>
      <c r="F14" t="str">
        <f>IF(ISBLANK('Credit Instruction Record'!B29),"",'Credit Instruction Record'!B29)</f>
        <v/>
      </c>
      <c r="G14" t="str">
        <f>IF(ISBLANK('Credit Instruction Record'!C29),"",'Credit Instruction Record'!C29)</f>
        <v>EUR</v>
      </c>
      <c r="H14" s="60" t="str">
        <f>IF(ISBLANK('Credit Instruction Record'!D29),"",'Credit Instruction Record'!D29)</f>
        <v/>
      </c>
      <c r="I14" t="str">
        <f>IF(ISBLANK('Credit Instruction Record'!E29),"",'Credit Instruction Record'!E29)</f>
        <v/>
      </c>
      <c r="J14" t="str">
        <f>IF(ISBLANK('Credit Instruction Record'!F29),"",'Credit Instruction Record'!F29)</f>
        <v/>
      </c>
      <c r="K14" t="str">
        <f>IF(ISBLANK('Credit Instruction Record'!G29),"",'Credit Instruction Record'!G29)</f>
        <v/>
      </c>
      <c r="L14" t="str">
        <f>IF(ISBLANK('Credit Instruction Record'!H29),"",'Credit Instruction Record'!H29)</f>
        <v/>
      </c>
      <c r="M14" t="str">
        <f>IF(ISBLANK('Credit Instruction Record'!M29),"",'Credit Instruction Record'!M29)</f>
        <v/>
      </c>
      <c r="N14" t="str">
        <f>IF(ISBLANK('Credit Instruction Record'!N29),"",'Credit Instruction Record'!N29)</f>
        <v/>
      </c>
      <c r="O14" t="str">
        <f>IF(ISBLANK('Credit Instruction Record'!O29),"",'Credit Instruction Record'!O29)</f>
        <v/>
      </c>
      <c r="P14" s="67" t="b">
        <f t="shared" si="0"/>
        <v>1</v>
      </c>
      <c r="R14" s="117"/>
      <c r="S14" s="118"/>
      <c r="T14" s="118"/>
      <c r="U14" s="118"/>
      <c r="V14" s="118"/>
      <c r="W14" s="118"/>
      <c r="X14" s="119"/>
    </row>
    <row r="15" spans="1:24" ht="15.75" thickBot="1">
      <c r="D15" s="39">
        <v>14</v>
      </c>
      <c r="E15" t="str">
        <f>IF(ISBLANK('Credit Instruction Record'!A31),"",'Credit Instruction Record'!A31)</f>
        <v/>
      </c>
      <c r="F15" t="str">
        <f>IF(ISBLANK('Credit Instruction Record'!B31),"",'Credit Instruction Record'!B31)</f>
        <v/>
      </c>
      <c r="G15" t="str">
        <f>IF(ISBLANK('Credit Instruction Record'!C31),"",'Credit Instruction Record'!C31)</f>
        <v>EUR</v>
      </c>
      <c r="H15" s="60" t="str">
        <f>IF(ISBLANK('Credit Instruction Record'!D31),"",'Credit Instruction Record'!D31)</f>
        <v/>
      </c>
      <c r="I15" t="str">
        <f>IF(ISBLANK('Credit Instruction Record'!E31),"",'Credit Instruction Record'!E31)</f>
        <v/>
      </c>
      <c r="J15" t="str">
        <f>IF(ISBLANK('Credit Instruction Record'!F31),"",'Credit Instruction Record'!F31)</f>
        <v/>
      </c>
      <c r="K15" t="str">
        <f>IF(ISBLANK('Credit Instruction Record'!G31),"",'Credit Instruction Record'!G31)</f>
        <v/>
      </c>
      <c r="L15" t="str">
        <f>IF(ISBLANK('Credit Instruction Record'!H31),"",'Credit Instruction Record'!H31)</f>
        <v/>
      </c>
      <c r="M15" t="str">
        <f>IF(ISBLANK('Credit Instruction Record'!M31),"",'Credit Instruction Record'!M31)</f>
        <v/>
      </c>
      <c r="N15" t="str">
        <f>IF(ISBLANK('Credit Instruction Record'!N31),"",'Credit Instruction Record'!N31)</f>
        <v/>
      </c>
      <c r="O15" t="str">
        <f>IF(ISBLANK('Credit Instruction Record'!O31),"",'Credit Instruction Record'!O31)</f>
        <v/>
      </c>
      <c r="P15" s="67" t="b">
        <f t="shared" si="0"/>
        <v>1</v>
      </c>
    </row>
    <row r="16" spans="1:24">
      <c r="D16" s="39">
        <v>15</v>
      </c>
      <c r="E16" t="str">
        <f>IF(ISBLANK('Credit Instruction Record'!A33),"",'Credit Instruction Record'!A33)</f>
        <v/>
      </c>
      <c r="F16" t="str">
        <f>IF(ISBLANK('Credit Instruction Record'!B33),"",'Credit Instruction Record'!B33)</f>
        <v/>
      </c>
      <c r="G16" t="str">
        <f>IF(ISBLANK('Credit Instruction Record'!C33),"",'Credit Instruction Record'!C33)</f>
        <v>EUR</v>
      </c>
      <c r="H16" s="60" t="str">
        <f>IF(ISBLANK('Credit Instruction Record'!D33),"",'Credit Instruction Record'!D33)</f>
        <v/>
      </c>
      <c r="I16" t="str">
        <f>IF(ISBLANK('Credit Instruction Record'!E33),"",'Credit Instruction Record'!E33)</f>
        <v/>
      </c>
      <c r="J16" t="str">
        <f>IF(ISBLANK('Credit Instruction Record'!F33),"",'Credit Instruction Record'!F33)</f>
        <v/>
      </c>
      <c r="K16" t="str">
        <f>IF(ISBLANK('Credit Instruction Record'!G33),"",'Credit Instruction Record'!G33)</f>
        <v/>
      </c>
      <c r="L16" t="str">
        <f>IF(ISBLANK('Credit Instruction Record'!H33),"",'Credit Instruction Record'!H33)</f>
        <v/>
      </c>
      <c r="M16" t="str">
        <f>IF(ISBLANK('Credit Instruction Record'!M33),"",'Credit Instruction Record'!M33)</f>
        <v/>
      </c>
      <c r="N16" t="str">
        <f>IF(ISBLANK('Credit Instruction Record'!N33),"",'Credit Instruction Record'!N33)</f>
        <v/>
      </c>
      <c r="O16" t="str">
        <f>IF(ISBLANK('Credit Instruction Record'!O33),"",'Credit Instruction Record'!O33)</f>
        <v/>
      </c>
      <c r="P16" s="67" t="b">
        <f t="shared" si="0"/>
        <v>1</v>
      </c>
      <c r="R16" s="120" t="s">
        <v>116</v>
      </c>
      <c r="S16" s="121"/>
      <c r="T16" s="121"/>
      <c r="U16" s="121"/>
      <c r="V16" s="121"/>
      <c r="W16" s="121"/>
      <c r="X16" s="122"/>
    </row>
    <row r="17" spans="4:24">
      <c r="D17" s="39">
        <v>16</v>
      </c>
      <c r="E17" t="str">
        <f>IF(ISBLANK('Credit Instruction Record'!A35),"",'Credit Instruction Record'!A35)</f>
        <v/>
      </c>
      <c r="F17" t="str">
        <f>IF(ISBLANK('Credit Instruction Record'!B35),"",'Credit Instruction Record'!B35)</f>
        <v/>
      </c>
      <c r="G17" t="str">
        <f>IF(ISBLANK('Credit Instruction Record'!C35),"",'Credit Instruction Record'!C35)</f>
        <v>EUR</v>
      </c>
      <c r="H17" s="60" t="str">
        <f>IF(ISBLANK('Credit Instruction Record'!D35),"",'Credit Instruction Record'!D35)</f>
        <v/>
      </c>
      <c r="I17" t="str">
        <f>IF(ISBLANK('Credit Instruction Record'!E35),"",'Credit Instruction Record'!E35)</f>
        <v/>
      </c>
      <c r="J17" t="str">
        <f>IF(ISBLANK('Credit Instruction Record'!F35),"",'Credit Instruction Record'!F35)</f>
        <v/>
      </c>
      <c r="K17" t="str">
        <f>IF(ISBLANK('Credit Instruction Record'!G35),"",'Credit Instruction Record'!G35)</f>
        <v/>
      </c>
      <c r="L17" t="str">
        <f>IF(ISBLANK('Credit Instruction Record'!H35),"",'Credit Instruction Record'!H35)</f>
        <v/>
      </c>
      <c r="M17" t="str">
        <f>IF(ISBLANK('Credit Instruction Record'!M35),"",'Credit Instruction Record'!M35)</f>
        <v/>
      </c>
      <c r="N17" t="str">
        <f>IF(ISBLANK('Credit Instruction Record'!N35),"",'Credit Instruction Record'!N35)</f>
        <v/>
      </c>
      <c r="O17" t="str">
        <f>IF(ISBLANK('Credit Instruction Record'!O35),"",'Credit Instruction Record'!O35)</f>
        <v/>
      </c>
      <c r="P17" s="67" t="b">
        <f t="shared" si="0"/>
        <v>1</v>
      </c>
      <c r="R17" s="123"/>
      <c r="S17" s="124"/>
      <c r="T17" s="124"/>
      <c r="U17" s="124"/>
      <c r="V17" s="124"/>
      <c r="W17" s="124"/>
      <c r="X17" s="125"/>
    </row>
    <row r="18" spans="4:24">
      <c r="D18" s="39">
        <v>17</v>
      </c>
      <c r="E18" t="str">
        <f>IF(ISBLANK('Credit Instruction Record'!A37),"",'Credit Instruction Record'!A37)</f>
        <v/>
      </c>
      <c r="F18" t="str">
        <f>IF(ISBLANK('Credit Instruction Record'!B37),"",'Credit Instruction Record'!B37)</f>
        <v/>
      </c>
      <c r="G18" t="str">
        <f>IF(ISBLANK('Credit Instruction Record'!C37),"",'Credit Instruction Record'!C37)</f>
        <v>EUR</v>
      </c>
      <c r="H18" s="60" t="str">
        <f>IF(ISBLANK('Credit Instruction Record'!D37),"",'Credit Instruction Record'!D37)</f>
        <v/>
      </c>
      <c r="I18" t="str">
        <f>IF(ISBLANK('Credit Instruction Record'!E37),"",'Credit Instruction Record'!E37)</f>
        <v/>
      </c>
      <c r="J18" t="str">
        <f>IF(ISBLANK('Credit Instruction Record'!F37),"",'Credit Instruction Record'!F37)</f>
        <v/>
      </c>
      <c r="K18" t="str">
        <f>IF(ISBLANK('Credit Instruction Record'!G37),"",'Credit Instruction Record'!G37)</f>
        <v/>
      </c>
      <c r="L18" t="str">
        <f>IF(ISBLANK('Credit Instruction Record'!H37),"",'Credit Instruction Record'!H37)</f>
        <v/>
      </c>
      <c r="M18" t="str">
        <f>IF(ISBLANK('Credit Instruction Record'!M37),"",'Credit Instruction Record'!M37)</f>
        <v/>
      </c>
      <c r="N18" t="str">
        <f>IF(ISBLANK('Credit Instruction Record'!N37),"",'Credit Instruction Record'!N37)</f>
        <v/>
      </c>
      <c r="O18" t="str">
        <f>IF(ISBLANK('Credit Instruction Record'!O37),"",'Credit Instruction Record'!O37)</f>
        <v/>
      </c>
      <c r="P18" s="67" t="b">
        <f t="shared" si="0"/>
        <v>1</v>
      </c>
      <c r="R18" s="123"/>
      <c r="S18" s="124"/>
      <c r="T18" s="124"/>
      <c r="U18" s="124"/>
      <c r="V18" s="124"/>
      <c r="W18" s="124"/>
      <c r="X18" s="125"/>
    </row>
    <row r="19" spans="4:24">
      <c r="D19" s="39">
        <v>18</v>
      </c>
      <c r="E19" t="str">
        <f>IF(ISBLANK('Credit Instruction Record'!A39),"",'Credit Instruction Record'!A39)</f>
        <v/>
      </c>
      <c r="F19" t="str">
        <f>IF(ISBLANK('Credit Instruction Record'!B39),"",'Credit Instruction Record'!B39)</f>
        <v/>
      </c>
      <c r="G19" t="str">
        <f>IF(ISBLANK('Credit Instruction Record'!C39),"",'Credit Instruction Record'!C39)</f>
        <v>EUR</v>
      </c>
      <c r="H19" s="60" t="str">
        <f>IF(ISBLANK('Credit Instruction Record'!D39),"",'Credit Instruction Record'!D39)</f>
        <v/>
      </c>
      <c r="I19" t="str">
        <f>IF(ISBLANK('Credit Instruction Record'!E39),"",'Credit Instruction Record'!E39)</f>
        <v/>
      </c>
      <c r="J19" t="str">
        <f>IF(ISBLANK('Credit Instruction Record'!F39),"",'Credit Instruction Record'!F39)</f>
        <v/>
      </c>
      <c r="K19" t="str">
        <f>IF(ISBLANK('Credit Instruction Record'!G39),"",'Credit Instruction Record'!G39)</f>
        <v/>
      </c>
      <c r="L19" t="str">
        <f>IF(ISBLANK('Credit Instruction Record'!H39),"",'Credit Instruction Record'!H39)</f>
        <v/>
      </c>
      <c r="M19" t="str">
        <f>IF(ISBLANK('Credit Instruction Record'!M39),"",'Credit Instruction Record'!M39)</f>
        <v/>
      </c>
      <c r="N19" t="str">
        <f>IF(ISBLANK('Credit Instruction Record'!N39),"",'Credit Instruction Record'!N39)</f>
        <v/>
      </c>
      <c r="O19" t="str">
        <f>IF(ISBLANK('Credit Instruction Record'!O39),"",'Credit Instruction Record'!O39)</f>
        <v/>
      </c>
      <c r="P19" s="67" t="b">
        <f t="shared" si="0"/>
        <v>1</v>
      </c>
      <c r="R19" s="123"/>
      <c r="S19" s="124"/>
      <c r="T19" s="124"/>
      <c r="U19" s="124"/>
      <c r="V19" s="124"/>
      <c r="W19" s="124"/>
      <c r="X19" s="125"/>
    </row>
    <row r="20" spans="4:24">
      <c r="D20" s="39">
        <v>19</v>
      </c>
      <c r="E20" t="str">
        <f>IF(ISBLANK('Credit Instruction Record'!A41),"",'Credit Instruction Record'!A41)</f>
        <v/>
      </c>
      <c r="F20" t="str">
        <f>IF(ISBLANK('Credit Instruction Record'!B41),"",'Credit Instruction Record'!B41)</f>
        <v/>
      </c>
      <c r="G20" t="str">
        <f>IF(ISBLANK('Credit Instruction Record'!C41),"",'Credit Instruction Record'!C41)</f>
        <v>EUR</v>
      </c>
      <c r="H20" s="60" t="str">
        <f>IF(ISBLANK('Credit Instruction Record'!D41),"",'Credit Instruction Record'!D41)</f>
        <v/>
      </c>
      <c r="I20" t="str">
        <f>IF(ISBLANK('Credit Instruction Record'!E41),"",'Credit Instruction Record'!E41)</f>
        <v/>
      </c>
      <c r="J20" t="str">
        <f>IF(ISBLANK('Credit Instruction Record'!F41),"",'Credit Instruction Record'!F41)</f>
        <v/>
      </c>
      <c r="K20" t="str">
        <f>IF(ISBLANK('Credit Instruction Record'!G41),"",'Credit Instruction Record'!G41)</f>
        <v/>
      </c>
      <c r="L20" t="str">
        <f>IF(ISBLANK('Credit Instruction Record'!H41),"",'Credit Instruction Record'!H41)</f>
        <v/>
      </c>
      <c r="M20" t="str">
        <f>IF(ISBLANK('Credit Instruction Record'!M41),"",'Credit Instruction Record'!M41)</f>
        <v/>
      </c>
      <c r="N20" t="str">
        <f>IF(ISBLANK('Credit Instruction Record'!N41),"",'Credit Instruction Record'!N41)</f>
        <v/>
      </c>
      <c r="O20" t="str">
        <f>IF(ISBLANK('Credit Instruction Record'!O41),"",'Credit Instruction Record'!O41)</f>
        <v/>
      </c>
      <c r="P20" s="67" t="b">
        <f t="shared" si="0"/>
        <v>1</v>
      </c>
      <c r="R20" s="123"/>
      <c r="S20" s="124"/>
      <c r="T20" s="124"/>
      <c r="U20" s="124"/>
      <c r="V20" s="124"/>
      <c r="W20" s="124"/>
      <c r="X20" s="125"/>
    </row>
    <row r="21" spans="4:24">
      <c r="D21" s="39">
        <v>20</v>
      </c>
      <c r="E21" t="str">
        <f>IF(ISBLANK('Credit Instruction Record'!A43),"",'Credit Instruction Record'!A43)</f>
        <v/>
      </c>
      <c r="F21" t="str">
        <f>IF(ISBLANK('Credit Instruction Record'!B43),"",'Credit Instruction Record'!B43)</f>
        <v/>
      </c>
      <c r="G21" t="str">
        <f>IF(ISBLANK('Credit Instruction Record'!C43),"",'Credit Instruction Record'!C43)</f>
        <v>EUR</v>
      </c>
      <c r="H21" s="60" t="str">
        <f>IF(ISBLANK('Credit Instruction Record'!D43),"",'Credit Instruction Record'!D43)</f>
        <v/>
      </c>
      <c r="I21" t="str">
        <f>IF(ISBLANK('Credit Instruction Record'!E43),"",'Credit Instruction Record'!E43)</f>
        <v/>
      </c>
      <c r="J21" t="str">
        <f>IF(ISBLANK('Credit Instruction Record'!F43),"",'Credit Instruction Record'!F43)</f>
        <v/>
      </c>
      <c r="K21" t="str">
        <f>IF(ISBLANK('Credit Instruction Record'!G43),"",'Credit Instruction Record'!G43)</f>
        <v/>
      </c>
      <c r="L21" t="str">
        <f>IF(ISBLANK('Credit Instruction Record'!H43),"",'Credit Instruction Record'!H43)</f>
        <v/>
      </c>
      <c r="M21" t="str">
        <f>IF(ISBLANK('Credit Instruction Record'!M43),"",'Credit Instruction Record'!M43)</f>
        <v/>
      </c>
      <c r="N21" t="str">
        <f>IF(ISBLANK('Credit Instruction Record'!N43),"",'Credit Instruction Record'!N43)</f>
        <v/>
      </c>
      <c r="O21" t="str">
        <f>IF(ISBLANK('Credit Instruction Record'!O43),"",'Credit Instruction Record'!O43)</f>
        <v/>
      </c>
      <c r="P21" s="67" t="b">
        <f t="shared" si="0"/>
        <v>1</v>
      </c>
      <c r="R21" s="123"/>
      <c r="S21" s="124"/>
      <c r="T21" s="124"/>
      <c r="U21" s="124"/>
      <c r="V21" s="124"/>
      <c r="W21" s="124"/>
      <c r="X21" s="125"/>
    </row>
    <row r="22" spans="4:24">
      <c r="D22" s="39">
        <v>21</v>
      </c>
      <c r="E22" t="str">
        <f>IF(ISBLANK('Credit Instruction Record'!A45),"",'Credit Instruction Record'!A45)</f>
        <v/>
      </c>
      <c r="F22" t="str">
        <f>IF(ISBLANK('Credit Instruction Record'!B45),"",'Credit Instruction Record'!B45)</f>
        <v/>
      </c>
      <c r="G22" t="str">
        <f>IF(ISBLANK('Credit Instruction Record'!C45),"",'Credit Instruction Record'!C45)</f>
        <v>EUR</v>
      </c>
      <c r="H22" s="60" t="str">
        <f>IF(ISBLANK('Credit Instruction Record'!D45),"",'Credit Instruction Record'!D45)</f>
        <v/>
      </c>
      <c r="I22" t="str">
        <f>IF(ISBLANK('Credit Instruction Record'!E45),"",'Credit Instruction Record'!E45)</f>
        <v/>
      </c>
      <c r="J22" t="str">
        <f>IF(ISBLANK('Credit Instruction Record'!F45),"",'Credit Instruction Record'!F45)</f>
        <v/>
      </c>
      <c r="K22" t="str">
        <f>IF(ISBLANK('Credit Instruction Record'!G45),"",'Credit Instruction Record'!G45)</f>
        <v/>
      </c>
      <c r="L22" t="str">
        <f>IF(ISBLANK('Credit Instruction Record'!H45),"",'Credit Instruction Record'!H45)</f>
        <v/>
      </c>
      <c r="M22" t="str">
        <f>IF(ISBLANK('Credit Instruction Record'!M45),"",'Credit Instruction Record'!M45)</f>
        <v/>
      </c>
      <c r="N22" t="str">
        <f>IF(ISBLANK('Credit Instruction Record'!N45),"",'Credit Instruction Record'!N45)</f>
        <v/>
      </c>
      <c r="O22" t="str">
        <f>IF(ISBLANK('Credit Instruction Record'!O45),"",'Credit Instruction Record'!O45)</f>
        <v/>
      </c>
      <c r="P22" s="67" t="b">
        <f t="shared" si="0"/>
        <v>1</v>
      </c>
      <c r="R22" s="123"/>
      <c r="S22" s="124"/>
      <c r="T22" s="124"/>
      <c r="U22" s="124"/>
      <c r="V22" s="124"/>
      <c r="W22" s="124"/>
      <c r="X22" s="125"/>
    </row>
    <row r="23" spans="4:24">
      <c r="D23" s="39">
        <v>22</v>
      </c>
      <c r="E23" t="str">
        <f>IF(ISBLANK('Credit Instruction Record'!A47),"",'Credit Instruction Record'!A47)</f>
        <v/>
      </c>
      <c r="F23" t="str">
        <f>IF(ISBLANK('Credit Instruction Record'!B47),"",'Credit Instruction Record'!B47)</f>
        <v/>
      </c>
      <c r="G23" t="str">
        <f>IF(ISBLANK('Credit Instruction Record'!C47),"",'Credit Instruction Record'!C47)</f>
        <v>EUR</v>
      </c>
      <c r="H23" s="60" t="str">
        <f>IF(ISBLANK('Credit Instruction Record'!D47),"",'Credit Instruction Record'!D47)</f>
        <v/>
      </c>
      <c r="I23" t="str">
        <f>IF(ISBLANK('Credit Instruction Record'!E47),"",'Credit Instruction Record'!E47)</f>
        <v/>
      </c>
      <c r="J23" t="str">
        <f>IF(ISBLANK('Credit Instruction Record'!F47),"",'Credit Instruction Record'!F47)</f>
        <v/>
      </c>
      <c r="K23" t="str">
        <f>IF(ISBLANK('Credit Instruction Record'!G47),"",'Credit Instruction Record'!G47)</f>
        <v/>
      </c>
      <c r="L23" t="str">
        <f>IF(ISBLANK('Credit Instruction Record'!H47),"",'Credit Instruction Record'!H47)</f>
        <v/>
      </c>
      <c r="M23" t="str">
        <f>IF(ISBLANK('Credit Instruction Record'!M47),"",'Credit Instruction Record'!M47)</f>
        <v/>
      </c>
      <c r="N23" t="str">
        <f>IF(ISBLANK('Credit Instruction Record'!N47),"",'Credit Instruction Record'!N47)</f>
        <v/>
      </c>
      <c r="O23" t="str">
        <f>IF(ISBLANK('Credit Instruction Record'!O47),"",'Credit Instruction Record'!O47)</f>
        <v/>
      </c>
      <c r="P23" s="67" t="b">
        <f t="shared" si="0"/>
        <v>1</v>
      </c>
      <c r="R23" s="123"/>
      <c r="S23" s="124"/>
      <c r="T23" s="124"/>
      <c r="U23" s="124"/>
      <c r="V23" s="124"/>
      <c r="W23" s="124"/>
      <c r="X23" s="125"/>
    </row>
    <row r="24" spans="4:24">
      <c r="D24" s="39">
        <v>23</v>
      </c>
      <c r="E24" t="str">
        <f>IF(ISBLANK('Credit Instruction Record'!A49),"",'Credit Instruction Record'!A49)</f>
        <v/>
      </c>
      <c r="F24" t="str">
        <f>IF(ISBLANK('Credit Instruction Record'!B49),"",'Credit Instruction Record'!B49)</f>
        <v/>
      </c>
      <c r="G24" t="str">
        <f>IF(ISBLANK('Credit Instruction Record'!C49),"",'Credit Instruction Record'!C49)</f>
        <v>EUR</v>
      </c>
      <c r="H24" s="60" t="str">
        <f>IF(ISBLANK('Credit Instruction Record'!D49),"",'Credit Instruction Record'!D49)</f>
        <v/>
      </c>
      <c r="I24" t="str">
        <f>IF(ISBLANK('Credit Instruction Record'!E49),"",'Credit Instruction Record'!E49)</f>
        <v/>
      </c>
      <c r="J24" t="str">
        <f>IF(ISBLANK('Credit Instruction Record'!F49),"",'Credit Instruction Record'!F49)</f>
        <v/>
      </c>
      <c r="K24" t="str">
        <f>IF(ISBLANK('Credit Instruction Record'!G49),"",'Credit Instruction Record'!G49)</f>
        <v/>
      </c>
      <c r="L24" t="str">
        <f>IF(ISBLANK('Credit Instruction Record'!H49),"",'Credit Instruction Record'!H49)</f>
        <v/>
      </c>
      <c r="M24" t="str">
        <f>IF(ISBLANK('Credit Instruction Record'!M49),"",'Credit Instruction Record'!M49)</f>
        <v/>
      </c>
      <c r="N24" t="str">
        <f>IF(ISBLANK('Credit Instruction Record'!N49),"",'Credit Instruction Record'!N49)</f>
        <v/>
      </c>
      <c r="O24" t="str">
        <f>IF(ISBLANK('Credit Instruction Record'!O49),"",'Credit Instruction Record'!O49)</f>
        <v/>
      </c>
      <c r="P24" s="67" t="b">
        <f t="shared" si="0"/>
        <v>1</v>
      </c>
      <c r="R24" s="123"/>
      <c r="S24" s="124"/>
      <c r="T24" s="124"/>
      <c r="U24" s="124"/>
      <c r="V24" s="124"/>
      <c r="W24" s="124"/>
      <c r="X24" s="125"/>
    </row>
    <row r="25" spans="4:24">
      <c r="D25" s="39">
        <v>24</v>
      </c>
      <c r="E25" t="str">
        <f>IF(ISBLANK('Credit Instruction Record'!A51),"",'Credit Instruction Record'!A51)</f>
        <v/>
      </c>
      <c r="F25" t="str">
        <f>IF(ISBLANK('Credit Instruction Record'!B51),"",'Credit Instruction Record'!B51)</f>
        <v/>
      </c>
      <c r="G25" t="str">
        <f>IF(ISBLANK('Credit Instruction Record'!C51),"",'Credit Instruction Record'!C51)</f>
        <v>EUR</v>
      </c>
      <c r="H25" s="60" t="str">
        <f>IF(ISBLANK('Credit Instruction Record'!D51),"",'Credit Instruction Record'!D51)</f>
        <v/>
      </c>
      <c r="I25" t="str">
        <f>IF(ISBLANK('Credit Instruction Record'!E51),"",'Credit Instruction Record'!E51)</f>
        <v/>
      </c>
      <c r="J25" t="str">
        <f>IF(ISBLANK('Credit Instruction Record'!F51),"",'Credit Instruction Record'!F51)</f>
        <v/>
      </c>
      <c r="K25" t="str">
        <f>IF(ISBLANK('Credit Instruction Record'!G51),"",'Credit Instruction Record'!G51)</f>
        <v/>
      </c>
      <c r="L25" t="str">
        <f>IF(ISBLANK('Credit Instruction Record'!H51),"",'Credit Instruction Record'!H51)</f>
        <v/>
      </c>
      <c r="M25" t="str">
        <f>IF(ISBLANK('Credit Instruction Record'!M51),"",'Credit Instruction Record'!M51)</f>
        <v/>
      </c>
      <c r="N25" t="str">
        <f>IF(ISBLANK('Credit Instruction Record'!N51),"",'Credit Instruction Record'!N51)</f>
        <v/>
      </c>
      <c r="O25" t="str">
        <f>IF(ISBLANK('Credit Instruction Record'!O51),"",'Credit Instruction Record'!O51)</f>
        <v/>
      </c>
      <c r="P25" s="67" t="b">
        <f t="shared" si="0"/>
        <v>1</v>
      </c>
      <c r="R25" s="123"/>
      <c r="S25" s="124"/>
      <c r="T25" s="124"/>
      <c r="U25" s="124"/>
      <c r="V25" s="124"/>
      <c r="W25" s="124"/>
      <c r="X25" s="125"/>
    </row>
    <row r="26" spans="4:24">
      <c r="D26" s="39">
        <v>25</v>
      </c>
      <c r="E26" t="str">
        <f>IF(ISBLANK('Credit Instruction Record'!A53),"",'Credit Instruction Record'!A53)</f>
        <v/>
      </c>
      <c r="F26" t="str">
        <f>IF(ISBLANK('Credit Instruction Record'!B53),"",'Credit Instruction Record'!B53)</f>
        <v/>
      </c>
      <c r="G26" t="str">
        <f>IF(ISBLANK('Credit Instruction Record'!C53),"",'Credit Instruction Record'!C53)</f>
        <v>EUR</v>
      </c>
      <c r="H26" s="60" t="str">
        <f>IF(ISBLANK('Credit Instruction Record'!D53),"",'Credit Instruction Record'!D53)</f>
        <v/>
      </c>
      <c r="I26" t="str">
        <f>IF(ISBLANK('Credit Instruction Record'!E53),"",'Credit Instruction Record'!E53)</f>
        <v/>
      </c>
      <c r="J26" t="str">
        <f>IF(ISBLANK('Credit Instruction Record'!F53),"",'Credit Instruction Record'!F53)</f>
        <v/>
      </c>
      <c r="K26" t="str">
        <f>IF(ISBLANK('Credit Instruction Record'!G53),"",'Credit Instruction Record'!G53)</f>
        <v/>
      </c>
      <c r="L26" t="str">
        <f>IF(ISBLANK('Credit Instruction Record'!H53),"",'Credit Instruction Record'!H53)</f>
        <v/>
      </c>
      <c r="M26" t="str">
        <f>IF(ISBLANK('Credit Instruction Record'!M53),"",'Credit Instruction Record'!M53)</f>
        <v/>
      </c>
      <c r="N26" t="str">
        <f>IF(ISBLANK('Credit Instruction Record'!N53),"",'Credit Instruction Record'!N53)</f>
        <v/>
      </c>
      <c r="O26" t="str">
        <f>IF(ISBLANK('Credit Instruction Record'!O53),"",'Credit Instruction Record'!O53)</f>
        <v/>
      </c>
      <c r="P26" s="67" t="b">
        <f t="shared" si="0"/>
        <v>1</v>
      </c>
      <c r="R26" s="123"/>
      <c r="S26" s="124"/>
      <c r="T26" s="124"/>
      <c r="U26" s="124"/>
      <c r="V26" s="124"/>
      <c r="W26" s="124"/>
      <c r="X26" s="125"/>
    </row>
    <row r="27" spans="4:24">
      <c r="D27" s="39">
        <v>26</v>
      </c>
      <c r="E27" t="str">
        <f>IF(ISBLANK('Credit Instruction Record'!A55),"",'Credit Instruction Record'!A55)</f>
        <v/>
      </c>
      <c r="F27" t="str">
        <f>IF(ISBLANK('Credit Instruction Record'!B55),"",'Credit Instruction Record'!B55)</f>
        <v/>
      </c>
      <c r="G27" t="str">
        <f>IF(ISBLANK('Credit Instruction Record'!C55),"",'Credit Instruction Record'!C55)</f>
        <v>EUR</v>
      </c>
      <c r="H27" s="60" t="str">
        <f>IF(ISBLANK('Credit Instruction Record'!D55),"",'Credit Instruction Record'!D55)</f>
        <v/>
      </c>
      <c r="I27" t="str">
        <f>IF(ISBLANK('Credit Instruction Record'!E55),"",'Credit Instruction Record'!E55)</f>
        <v/>
      </c>
      <c r="J27" t="str">
        <f>IF(ISBLANK('Credit Instruction Record'!F55),"",'Credit Instruction Record'!F55)</f>
        <v/>
      </c>
      <c r="K27" t="str">
        <f>IF(ISBLANK('Credit Instruction Record'!G55),"",'Credit Instruction Record'!G55)</f>
        <v/>
      </c>
      <c r="L27" t="str">
        <f>IF(ISBLANK('Credit Instruction Record'!H55),"",'Credit Instruction Record'!H55)</f>
        <v/>
      </c>
      <c r="M27" t="str">
        <f>IF(ISBLANK('Credit Instruction Record'!M55),"",'Credit Instruction Record'!M55)</f>
        <v/>
      </c>
      <c r="N27" t="str">
        <f>IF(ISBLANK('Credit Instruction Record'!N55),"",'Credit Instruction Record'!N55)</f>
        <v/>
      </c>
      <c r="O27" t="str">
        <f>IF(ISBLANK('Credit Instruction Record'!O55),"",'Credit Instruction Record'!O55)</f>
        <v/>
      </c>
      <c r="P27" s="67" t="b">
        <f t="shared" si="0"/>
        <v>1</v>
      </c>
      <c r="R27" s="123"/>
      <c r="S27" s="124"/>
      <c r="T27" s="124"/>
      <c r="U27" s="124"/>
      <c r="V27" s="124"/>
      <c r="W27" s="124"/>
      <c r="X27" s="125"/>
    </row>
    <row r="28" spans="4:24" ht="15.75" thickBot="1">
      <c r="D28" s="39">
        <v>27</v>
      </c>
      <c r="E28" t="str">
        <f>IF(ISBLANK('Credit Instruction Record'!A57),"",'Credit Instruction Record'!A57)</f>
        <v/>
      </c>
      <c r="F28" t="str">
        <f>IF(ISBLANK('Credit Instruction Record'!B57),"",'Credit Instruction Record'!B57)</f>
        <v/>
      </c>
      <c r="G28" t="str">
        <f>IF(ISBLANK('Credit Instruction Record'!C57),"",'Credit Instruction Record'!C57)</f>
        <v>EUR</v>
      </c>
      <c r="H28" s="60" t="str">
        <f>IF(ISBLANK('Credit Instruction Record'!D57),"",'Credit Instruction Record'!D57)</f>
        <v/>
      </c>
      <c r="I28" t="str">
        <f>IF(ISBLANK('Credit Instruction Record'!E57),"",'Credit Instruction Record'!E57)</f>
        <v/>
      </c>
      <c r="J28" t="str">
        <f>IF(ISBLANK('Credit Instruction Record'!F57),"",'Credit Instruction Record'!F57)</f>
        <v/>
      </c>
      <c r="K28" t="str">
        <f>IF(ISBLANK('Credit Instruction Record'!G57),"",'Credit Instruction Record'!G57)</f>
        <v/>
      </c>
      <c r="L28" t="str">
        <f>IF(ISBLANK('Credit Instruction Record'!H57),"",'Credit Instruction Record'!H57)</f>
        <v/>
      </c>
      <c r="M28" t="str">
        <f>IF(ISBLANK('Credit Instruction Record'!M57),"",'Credit Instruction Record'!M57)</f>
        <v/>
      </c>
      <c r="N28" t="str">
        <f>IF(ISBLANK('Credit Instruction Record'!N57),"",'Credit Instruction Record'!N57)</f>
        <v/>
      </c>
      <c r="O28" t="str">
        <f>IF(ISBLANK('Credit Instruction Record'!O57),"",'Credit Instruction Record'!O57)</f>
        <v/>
      </c>
      <c r="P28" s="67" t="b">
        <f t="shared" si="0"/>
        <v>1</v>
      </c>
      <c r="R28" s="126"/>
      <c r="S28" s="127"/>
      <c r="T28" s="127"/>
      <c r="U28" s="127"/>
      <c r="V28" s="127"/>
      <c r="W28" s="127"/>
      <c r="X28" s="128"/>
    </row>
    <row r="29" spans="4:24" ht="15" customHeight="1">
      <c r="D29" s="39">
        <v>28</v>
      </c>
      <c r="E29" t="str">
        <f>IF(ISBLANK('Credit Instruction Record'!A59),"",'Credit Instruction Record'!A59)</f>
        <v/>
      </c>
      <c r="F29" t="str">
        <f>IF(ISBLANK('Credit Instruction Record'!B59),"",'Credit Instruction Record'!B59)</f>
        <v/>
      </c>
      <c r="G29" t="str">
        <f>IF(ISBLANK('Credit Instruction Record'!C59),"",'Credit Instruction Record'!C59)</f>
        <v>EUR</v>
      </c>
      <c r="H29" s="60" t="str">
        <f>IF(ISBLANK('Credit Instruction Record'!D59),"",'Credit Instruction Record'!D59)</f>
        <v/>
      </c>
      <c r="I29" t="str">
        <f>IF(ISBLANK('Credit Instruction Record'!E59),"",'Credit Instruction Record'!E59)</f>
        <v/>
      </c>
      <c r="J29" t="str">
        <f>IF(ISBLANK('Credit Instruction Record'!F59),"",'Credit Instruction Record'!F59)</f>
        <v/>
      </c>
      <c r="K29" t="str">
        <f>IF(ISBLANK('Credit Instruction Record'!G59),"",'Credit Instruction Record'!G59)</f>
        <v/>
      </c>
      <c r="L29" t="str">
        <f>IF(ISBLANK('Credit Instruction Record'!H59),"",'Credit Instruction Record'!H59)</f>
        <v/>
      </c>
      <c r="M29" t="str">
        <f>IF(ISBLANK('Credit Instruction Record'!M59),"",'Credit Instruction Record'!M59)</f>
        <v/>
      </c>
      <c r="N29" t="str">
        <f>IF(ISBLANK('Credit Instruction Record'!N59),"",'Credit Instruction Record'!N59)</f>
        <v/>
      </c>
      <c r="O29" t="str">
        <f>IF(ISBLANK('Credit Instruction Record'!O59),"",'Credit Instruction Record'!O59)</f>
        <v/>
      </c>
      <c r="P29" s="67" t="b">
        <f t="shared" si="0"/>
        <v>1</v>
      </c>
    </row>
    <row r="30" spans="4:24">
      <c r="D30" s="39">
        <v>29</v>
      </c>
      <c r="E30" t="str">
        <f>IF(ISBLANK('Credit Instruction Record'!A61),"",'Credit Instruction Record'!A61)</f>
        <v/>
      </c>
      <c r="F30" t="str">
        <f>IF(ISBLANK('Credit Instruction Record'!B61),"",'Credit Instruction Record'!B61)</f>
        <v/>
      </c>
      <c r="G30" t="str">
        <f>IF(ISBLANK('Credit Instruction Record'!C61),"",'Credit Instruction Record'!C61)</f>
        <v>EUR</v>
      </c>
      <c r="H30" s="60" t="str">
        <f>IF(ISBLANK('Credit Instruction Record'!D61),"",'Credit Instruction Record'!D61)</f>
        <v/>
      </c>
      <c r="I30" t="str">
        <f>IF(ISBLANK('Credit Instruction Record'!E61),"",'Credit Instruction Record'!E61)</f>
        <v/>
      </c>
      <c r="J30" t="str">
        <f>IF(ISBLANK('Credit Instruction Record'!F61),"",'Credit Instruction Record'!F61)</f>
        <v/>
      </c>
      <c r="K30" t="str">
        <f>IF(ISBLANK('Credit Instruction Record'!G61),"",'Credit Instruction Record'!G61)</f>
        <v/>
      </c>
      <c r="L30" t="str">
        <f>IF(ISBLANK('Credit Instruction Record'!H61),"",'Credit Instruction Record'!H61)</f>
        <v/>
      </c>
      <c r="M30" t="str">
        <f>IF(ISBLANK('Credit Instruction Record'!M61),"",'Credit Instruction Record'!M61)</f>
        <v/>
      </c>
      <c r="N30" t="str">
        <f>IF(ISBLANK('Credit Instruction Record'!N61),"",'Credit Instruction Record'!N61)</f>
        <v/>
      </c>
      <c r="O30" t="str">
        <f>IF(ISBLANK('Credit Instruction Record'!O61),"",'Credit Instruction Record'!O61)</f>
        <v/>
      </c>
      <c r="P30" s="67" t="b">
        <f t="shared" si="0"/>
        <v>1</v>
      </c>
    </row>
    <row r="31" spans="4:24">
      <c r="D31" s="39">
        <v>30</v>
      </c>
      <c r="E31" t="str">
        <f>IF(ISBLANK('Credit Instruction Record'!A63),"",'Credit Instruction Record'!A63)</f>
        <v/>
      </c>
      <c r="F31" t="str">
        <f>IF(ISBLANK('Credit Instruction Record'!B63),"",'Credit Instruction Record'!B63)</f>
        <v/>
      </c>
      <c r="G31" t="str">
        <f>IF(ISBLANK('Credit Instruction Record'!C63),"",'Credit Instruction Record'!C63)</f>
        <v>EUR</v>
      </c>
      <c r="H31" s="60" t="str">
        <f>IF(ISBLANK('Credit Instruction Record'!D63),"",'Credit Instruction Record'!D63)</f>
        <v/>
      </c>
      <c r="I31" t="str">
        <f>IF(ISBLANK('Credit Instruction Record'!E63),"",'Credit Instruction Record'!E63)</f>
        <v/>
      </c>
      <c r="J31" t="str">
        <f>IF(ISBLANK('Credit Instruction Record'!F63),"",'Credit Instruction Record'!F63)</f>
        <v/>
      </c>
      <c r="K31" t="str">
        <f>IF(ISBLANK('Credit Instruction Record'!G63),"",'Credit Instruction Record'!G63)</f>
        <v/>
      </c>
      <c r="L31" t="str">
        <f>IF(ISBLANK('Credit Instruction Record'!H63),"",'Credit Instruction Record'!H63)</f>
        <v/>
      </c>
      <c r="M31" t="str">
        <f>IF(ISBLANK('Credit Instruction Record'!M63),"",'Credit Instruction Record'!M63)</f>
        <v/>
      </c>
      <c r="N31" t="str">
        <f>IF(ISBLANK('Credit Instruction Record'!N63),"",'Credit Instruction Record'!N63)</f>
        <v/>
      </c>
      <c r="O31" t="str">
        <f>IF(ISBLANK('Credit Instruction Record'!O63),"",'Credit Instruction Record'!O63)</f>
        <v/>
      </c>
      <c r="P31" s="67" t="b">
        <f t="shared" si="0"/>
        <v>1</v>
      </c>
    </row>
    <row r="32" spans="4:24">
      <c r="D32" s="39">
        <v>31</v>
      </c>
      <c r="E32" t="str">
        <f>IF(ISBLANK('Credit Instruction Record'!A65),"",'Credit Instruction Record'!A65)</f>
        <v/>
      </c>
      <c r="F32" t="str">
        <f>IF(ISBLANK('Credit Instruction Record'!B65),"",'Credit Instruction Record'!B65)</f>
        <v/>
      </c>
      <c r="G32" t="str">
        <f>IF(ISBLANK('Credit Instruction Record'!C65),"",'Credit Instruction Record'!C65)</f>
        <v>EUR</v>
      </c>
      <c r="H32" s="60" t="str">
        <f>IF(ISBLANK('Credit Instruction Record'!D65),"",'Credit Instruction Record'!D65)</f>
        <v/>
      </c>
      <c r="I32" t="str">
        <f>IF(ISBLANK('Credit Instruction Record'!E65),"",'Credit Instruction Record'!E65)</f>
        <v/>
      </c>
      <c r="J32" t="str">
        <f>IF(ISBLANK('Credit Instruction Record'!F65),"",'Credit Instruction Record'!F65)</f>
        <v/>
      </c>
      <c r="K32" t="str">
        <f>IF(ISBLANK('Credit Instruction Record'!G65),"",'Credit Instruction Record'!G65)</f>
        <v/>
      </c>
      <c r="L32" t="str">
        <f>IF(ISBLANK('Credit Instruction Record'!H65),"",'Credit Instruction Record'!H65)</f>
        <v/>
      </c>
      <c r="M32" t="str">
        <f>IF(ISBLANK('Credit Instruction Record'!M65),"",'Credit Instruction Record'!M65)</f>
        <v/>
      </c>
      <c r="N32" t="str">
        <f>IF(ISBLANK('Credit Instruction Record'!N65),"",'Credit Instruction Record'!N65)</f>
        <v/>
      </c>
      <c r="O32" t="str">
        <f>IF(ISBLANK('Credit Instruction Record'!O65),"",'Credit Instruction Record'!O65)</f>
        <v/>
      </c>
      <c r="P32" s="67" t="b">
        <f t="shared" si="0"/>
        <v>1</v>
      </c>
    </row>
    <row r="33" spans="4:16">
      <c r="D33" s="39">
        <v>32</v>
      </c>
      <c r="E33" t="str">
        <f>IF(ISBLANK('Credit Instruction Record'!A67),"",'Credit Instruction Record'!A67)</f>
        <v/>
      </c>
      <c r="F33" t="str">
        <f>IF(ISBLANK('Credit Instruction Record'!B67),"",'Credit Instruction Record'!B67)</f>
        <v/>
      </c>
      <c r="G33" t="str">
        <f>IF(ISBLANK('Credit Instruction Record'!C67),"",'Credit Instruction Record'!C67)</f>
        <v>EUR</v>
      </c>
      <c r="H33" s="60" t="str">
        <f>IF(ISBLANK('Credit Instruction Record'!D67),"",'Credit Instruction Record'!D67)</f>
        <v/>
      </c>
      <c r="I33" t="str">
        <f>IF(ISBLANK('Credit Instruction Record'!E67),"",'Credit Instruction Record'!E67)</f>
        <v/>
      </c>
      <c r="J33" t="str">
        <f>IF(ISBLANK('Credit Instruction Record'!F67),"",'Credit Instruction Record'!F67)</f>
        <v/>
      </c>
      <c r="K33" t="str">
        <f>IF(ISBLANK('Credit Instruction Record'!G67),"",'Credit Instruction Record'!G67)</f>
        <v/>
      </c>
      <c r="L33" t="str">
        <f>IF(ISBLANK('Credit Instruction Record'!H67),"",'Credit Instruction Record'!H67)</f>
        <v/>
      </c>
      <c r="M33" t="str">
        <f>IF(ISBLANK('Credit Instruction Record'!M67),"",'Credit Instruction Record'!M67)</f>
        <v/>
      </c>
      <c r="N33" t="str">
        <f>IF(ISBLANK('Credit Instruction Record'!N67),"",'Credit Instruction Record'!N67)</f>
        <v/>
      </c>
      <c r="O33" t="str">
        <f>IF(ISBLANK('Credit Instruction Record'!O67),"",'Credit Instruction Record'!O67)</f>
        <v/>
      </c>
      <c r="P33" s="67" t="b">
        <f t="shared" si="0"/>
        <v>1</v>
      </c>
    </row>
    <row r="34" spans="4:16">
      <c r="D34" s="39">
        <v>33</v>
      </c>
      <c r="E34" t="str">
        <f>IF(ISBLANK('Credit Instruction Record'!A69),"",'Credit Instruction Record'!A69)</f>
        <v/>
      </c>
      <c r="F34" t="str">
        <f>IF(ISBLANK('Credit Instruction Record'!B69),"",'Credit Instruction Record'!B69)</f>
        <v/>
      </c>
      <c r="G34" t="str">
        <f>IF(ISBLANK('Credit Instruction Record'!C69),"",'Credit Instruction Record'!C69)</f>
        <v>EUR</v>
      </c>
      <c r="H34" s="60" t="str">
        <f>IF(ISBLANK('Credit Instruction Record'!D69),"",'Credit Instruction Record'!D69)</f>
        <v/>
      </c>
      <c r="I34" t="str">
        <f>IF(ISBLANK('Credit Instruction Record'!E69),"",'Credit Instruction Record'!E69)</f>
        <v/>
      </c>
      <c r="J34" t="str">
        <f>IF(ISBLANK('Credit Instruction Record'!F69),"",'Credit Instruction Record'!F69)</f>
        <v/>
      </c>
      <c r="K34" t="str">
        <f>IF(ISBLANK('Credit Instruction Record'!G69),"",'Credit Instruction Record'!G69)</f>
        <v/>
      </c>
      <c r="L34" t="str">
        <f>IF(ISBLANK('Credit Instruction Record'!H69),"",'Credit Instruction Record'!H69)</f>
        <v/>
      </c>
      <c r="M34" t="str">
        <f>IF(ISBLANK('Credit Instruction Record'!M69),"",'Credit Instruction Record'!M69)</f>
        <v/>
      </c>
      <c r="N34" t="str">
        <f>IF(ISBLANK('Credit Instruction Record'!N69),"",'Credit Instruction Record'!N69)</f>
        <v/>
      </c>
      <c r="O34" t="str">
        <f>IF(ISBLANK('Credit Instruction Record'!O69),"",'Credit Instruction Record'!O69)</f>
        <v/>
      </c>
      <c r="P34" s="67" t="b">
        <f t="shared" ref="P34:P42" si="1">M34=""</f>
        <v>1</v>
      </c>
    </row>
    <row r="35" spans="4:16">
      <c r="D35" s="39">
        <v>34</v>
      </c>
      <c r="E35" t="str">
        <f>IF(ISBLANK('Credit Instruction Record'!A71),"",'Credit Instruction Record'!A71)</f>
        <v/>
      </c>
      <c r="F35" t="str">
        <f>IF(ISBLANK('Credit Instruction Record'!B71),"",'Credit Instruction Record'!B71)</f>
        <v/>
      </c>
      <c r="G35" t="str">
        <f>IF(ISBLANK('Credit Instruction Record'!C71),"",'Credit Instruction Record'!C71)</f>
        <v>EUR</v>
      </c>
      <c r="H35" s="60" t="str">
        <f>IF(ISBLANK('Credit Instruction Record'!D71),"",'Credit Instruction Record'!D71)</f>
        <v/>
      </c>
      <c r="I35" t="str">
        <f>IF(ISBLANK('Credit Instruction Record'!E71),"",'Credit Instruction Record'!E71)</f>
        <v/>
      </c>
      <c r="J35" t="str">
        <f>IF(ISBLANK('Credit Instruction Record'!F71),"",'Credit Instruction Record'!F71)</f>
        <v/>
      </c>
      <c r="K35" t="str">
        <f>IF(ISBLANK('Credit Instruction Record'!G71),"",'Credit Instruction Record'!G71)</f>
        <v/>
      </c>
      <c r="L35" t="str">
        <f>IF(ISBLANK('Credit Instruction Record'!H71),"",'Credit Instruction Record'!H71)</f>
        <v/>
      </c>
      <c r="M35" t="str">
        <f>IF(ISBLANK('Credit Instruction Record'!M71),"",'Credit Instruction Record'!M71)</f>
        <v/>
      </c>
      <c r="N35" t="str">
        <f>IF(ISBLANK('Credit Instruction Record'!N71),"",'Credit Instruction Record'!N71)</f>
        <v/>
      </c>
      <c r="O35" t="str">
        <f>IF(ISBLANK('Credit Instruction Record'!O71),"",'Credit Instruction Record'!O71)</f>
        <v/>
      </c>
      <c r="P35" s="67" t="b">
        <f t="shared" si="1"/>
        <v>1</v>
      </c>
    </row>
    <row r="36" spans="4:16">
      <c r="D36" s="39">
        <v>35</v>
      </c>
      <c r="E36" t="str">
        <f>IF(ISBLANK('Credit Instruction Record'!A73),"",'Credit Instruction Record'!A73)</f>
        <v/>
      </c>
      <c r="F36" t="str">
        <f>IF(ISBLANK('Credit Instruction Record'!B73),"",'Credit Instruction Record'!B73)</f>
        <v/>
      </c>
      <c r="G36" t="str">
        <f>IF(ISBLANK('Credit Instruction Record'!C73),"",'Credit Instruction Record'!C73)</f>
        <v>EUR</v>
      </c>
      <c r="H36" s="60" t="str">
        <f>IF(ISBLANK('Credit Instruction Record'!D73),"",'Credit Instruction Record'!D73)</f>
        <v/>
      </c>
      <c r="I36" t="str">
        <f>IF(ISBLANK('Credit Instruction Record'!E73),"",'Credit Instruction Record'!E73)</f>
        <v/>
      </c>
      <c r="J36" t="str">
        <f>IF(ISBLANK('Credit Instruction Record'!F73),"",'Credit Instruction Record'!F73)</f>
        <v/>
      </c>
      <c r="K36" t="str">
        <f>IF(ISBLANK('Credit Instruction Record'!G73),"",'Credit Instruction Record'!G73)</f>
        <v/>
      </c>
      <c r="L36" t="str">
        <f>IF(ISBLANK('Credit Instruction Record'!H73),"",'Credit Instruction Record'!H73)</f>
        <v/>
      </c>
      <c r="M36" t="str">
        <f>IF(ISBLANK('Credit Instruction Record'!M73),"",'Credit Instruction Record'!M73)</f>
        <v/>
      </c>
      <c r="N36" t="str">
        <f>IF(ISBLANK('Credit Instruction Record'!N73),"",'Credit Instruction Record'!N73)</f>
        <v/>
      </c>
      <c r="O36" t="str">
        <f>IF(ISBLANK('Credit Instruction Record'!O73),"",'Credit Instruction Record'!O73)</f>
        <v/>
      </c>
      <c r="P36" s="67" t="b">
        <f t="shared" si="1"/>
        <v>1</v>
      </c>
    </row>
    <row r="37" spans="4:16">
      <c r="D37" s="39">
        <v>36</v>
      </c>
      <c r="E37" t="str">
        <f>IF(ISBLANK('Credit Instruction Record'!A75),"",'Credit Instruction Record'!A75)</f>
        <v/>
      </c>
      <c r="F37" t="str">
        <f>IF(ISBLANK('Credit Instruction Record'!B75),"",'Credit Instruction Record'!B75)</f>
        <v/>
      </c>
      <c r="G37" t="str">
        <f>IF(ISBLANK('Credit Instruction Record'!C75),"",'Credit Instruction Record'!C75)</f>
        <v>EUR</v>
      </c>
      <c r="H37" s="60" t="str">
        <f>IF(ISBLANK('Credit Instruction Record'!D75),"",'Credit Instruction Record'!D75)</f>
        <v/>
      </c>
      <c r="I37" t="str">
        <f>IF(ISBLANK('Credit Instruction Record'!E75),"",'Credit Instruction Record'!E75)</f>
        <v/>
      </c>
      <c r="J37" t="str">
        <f>IF(ISBLANK('Credit Instruction Record'!F75),"",'Credit Instruction Record'!F75)</f>
        <v/>
      </c>
      <c r="K37" t="str">
        <f>IF(ISBLANK('Credit Instruction Record'!G75),"",'Credit Instruction Record'!G75)</f>
        <v/>
      </c>
      <c r="L37" t="str">
        <f>IF(ISBLANK('Credit Instruction Record'!H75),"",'Credit Instruction Record'!H75)</f>
        <v/>
      </c>
      <c r="M37" t="str">
        <f>IF(ISBLANK('Credit Instruction Record'!M75),"",'Credit Instruction Record'!M75)</f>
        <v/>
      </c>
      <c r="N37" t="str">
        <f>IF(ISBLANK('Credit Instruction Record'!N75),"",'Credit Instruction Record'!N75)</f>
        <v/>
      </c>
      <c r="O37" t="str">
        <f>IF(ISBLANK('Credit Instruction Record'!O75),"",'Credit Instruction Record'!O75)</f>
        <v/>
      </c>
      <c r="P37" s="67" t="b">
        <f t="shared" si="1"/>
        <v>1</v>
      </c>
    </row>
    <row r="38" spans="4:16">
      <c r="D38" s="39">
        <v>37</v>
      </c>
      <c r="E38" t="str">
        <f>IF(ISBLANK('Credit Instruction Record'!A77),"",'Credit Instruction Record'!A77)</f>
        <v/>
      </c>
      <c r="F38" t="str">
        <f>IF(ISBLANK('Credit Instruction Record'!B77),"",'Credit Instruction Record'!B77)</f>
        <v/>
      </c>
      <c r="G38" t="str">
        <f>IF(ISBLANK('Credit Instruction Record'!C77),"",'Credit Instruction Record'!C77)</f>
        <v>EUR</v>
      </c>
      <c r="H38" s="60" t="str">
        <f>IF(ISBLANK('Credit Instruction Record'!D77),"",'Credit Instruction Record'!D77)</f>
        <v/>
      </c>
      <c r="I38" t="str">
        <f>IF(ISBLANK('Credit Instruction Record'!E77),"",'Credit Instruction Record'!E77)</f>
        <v/>
      </c>
      <c r="J38" t="str">
        <f>IF(ISBLANK('Credit Instruction Record'!F77),"",'Credit Instruction Record'!F77)</f>
        <v/>
      </c>
      <c r="K38" t="str">
        <f>IF(ISBLANK('Credit Instruction Record'!G77),"",'Credit Instruction Record'!G77)</f>
        <v/>
      </c>
      <c r="L38" t="str">
        <f>IF(ISBLANK('Credit Instruction Record'!H77),"",'Credit Instruction Record'!H77)</f>
        <v/>
      </c>
      <c r="M38" t="str">
        <f>IF(ISBLANK('Credit Instruction Record'!M77),"",'Credit Instruction Record'!M77)</f>
        <v/>
      </c>
      <c r="N38" t="str">
        <f>IF(ISBLANK('Credit Instruction Record'!N77),"",'Credit Instruction Record'!N77)</f>
        <v/>
      </c>
      <c r="O38" t="str">
        <f>IF(ISBLANK('Credit Instruction Record'!O77),"",'Credit Instruction Record'!O77)</f>
        <v/>
      </c>
      <c r="P38" s="67" t="b">
        <f t="shared" si="1"/>
        <v>1</v>
      </c>
    </row>
    <row r="39" spans="4:16">
      <c r="D39" s="39">
        <v>38</v>
      </c>
      <c r="E39" t="str">
        <f>IF(ISBLANK('Credit Instruction Record'!A79),"",'Credit Instruction Record'!A79)</f>
        <v/>
      </c>
      <c r="F39" t="str">
        <f>IF(ISBLANK('Credit Instruction Record'!B79),"",'Credit Instruction Record'!B79)</f>
        <v/>
      </c>
      <c r="G39" t="str">
        <f>IF(ISBLANK('Credit Instruction Record'!C79),"",'Credit Instruction Record'!C79)</f>
        <v>EUR</v>
      </c>
      <c r="H39" s="60" t="str">
        <f>IF(ISBLANK('Credit Instruction Record'!D79),"",'Credit Instruction Record'!D79)</f>
        <v/>
      </c>
      <c r="I39" t="str">
        <f>IF(ISBLANK('Credit Instruction Record'!E79),"",'Credit Instruction Record'!E79)</f>
        <v/>
      </c>
      <c r="J39" t="str">
        <f>IF(ISBLANK('Credit Instruction Record'!F79),"",'Credit Instruction Record'!F79)</f>
        <v/>
      </c>
      <c r="K39" t="str">
        <f>IF(ISBLANK('Credit Instruction Record'!G79),"",'Credit Instruction Record'!G79)</f>
        <v/>
      </c>
      <c r="L39" t="str">
        <f>IF(ISBLANK('Credit Instruction Record'!H79),"",'Credit Instruction Record'!H79)</f>
        <v/>
      </c>
      <c r="M39" t="str">
        <f>IF(ISBLANK('Credit Instruction Record'!M79),"",'Credit Instruction Record'!M79)</f>
        <v/>
      </c>
      <c r="N39" t="str">
        <f>IF(ISBLANK('Credit Instruction Record'!N79),"",'Credit Instruction Record'!N79)</f>
        <v/>
      </c>
      <c r="O39" t="str">
        <f>IF(ISBLANK('Credit Instruction Record'!O79),"",'Credit Instruction Record'!O79)</f>
        <v/>
      </c>
      <c r="P39" s="67" t="b">
        <f t="shared" si="1"/>
        <v>1</v>
      </c>
    </row>
    <row r="40" spans="4:16">
      <c r="D40" s="39">
        <v>39</v>
      </c>
      <c r="E40" t="str">
        <f>IF(ISBLANK('Credit Instruction Record'!A81),"",'Credit Instruction Record'!A81)</f>
        <v/>
      </c>
      <c r="F40" t="str">
        <f>IF(ISBLANK('Credit Instruction Record'!B81),"",'Credit Instruction Record'!B81)</f>
        <v/>
      </c>
      <c r="G40" t="str">
        <f>IF(ISBLANK('Credit Instruction Record'!C81),"",'Credit Instruction Record'!C81)</f>
        <v>EUR</v>
      </c>
      <c r="H40" s="60" t="str">
        <f>IF(ISBLANK('Credit Instruction Record'!D81),"",'Credit Instruction Record'!D81)</f>
        <v/>
      </c>
      <c r="I40" t="str">
        <f>IF(ISBLANK('Credit Instruction Record'!E81),"",'Credit Instruction Record'!E81)</f>
        <v/>
      </c>
      <c r="J40" t="str">
        <f>IF(ISBLANK('Credit Instruction Record'!F81),"",'Credit Instruction Record'!F81)</f>
        <v/>
      </c>
      <c r="K40" t="str">
        <f>IF(ISBLANK('Credit Instruction Record'!G81),"",'Credit Instruction Record'!G81)</f>
        <v/>
      </c>
      <c r="L40" t="str">
        <f>IF(ISBLANK('Credit Instruction Record'!H81),"",'Credit Instruction Record'!H81)</f>
        <v/>
      </c>
      <c r="M40" t="str">
        <f>IF(ISBLANK('Credit Instruction Record'!M81),"",'Credit Instruction Record'!M81)</f>
        <v/>
      </c>
      <c r="N40" t="str">
        <f>IF(ISBLANK('Credit Instruction Record'!N81),"",'Credit Instruction Record'!N81)</f>
        <v/>
      </c>
      <c r="O40" t="str">
        <f>IF(ISBLANK('Credit Instruction Record'!O81),"",'Credit Instruction Record'!O81)</f>
        <v/>
      </c>
      <c r="P40" s="67" t="b">
        <f t="shared" si="1"/>
        <v>1</v>
      </c>
    </row>
    <row r="41" spans="4:16">
      <c r="D41" s="39">
        <v>40</v>
      </c>
      <c r="E41" t="str">
        <f>IF(ISBLANK('Credit Instruction Record'!A83),"",'Credit Instruction Record'!A83)</f>
        <v/>
      </c>
      <c r="F41" t="str">
        <f>IF(ISBLANK('Credit Instruction Record'!B83),"",'Credit Instruction Record'!B83)</f>
        <v/>
      </c>
      <c r="G41" t="str">
        <f>IF(ISBLANK('Credit Instruction Record'!C83),"",'Credit Instruction Record'!C83)</f>
        <v>EUR</v>
      </c>
      <c r="H41" s="60" t="str">
        <f>IF(ISBLANK('Credit Instruction Record'!D83),"",'Credit Instruction Record'!D83)</f>
        <v/>
      </c>
      <c r="I41" t="str">
        <f>IF(ISBLANK('Credit Instruction Record'!E83),"",'Credit Instruction Record'!E83)</f>
        <v/>
      </c>
      <c r="J41" t="str">
        <f>IF(ISBLANK('Credit Instruction Record'!F83),"",'Credit Instruction Record'!F83)</f>
        <v/>
      </c>
      <c r="K41" t="str">
        <f>IF(ISBLANK('Credit Instruction Record'!G83),"",'Credit Instruction Record'!G83)</f>
        <v/>
      </c>
      <c r="L41" t="str">
        <f>IF(ISBLANK('Credit Instruction Record'!H83),"",'Credit Instruction Record'!H83)</f>
        <v/>
      </c>
      <c r="M41" t="str">
        <f>IF(ISBLANK('Credit Instruction Record'!M83),"",'Credit Instruction Record'!M83)</f>
        <v/>
      </c>
      <c r="N41" t="str">
        <f>IF(ISBLANK('Credit Instruction Record'!N83),"",'Credit Instruction Record'!N83)</f>
        <v/>
      </c>
      <c r="O41" t="str">
        <f>IF(ISBLANK('Credit Instruction Record'!O83),"",'Credit Instruction Record'!O83)</f>
        <v/>
      </c>
      <c r="P41" s="67" t="b">
        <f t="shared" si="1"/>
        <v>1</v>
      </c>
    </row>
    <row r="42" spans="4:16">
      <c r="D42" s="39">
        <v>41</v>
      </c>
      <c r="E42" t="str">
        <f>IF(ISBLANK('Credit Instruction Record'!A85),"",'Credit Instruction Record'!A85)</f>
        <v/>
      </c>
      <c r="F42" t="str">
        <f>IF(ISBLANK('Credit Instruction Record'!B85),"",'Credit Instruction Record'!B85)</f>
        <v/>
      </c>
      <c r="G42" t="str">
        <f>IF(ISBLANK('Credit Instruction Record'!C85),"",'Credit Instruction Record'!C85)</f>
        <v>EUR</v>
      </c>
      <c r="H42" s="60" t="str">
        <f>IF(ISBLANK('Credit Instruction Record'!D85),"",'Credit Instruction Record'!D85)</f>
        <v/>
      </c>
      <c r="I42" t="str">
        <f>IF(ISBLANK('Credit Instruction Record'!E85),"",'Credit Instruction Record'!E85)</f>
        <v/>
      </c>
      <c r="J42" t="str">
        <f>IF(ISBLANK('Credit Instruction Record'!F85),"",'Credit Instruction Record'!F85)</f>
        <v/>
      </c>
      <c r="K42" t="str">
        <f>IF(ISBLANK('Credit Instruction Record'!G85),"",'Credit Instruction Record'!G85)</f>
        <v/>
      </c>
      <c r="L42" t="str">
        <f>IF(ISBLANK('Credit Instruction Record'!H85),"",'Credit Instruction Record'!H85)</f>
        <v/>
      </c>
      <c r="M42" t="str">
        <f>IF(ISBLANK('Credit Instruction Record'!M85),"",'Credit Instruction Record'!M85)</f>
        <v/>
      </c>
      <c r="N42" t="str">
        <f>IF(ISBLANK('Credit Instruction Record'!N85),"",'Credit Instruction Record'!N85)</f>
        <v/>
      </c>
      <c r="O42" t="str">
        <f>IF(ISBLANK('Credit Instruction Record'!O85),"",'Credit Instruction Record'!O85)</f>
        <v/>
      </c>
      <c r="P42" s="67" t="b">
        <f t="shared" si="1"/>
        <v>1</v>
      </c>
    </row>
    <row r="43" spans="4:16">
      <c r="D43" s="39">
        <v>42</v>
      </c>
      <c r="E43" t="str">
        <f>IF(ISBLANK('Credit Instruction Record'!A87),"",'Credit Instruction Record'!A87)</f>
        <v/>
      </c>
      <c r="F43" t="str">
        <f>IF(ISBLANK('Credit Instruction Record'!B87),"",'Credit Instruction Record'!B87)</f>
        <v/>
      </c>
      <c r="G43" t="str">
        <f>IF(ISBLANK('Credit Instruction Record'!C87),"",'Credit Instruction Record'!C87)</f>
        <v>EUR</v>
      </c>
      <c r="H43" s="60" t="str">
        <f>IF(ISBLANK('Credit Instruction Record'!D87),"",'Credit Instruction Record'!D87)</f>
        <v/>
      </c>
      <c r="I43" t="str">
        <f>IF(ISBLANK('Credit Instruction Record'!E87),"",'Credit Instruction Record'!E87)</f>
        <v/>
      </c>
      <c r="J43" t="str">
        <f>IF(ISBLANK('Credit Instruction Record'!F87),"",'Credit Instruction Record'!F87)</f>
        <v/>
      </c>
      <c r="K43" t="str">
        <f>IF(ISBLANK('Credit Instruction Record'!G87),"",'Credit Instruction Record'!G87)</f>
        <v/>
      </c>
      <c r="L43" t="str">
        <f>IF(ISBLANK('Credit Instruction Record'!H87),"",'Credit Instruction Record'!H87)</f>
        <v/>
      </c>
      <c r="M43" t="str">
        <f>IF(ISBLANK('Credit Instruction Record'!M87),"",'Credit Instruction Record'!M87)</f>
        <v/>
      </c>
      <c r="N43" t="str">
        <f>IF(ISBLANK('Credit Instruction Record'!N87),"",'Credit Instruction Record'!N87)</f>
        <v/>
      </c>
      <c r="O43" t="str">
        <f>IF(ISBLANK('Credit Instruction Record'!O87),"",'Credit Instruction Record'!O87)</f>
        <v/>
      </c>
      <c r="P43" s="67" t="b">
        <f t="shared" ref="P43" si="2">M43=""</f>
        <v>1</v>
      </c>
    </row>
    <row r="44" spans="4:16">
      <c r="D44" s="39">
        <v>43</v>
      </c>
      <c r="E44" t="str">
        <f>IF(ISBLANK('Credit Instruction Record'!A89),"",'Credit Instruction Record'!A89)</f>
        <v/>
      </c>
      <c r="F44" t="str">
        <f>IF(ISBLANK('Credit Instruction Record'!B89),"",'Credit Instruction Record'!B89)</f>
        <v/>
      </c>
      <c r="G44" t="str">
        <f>IF(ISBLANK('Credit Instruction Record'!C89),"",'Credit Instruction Record'!C89)</f>
        <v>EUR</v>
      </c>
      <c r="H44" s="60" t="str">
        <f>IF(ISBLANK('Credit Instruction Record'!D89),"",'Credit Instruction Record'!D89)</f>
        <v/>
      </c>
      <c r="I44" t="str">
        <f>IF(ISBLANK('Credit Instruction Record'!E89),"",'Credit Instruction Record'!E89)</f>
        <v/>
      </c>
      <c r="J44" t="str">
        <f>IF(ISBLANK('Credit Instruction Record'!F89),"",'Credit Instruction Record'!F89)</f>
        <v/>
      </c>
      <c r="K44" t="str">
        <f>IF(ISBLANK('Credit Instruction Record'!G89),"",'Credit Instruction Record'!G89)</f>
        <v/>
      </c>
      <c r="L44" t="str">
        <f>IF(ISBLANK('Credit Instruction Record'!H89),"",'Credit Instruction Record'!H89)</f>
        <v/>
      </c>
      <c r="M44" t="str">
        <f>IF(ISBLANK('Credit Instruction Record'!M89),"",'Credit Instruction Record'!M89)</f>
        <v/>
      </c>
      <c r="N44" t="str">
        <f>IF(ISBLANK('Credit Instruction Record'!N89),"",'Credit Instruction Record'!N89)</f>
        <v/>
      </c>
      <c r="O44" t="str">
        <f>IF(ISBLANK('Credit Instruction Record'!O89),"",'Credit Instruction Record'!O89)</f>
        <v/>
      </c>
      <c r="P44" s="67" t="b">
        <f t="shared" ref="P44:P51" si="3">M44=""</f>
        <v>1</v>
      </c>
    </row>
    <row r="45" spans="4:16">
      <c r="D45" s="39">
        <v>44</v>
      </c>
      <c r="E45" t="str">
        <f>IF(ISBLANK('Credit Instruction Record'!A91),"",'Credit Instruction Record'!A91)</f>
        <v/>
      </c>
      <c r="F45" t="str">
        <f>IF(ISBLANK('Credit Instruction Record'!B91),"",'Credit Instruction Record'!B91)</f>
        <v/>
      </c>
      <c r="G45" t="str">
        <f>IF(ISBLANK('Credit Instruction Record'!C91),"",'Credit Instruction Record'!C91)</f>
        <v>EUR</v>
      </c>
      <c r="H45" s="60" t="str">
        <f>IF(ISBLANK('Credit Instruction Record'!D91),"",'Credit Instruction Record'!D91)</f>
        <v/>
      </c>
      <c r="I45" t="str">
        <f>IF(ISBLANK('Credit Instruction Record'!E91),"",'Credit Instruction Record'!E91)</f>
        <v/>
      </c>
      <c r="J45" t="str">
        <f>IF(ISBLANK('Credit Instruction Record'!F91),"",'Credit Instruction Record'!F91)</f>
        <v/>
      </c>
      <c r="K45" t="str">
        <f>IF(ISBLANK('Credit Instruction Record'!G91),"",'Credit Instruction Record'!G91)</f>
        <v/>
      </c>
      <c r="L45" t="str">
        <f>IF(ISBLANK('Credit Instruction Record'!H91),"",'Credit Instruction Record'!H91)</f>
        <v/>
      </c>
      <c r="M45" t="str">
        <f>IF(ISBLANK('Credit Instruction Record'!M91),"",'Credit Instruction Record'!M91)</f>
        <v/>
      </c>
      <c r="N45" t="str">
        <f>IF(ISBLANK('Credit Instruction Record'!N91),"",'Credit Instruction Record'!N91)</f>
        <v/>
      </c>
      <c r="O45" t="str">
        <f>IF(ISBLANK('Credit Instruction Record'!O91),"",'Credit Instruction Record'!O91)</f>
        <v/>
      </c>
      <c r="P45" s="67" t="b">
        <f t="shared" si="3"/>
        <v>1</v>
      </c>
    </row>
    <row r="46" spans="4:16">
      <c r="D46" s="39">
        <v>45</v>
      </c>
      <c r="E46" t="str">
        <f>IF(ISBLANK('Credit Instruction Record'!A93),"",'Credit Instruction Record'!A93)</f>
        <v/>
      </c>
      <c r="F46" t="str">
        <f>IF(ISBLANK('Credit Instruction Record'!B93),"",'Credit Instruction Record'!B93)</f>
        <v/>
      </c>
      <c r="G46" t="str">
        <f>IF(ISBLANK('Credit Instruction Record'!C93),"",'Credit Instruction Record'!C93)</f>
        <v>EUR</v>
      </c>
      <c r="H46" s="60" t="str">
        <f>IF(ISBLANK('Credit Instruction Record'!D93),"",'Credit Instruction Record'!D93)</f>
        <v/>
      </c>
      <c r="I46" t="str">
        <f>IF(ISBLANK('Credit Instruction Record'!E93),"",'Credit Instruction Record'!E93)</f>
        <v/>
      </c>
      <c r="J46" t="str">
        <f>IF(ISBLANK('Credit Instruction Record'!F93),"",'Credit Instruction Record'!F93)</f>
        <v/>
      </c>
      <c r="K46" t="str">
        <f>IF(ISBLANK('Credit Instruction Record'!G93),"",'Credit Instruction Record'!G93)</f>
        <v/>
      </c>
      <c r="L46" t="str">
        <f>IF(ISBLANK('Credit Instruction Record'!H93),"",'Credit Instruction Record'!H93)</f>
        <v/>
      </c>
      <c r="M46" t="str">
        <f>IF(ISBLANK('Credit Instruction Record'!M93),"",'Credit Instruction Record'!M93)</f>
        <v/>
      </c>
      <c r="N46" t="str">
        <f>IF(ISBLANK('Credit Instruction Record'!N93),"",'Credit Instruction Record'!N93)</f>
        <v/>
      </c>
      <c r="O46" t="str">
        <f>IF(ISBLANK('Credit Instruction Record'!O93),"",'Credit Instruction Record'!O93)</f>
        <v/>
      </c>
      <c r="P46" s="67" t="b">
        <f t="shared" si="3"/>
        <v>1</v>
      </c>
    </row>
    <row r="47" spans="4:16">
      <c r="D47" s="39">
        <v>46</v>
      </c>
      <c r="E47" t="str">
        <f>IF(ISBLANK('Credit Instruction Record'!A95),"",'Credit Instruction Record'!A95)</f>
        <v/>
      </c>
      <c r="F47" t="str">
        <f>IF(ISBLANK('Credit Instruction Record'!B95),"",'Credit Instruction Record'!B95)</f>
        <v/>
      </c>
      <c r="G47" t="str">
        <f>IF(ISBLANK('Credit Instruction Record'!C95),"",'Credit Instruction Record'!C95)</f>
        <v>EUR</v>
      </c>
      <c r="H47" s="60" t="str">
        <f>IF(ISBLANK('Credit Instruction Record'!D95),"",'Credit Instruction Record'!D95)</f>
        <v/>
      </c>
      <c r="I47" t="str">
        <f>IF(ISBLANK('Credit Instruction Record'!E95),"",'Credit Instruction Record'!E95)</f>
        <v/>
      </c>
      <c r="J47" t="str">
        <f>IF(ISBLANK('Credit Instruction Record'!F95),"",'Credit Instruction Record'!F95)</f>
        <v/>
      </c>
      <c r="K47" t="str">
        <f>IF(ISBLANK('Credit Instruction Record'!G95),"",'Credit Instruction Record'!G95)</f>
        <v/>
      </c>
      <c r="L47" t="str">
        <f>IF(ISBLANK('Credit Instruction Record'!H95),"",'Credit Instruction Record'!H95)</f>
        <v/>
      </c>
      <c r="M47" t="str">
        <f>IF(ISBLANK('Credit Instruction Record'!M95),"",'Credit Instruction Record'!M95)</f>
        <v/>
      </c>
      <c r="N47" t="str">
        <f>IF(ISBLANK('Credit Instruction Record'!N95),"",'Credit Instruction Record'!N95)</f>
        <v/>
      </c>
      <c r="O47" t="str">
        <f>IF(ISBLANK('Credit Instruction Record'!O95),"",'Credit Instruction Record'!O95)</f>
        <v/>
      </c>
      <c r="P47" s="67" t="b">
        <f t="shared" si="3"/>
        <v>1</v>
      </c>
    </row>
    <row r="48" spans="4:16">
      <c r="D48" s="39">
        <v>47</v>
      </c>
      <c r="E48" t="str">
        <f>IF(ISBLANK('Credit Instruction Record'!A97),"",'Credit Instruction Record'!A97)</f>
        <v/>
      </c>
      <c r="F48" t="str">
        <f>IF(ISBLANK('Credit Instruction Record'!B97),"",'Credit Instruction Record'!B97)</f>
        <v/>
      </c>
      <c r="G48" t="str">
        <f>IF(ISBLANK('Credit Instruction Record'!C97),"",'Credit Instruction Record'!C97)</f>
        <v>EUR</v>
      </c>
      <c r="H48" s="60" t="str">
        <f>IF(ISBLANK('Credit Instruction Record'!D97),"",'Credit Instruction Record'!D97)</f>
        <v/>
      </c>
      <c r="I48" t="str">
        <f>IF(ISBLANK('Credit Instruction Record'!E97),"",'Credit Instruction Record'!E97)</f>
        <v/>
      </c>
      <c r="J48" t="str">
        <f>IF(ISBLANK('Credit Instruction Record'!F97),"",'Credit Instruction Record'!F97)</f>
        <v/>
      </c>
      <c r="K48" t="str">
        <f>IF(ISBLANK('Credit Instruction Record'!G97),"",'Credit Instruction Record'!G97)</f>
        <v/>
      </c>
      <c r="L48" t="str">
        <f>IF(ISBLANK('Credit Instruction Record'!H97),"",'Credit Instruction Record'!H97)</f>
        <v/>
      </c>
      <c r="M48" t="str">
        <f>IF(ISBLANK('Credit Instruction Record'!M97),"",'Credit Instruction Record'!M97)</f>
        <v/>
      </c>
      <c r="N48" t="str">
        <f>IF(ISBLANK('Credit Instruction Record'!N97),"",'Credit Instruction Record'!N97)</f>
        <v/>
      </c>
      <c r="O48" t="str">
        <f>IF(ISBLANK('Credit Instruction Record'!O97),"",'Credit Instruction Record'!O97)</f>
        <v/>
      </c>
      <c r="P48" s="67" t="b">
        <f t="shared" si="3"/>
        <v>1</v>
      </c>
    </row>
    <row r="49" spans="4:16">
      <c r="D49" s="39">
        <v>48</v>
      </c>
      <c r="E49" t="str">
        <f>IF(ISBLANK('Credit Instruction Record'!A99),"",'Credit Instruction Record'!A99)</f>
        <v/>
      </c>
      <c r="F49" t="str">
        <f>IF(ISBLANK('Credit Instruction Record'!B99),"",'Credit Instruction Record'!B99)</f>
        <v/>
      </c>
      <c r="G49" t="str">
        <f>IF(ISBLANK('Credit Instruction Record'!C99),"",'Credit Instruction Record'!C99)</f>
        <v>EUR</v>
      </c>
      <c r="H49" s="60" t="str">
        <f>IF(ISBLANK('Credit Instruction Record'!D99),"",'Credit Instruction Record'!D99)</f>
        <v/>
      </c>
      <c r="I49" t="str">
        <f>IF(ISBLANK('Credit Instruction Record'!E99),"",'Credit Instruction Record'!E99)</f>
        <v/>
      </c>
      <c r="J49" t="str">
        <f>IF(ISBLANK('Credit Instruction Record'!F99),"",'Credit Instruction Record'!F99)</f>
        <v/>
      </c>
      <c r="K49" t="str">
        <f>IF(ISBLANK('Credit Instruction Record'!G99),"",'Credit Instruction Record'!G99)</f>
        <v/>
      </c>
      <c r="L49" t="str">
        <f>IF(ISBLANK('Credit Instruction Record'!H99),"",'Credit Instruction Record'!H99)</f>
        <v/>
      </c>
      <c r="M49" t="str">
        <f>IF(ISBLANK('Credit Instruction Record'!M99),"",'Credit Instruction Record'!M99)</f>
        <v/>
      </c>
      <c r="N49" t="str">
        <f>IF(ISBLANK('Credit Instruction Record'!N99),"",'Credit Instruction Record'!N99)</f>
        <v/>
      </c>
      <c r="O49" t="str">
        <f>IF(ISBLANK('Credit Instruction Record'!O99),"",'Credit Instruction Record'!O99)</f>
        <v/>
      </c>
      <c r="P49" s="67" t="b">
        <f t="shared" si="3"/>
        <v>1</v>
      </c>
    </row>
    <row r="50" spans="4:16">
      <c r="D50" s="39">
        <v>49</v>
      </c>
      <c r="E50" t="str">
        <f>IF(ISBLANK('Credit Instruction Record'!A101),"",'Credit Instruction Record'!A101)</f>
        <v/>
      </c>
      <c r="F50" t="str">
        <f>IF(ISBLANK('Credit Instruction Record'!B101),"",'Credit Instruction Record'!B101)</f>
        <v/>
      </c>
      <c r="G50" t="str">
        <f>IF(ISBLANK('Credit Instruction Record'!C101),"",'Credit Instruction Record'!C101)</f>
        <v>EUR</v>
      </c>
      <c r="H50" s="60" t="str">
        <f>IF(ISBLANK('Credit Instruction Record'!D101),"",'Credit Instruction Record'!D101)</f>
        <v/>
      </c>
      <c r="I50" t="str">
        <f>IF(ISBLANK('Credit Instruction Record'!E101),"",'Credit Instruction Record'!E101)</f>
        <v/>
      </c>
      <c r="J50" t="str">
        <f>IF(ISBLANK('Credit Instruction Record'!F101),"",'Credit Instruction Record'!F101)</f>
        <v/>
      </c>
      <c r="K50" t="str">
        <f>IF(ISBLANK('Credit Instruction Record'!G101),"",'Credit Instruction Record'!G101)</f>
        <v/>
      </c>
      <c r="L50" t="str">
        <f>IF(ISBLANK('Credit Instruction Record'!H101),"",'Credit Instruction Record'!H101)</f>
        <v/>
      </c>
      <c r="M50" t="str">
        <f>IF(ISBLANK('Credit Instruction Record'!M101),"",'Credit Instruction Record'!M101)</f>
        <v/>
      </c>
      <c r="N50" t="str">
        <f>IF(ISBLANK('Credit Instruction Record'!N101),"",'Credit Instruction Record'!N101)</f>
        <v/>
      </c>
      <c r="O50" t="str">
        <f>IF(ISBLANK('Credit Instruction Record'!O101),"",'Credit Instruction Record'!O101)</f>
        <v/>
      </c>
      <c r="P50" s="67" t="b">
        <f t="shared" si="3"/>
        <v>1</v>
      </c>
    </row>
    <row r="51" spans="4:16">
      <c r="D51" s="39">
        <v>50</v>
      </c>
      <c r="E51" t="str">
        <f>IF(ISBLANK('Credit Instruction Record'!A103),"",'Credit Instruction Record'!A103)</f>
        <v/>
      </c>
      <c r="F51" t="str">
        <f>IF(ISBLANK('Credit Instruction Record'!B103),"",'Credit Instruction Record'!B103)</f>
        <v/>
      </c>
      <c r="G51" t="str">
        <f>IF(ISBLANK('Credit Instruction Record'!C103),"",'Credit Instruction Record'!C103)</f>
        <v>EUR</v>
      </c>
      <c r="H51" s="60" t="str">
        <f>IF(ISBLANK('Credit Instruction Record'!D103),"",'Credit Instruction Record'!D103)</f>
        <v/>
      </c>
      <c r="I51" t="str">
        <f>IF(ISBLANK('Credit Instruction Record'!E103),"",'Credit Instruction Record'!E103)</f>
        <v/>
      </c>
      <c r="J51" t="str">
        <f>IF(ISBLANK('Credit Instruction Record'!F103),"",'Credit Instruction Record'!F103)</f>
        <v/>
      </c>
      <c r="K51" t="str">
        <f>IF(ISBLANK('Credit Instruction Record'!G103),"",'Credit Instruction Record'!G103)</f>
        <v/>
      </c>
      <c r="L51" t="str">
        <f>IF(ISBLANK('Credit Instruction Record'!H103),"",'Credit Instruction Record'!H103)</f>
        <v/>
      </c>
      <c r="M51" t="str">
        <f>IF(ISBLANK('Credit Instruction Record'!M103),"",'Credit Instruction Record'!M103)</f>
        <v/>
      </c>
      <c r="N51" t="str">
        <f>IF(ISBLANK('Credit Instruction Record'!N103),"",'Credit Instruction Record'!N103)</f>
        <v/>
      </c>
      <c r="O51" t="str">
        <f>IF(ISBLANK('Credit Instruction Record'!O103),"",'Credit Instruction Record'!O103)</f>
        <v/>
      </c>
      <c r="P51" s="67" t="b">
        <f t="shared" si="3"/>
        <v>1</v>
      </c>
    </row>
    <row r="52" spans="4:16" ht="15.75" thickBot="1">
      <c r="D52" s="40">
        <v>51</v>
      </c>
      <c r="E52" s="41" t="str">
        <f>IF(ISBLANK('Credit Instruction Record'!A105),"",'Credit Instruction Record'!A105)</f>
        <v/>
      </c>
      <c r="F52" s="41" t="str">
        <f>IF(ISBLANK('Credit Instruction Record'!B105),"",'Credit Instruction Record'!B105)</f>
        <v/>
      </c>
      <c r="G52" s="41" t="str">
        <f>IF(ISBLANK('Credit Instruction Record'!C105),"",'Credit Instruction Record'!C105)</f>
        <v>EUR</v>
      </c>
      <c r="H52" s="68" t="str">
        <f>IF(ISBLANK('Credit Instruction Record'!D105),"",'Credit Instruction Record'!D105)</f>
        <v/>
      </c>
      <c r="I52" s="41" t="str">
        <f>IF(ISBLANK('Credit Instruction Record'!E105),"",'Credit Instruction Record'!E105)</f>
        <v/>
      </c>
      <c r="J52" s="41" t="str">
        <f>IF(ISBLANK('Credit Instruction Record'!F105),"",'Credit Instruction Record'!F105)</f>
        <v/>
      </c>
      <c r="K52" s="41" t="str">
        <f>IF(ISBLANK('Credit Instruction Record'!G105),"",'Credit Instruction Record'!G105)</f>
        <v/>
      </c>
      <c r="L52" s="41" t="str">
        <f>IF(ISBLANK('Credit Instruction Record'!H105),"",'Credit Instruction Record'!H105)</f>
        <v/>
      </c>
      <c r="M52" s="41" t="str">
        <f>IF(ISBLANK('Credit Instruction Record'!M105),"",'Credit Instruction Record'!M105)</f>
        <v/>
      </c>
      <c r="N52" s="41" t="str">
        <f>IF(ISBLANK('Credit Instruction Record'!N105),"",'Credit Instruction Record'!N105)</f>
        <v/>
      </c>
      <c r="O52" s="41" t="str">
        <f>IF(ISBLANK('Credit Instruction Record'!O105),"",'Credit Instruction Record'!O105)</f>
        <v/>
      </c>
      <c r="P52" s="50" t="b">
        <f t="shared" ref="P52" si="4">M52=""</f>
        <v>1</v>
      </c>
    </row>
  </sheetData>
  <sheetProtection algorithmName="SHA-512" hashValue="A3gjis5sAvoUNXdfzOSWXW8DqxKKaATxtg1cow/U2f9O3+1JpHImXFtQUnSbpa90722SIznFXu0If+epBn0Blg==" saltValue="2RIqItMqZ9eUDGbyuonSVw=="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D84"/>
  <sheetViews>
    <sheetView workbookViewId="0">
      <selection activeCell="B2" sqref="B2"/>
    </sheetView>
  </sheetViews>
  <sheetFormatPr defaultRowHeight="15"/>
  <cols>
    <col min="1" max="1" width="25.28515625" style="54" bestFit="1" customWidth="1"/>
    <col min="2" max="2" width="12" style="54" bestFit="1" customWidth="1"/>
    <col min="3" max="3" width="38.28515625" style="54" bestFit="1" customWidth="1"/>
    <col min="4" max="4" width="34.7109375" style="54" bestFit="1" customWidth="1"/>
    <col min="5" max="9" width="18.5703125" style="54" customWidth="1"/>
    <col min="10" max="10" width="35.28515625" style="54" bestFit="1" customWidth="1"/>
    <col min="11" max="11" width="18.42578125" style="54" bestFit="1" customWidth="1"/>
    <col min="12" max="12" width="1.140625" style="54" customWidth="1"/>
    <col min="13" max="18" width="9.28515625"/>
    <col min="19" max="30" width="9.28515625" style="54"/>
  </cols>
  <sheetData>
    <row r="1" spans="1:30" s="58" customFormat="1" ht="31.5">
      <c r="A1" s="55" t="s">
        <v>100</v>
      </c>
      <c r="B1" s="55" t="s">
        <v>35</v>
      </c>
      <c r="C1" s="56" t="s">
        <v>10</v>
      </c>
      <c r="D1" s="59" t="s">
        <v>154</v>
      </c>
      <c r="E1" s="59" t="s">
        <v>155</v>
      </c>
      <c r="F1" s="59" t="s">
        <v>156</v>
      </c>
      <c r="G1" s="59" t="s">
        <v>157</v>
      </c>
      <c r="H1" s="59" t="s">
        <v>158</v>
      </c>
      <c r="I1" s="59" t="s">
        <v>159</v>
      </c>
      <c r="J1" s="55" t="s">
        <v>33</v>
      </c>
      <c r="K1" s="59" t="s">
        <v>101</v>
      </c>
      <c r="L1" s="57"/>
      <c r="S1" s="57"/>
      <c r="T1" s="57"/>
      <c r="U1" s="57"/>
      <c r="V1" s="57"/>
      <c r="W1" s="57"/>
      <c r="X1" s="57"/>
      <c r="Y1" s="57"/>
      <c r="Z1" s="57"/>
      <c r="AA1" s="57"/>
      <c r="AB1" s="57"/>
      <c r="AC1" s="57"/>
      <c r="AD1" s="57"/>
    </row>
    <row r="2" spans="1:30">
      <c r="A2" t="s">
        <v>117</v>
      </c>
      <c r="B2" t="s">
        <v>118</v>
      </c>
      <c r="C2" t="s">
        <v>119</v>
      </c>
      <c r="E2"/>
      <c r="F2"/>
      <c r="G2"/>
      <c r="H2" t="s">
        <v>161</v>
      </c>
      <c r="I2" t="s">
        <v>160</v>
      </c>
      <c r="J2" t="s">
        <v>121</v>
      </c>
      <c r="K2" s="65" t="s">
        <v>120</v>
      </c>
    </row>
    <row r="3" spans="1:30" ht="15.75" thickBot="1">
      <c r="A3"/>
      <c r="B3"/>
      <c r="C3"/>
      <c r="E3"/>
      <c r="F3"/>
      <c r="G3"/>
      <c r="H3"/>
      <c r="I3"/>
      <c r="J3"/>
      <c r="K3" s="65"/>
    </row>
    <row r="4" spans="1:30">
      <c r="A4"/>
      <c r="B4"/>
      <c r="C4"/>
      <c r="E4"/>
      <c r="F4"/>
      <c r="G4"/>
      <c r="H4"/>
      <c r="I4"/>
      <c r="J4"/>
      <c r="K4" s="65"/>
      <c r="M4" s="129" t="s">
        <v>112</v>
      </c>
      <c r="N4" s="130"/>
      <c r="O4" s="130"/>
      <c r="P4" s="130"/>
      <c r="Q4" s="131"/>
    </row>
    <row r="5" spans="1:30">
      <c r="A5"/>
      <c r="B5"/>
      <c r="C5"/>
      <c r="E5"/>
      <c r="F5"/>
      <c r="G5"/>
      <c r="H5"/>
      <c r="I5"/>
      <c r="J5"/>
      <c r="K5" s="65"/>
      <c r="M5" s="132"/>
      <c r="N5" s="133"/>
      <c r="O5" s="133"/>
      <c r="P5" s="133"/>
      <c r="Q5" s="134"/>
    </row>
    <row r="6" spans="1:30">
      <c r="A6"/>
      <c r="B6"/>
      <c r="C6"/>
      <c r="E6"/>
      <c r="F6"/>
      <c r="G6"/>
      <c r="H6"/>
      <c r="I6"/>
      <c r="J6"/>
      <c r="K6" s="65"/>
      <c r="M6" s="132"/>
      <c r="N6" s="133"/>
      <c r="O6" s="133"/>
      <c r="P6" s="133"/>
      <c r="Q6" s="134"/>
    </row>
    <row r="7" spans="1:30">
      <c r="A7"/>
      <c r="B7"/>
      <c r="C7"/>
      <c r="E7"/>
      <c r="F7"/>
      <c r="G7"/>
      <c r="H7"/>
      <c r="I7"/>
      <c r="J7"/>
      <c r="K7" s="65"/>
      <c r="M7" s="132"/>
      <c r="N7" s="133"/>
      <c r="O7" s="133"/>
      <c r="P7" s="133"/>
      <c r="Q7" s="134"/>
    </row>
    <row r="8" spans="1:30">
      <c r="A8"/>
      <c r="B8"/>
      <c r="C8"/>
      <c r="E8"/>
      <c r="F8"/>
      <c r="G8"/>
      <c r="H8"/>
      <c r="I8"/>
      <c r="J8"/>
      <c r="K8" s="65"/>
      <c r="M8" s="132"/>
      <c r="N8" s="133"/>
      <c r="O8" s="133"/>
      <c r="P8" s="133"/>
      <c r="Q8" s="134"/>
    </row>
    <row r="9" spans="1:30">
      <c r="A9"/>
      <c r="B9"/>
      <c r="C9"/>
      <c r="E9"/>
      <c r="F9"/>
      <c r="G9"/>
      <c r="H9"/>
      <c r="I9"/>
      <c r="J9"/>
      <c r="K9" s="65"/>
      <c r="M9" s="132"/>
      <c r="N9" s="133"/>
      <c r="O9" s="133"/>
      <c r="P9" s="133"/>
      <c r="Q9" s="134"/>
    </row>
    <row r="10" spans="1:30">
      <c r="A10"/>
      <c r="B10"/>
      <c r="C10"/>
      <c r="E10"/>
      <c r="F10"/>
      <c r="G10"/>
      <c r="H10"/>
      <c r="I10"/>
      <c r="J10"/>
      <c r="K10" s="65"/>
      <c r="M10" s="132"/>
      <c r="N10" s="133"/>
      <c r="O10" s="133"/>
      <c r="P10" s="133"/>
      <c r="Q10" s="134"/>
    </row>
    <row r="11" spans="1:30">
      <c r="A11"/>
      <c r="B11"/>
      <c r="C11"/>
      <c r="E11"/>
      <c r="F11"/>
      <c r="G11"/>
      <c r="H11"/>
      <c r="I11"/>
      <c r="J11"/>
      <c r="K11" s="65"/>
      <c r="M11" s="132"/>
      <c r="N11" s="133"/>
      <c r="O11" s="133"/>
      <c r="P11" s="133"/>
      <c r="Q11" s="134"/>
    </row>
    <row r="12" spans="1:30" ht="15.75" thickBot="1">
      <c r="A12"/>
      <c r="B12"/>
      <c r="C12"/>
      <c r="E12"/>
      <c r="F12"/>
      <c r="G12"/>
      <c r="H12"/>
      <c r="I12"/>
      <c r="J12"/>
      <c r="K12" s="65"/>
      <c r="M12" s="135"/>
      <c r="N12" s="136"/>
      <c r="O12" s="136"/>
      <c r="P12" s="136"/>
      <c r="Q12" s="137"/>
    </row>
    <row r="13" spans="1:30">
      <c r="A13"/>
      <c r="B13"/>
      <c r="C13"/>
      <c r="E13"/>
      <c r="F13"/>
      <c r="G13"/>
      <c r="H13"/>
      <c r="I13"/>
      <c r="J13"/>
      <c r="K13" s="65"/>
    </row>
    <row r="14" spans="1:30">
      <c r="A14"/>
      <c r="B14"/>
      <c r="C14"/>
      <c r="E14"/>
      <c r="F14"/>
      <c r="G14"/>
      <c r="H14"/>
      <c r="I14"/>
      <c r="J14"/>
      <c r="K14" s="65"/>
    </row>
    <row r="15" spans="1:30">
      <c r="A15"/>
      <c r="B15"/>
      <c r="C15"/>
      <c r="E15"/>
      <c r="F15"/>
      <c r="G15"/>
      <c r="H15"/>
      <c r="I15"/>
      <c r="J15"/>
      <c r="K15" s="65"/>
    </row>
    <row r="16" spans="1:30">
      <c r="A16"/>
      <c r="B16"/>
      <c r="C16"/>
      <c r="E16"/>
      <c r="F16"/>
      <c r="G16"/>
      <c r="H16"/>
      <c r="I16"/>
      <c r="J16"/>
      <c r="K16" s="65"/>
    </row>
    <row r="17" spans="1:11">
      <c r="A17"/>
      <c r="B17"/>
      <c r="C17"/>
      <c r="E17"/>
      <c r="F17"/>
      <c r="G17"/>
      <c r="H17"/>
      <c r="I17"/>
      <c r="J17"/>
      <c r="K17" s="65"/>
    </row>
    <row r="18" spans="1:11">
      <c r="A18"/>
      <c r="B18"/>
      <c r="C18"/>
      <c r="E18"/>
      <c r="F18"/>
      <c r="G18"/>
      <c r="H18"/>
      <c r="I18"/>
      <c r="J18"/>
      <c r="K18" s="65"/>
    </row>
    <row r="19" spans="1:11">
      <c r="A19"/>
      <c r="B19"/>
      <c r="C19"/>
      <c r="E19"/>
      <c r="F19"/>
      <c r="G19"/>
      <c r="H19"/>
      <c r="I19"/>
      <c r="J19"/>
      <c r="K19" s="65"/>
    </row>
    <row r="20" spans="1:11">
      <c r="A20"/>
      <c r="B20"/>
      <c r="C20"/>
      <c r="E20"/>
      <c r="F20"/>
      <c r="G20"/>
      <c r="H20"/>
      <c r="I20"/>
      <c r="J20"/>
      <c r="K20" s="65"/>
    </row>
    <row r="21" spans="1:11">
      <c r="A21"/>
      <c r="B21"/>
      <c r="C21"/>
      <c r="E21"/>
      <c r="F21"/>
      <c r="G21"/>
      <c r="H21"/>
      <c r="I21"/>
      <c r="J21"/>
      <c r="K21" s="65"/>
    </row>
    <row r="22" spans="1:11">
      <c r="A22"/>
      <c r="B22"/>
      <c r="C22"/>
      <c r="E22"/>
      <c r="F22"/>
      <c r="G22"/>
      <c r="H22"/>
      <c r="I22"/>
      <c r="J22"/>
      <c r="K22" s="65"/>
    </row>
    <row r="23" spans="1:11">
      <c r="A23"/>
      <c r="B23"/>
      <c r="C23"/>
      <c r="E23"/>
      <c r="F23"/>
      <c r="G23"/>
      <c r="H23"/>
      <c r="I23"/>
      <c r="J23"/>
      <c r="K23" s="65"/>
    </row>
    <row r="24" spans="1:11">
      <c r="A24"/>
      <c r="B24"/>
      <c r="C24"/>
      <c r="E24"/>
      <c r="F24"/>
      <c r="G24"/>
      <c r="H24"/>
      <c r="I24"/>
      <c r="J24"/>
      <c r="K24" s="65"/>
    </row>
    <row r="25" spans="1:11">
      <c r="A25"/>
      <c r="B25"/>
      <c r="C25"/>
      <c r="E25"/>
      <c r="F25"/>
      <c r="G25"/>
      <c r="H25"/>
      <c r="I25"/>
      <c r="J25"/>
      <c r="K25" s="65"/>
    </row>
    <row r="26" spans="1:11">
      <c r="A26"/>
      <c r="B26"/>
      <c r="C26"/>
      <c r="E26"/>
      <c r="F26"/>
      <c r="G26"/>
      <c r="H26"/>
      <c r="I26"/>
      <c r="J26"/>
      <c r="K26" s="65"/>
    </row>
    <row r="27" spans="1:11">
      <c r="A27"/>
      <c r="B27"/>
      <c r="C27"/>
      <c r="E27"/>
      <c r="F27"/>
      <c r="G27"/>
      <c r="H27"/>
      <c r="I27"/>
      <c r="J27"/>
      <c r="K27" s="65"/>
    </row>
    <row r="28" spans="1:11">
      <c r="A28"/>
      <c r="B28"/>
      <c r="C28"/>
      <c r="E28"/>
      <c r="F28"/>
      <c r="G28"/>
      <c r="H28"/>
      <c r="I28"/>
      <c r="J28"/>
      <c r="K28" s="65"/>
    </row>
    <row r="29" spans="1:11">
      <c r="A29"/>
      <c r="B29"/>
      <c r="C29"/>
      <c r="E29"/>
      <c r="F29"/>
      <c r="G29"/>
      <c r="H29"/>
      <c r="I29"/>
      <c r="J29"/>
      <c r="K29" s="65"/>
    </row>
    <row r="30" spans="1:11">
      <c r="A30"/>
      <c r="B30"/>
      <c r="C30"/>
      <c r="E30"/>
      <c r="F30"/>
      <c r="G30"/>
      <c r="H30"/>
      <c r="I30"/>
      <c r="J30"/>
      <c r="K30" s="65"/>
    </row>
    <row r="31" spans="1:11">
      <c r="A31"/>
      <c r="B31"/>
      <c r="C31"/>
      <c r="E31"/>
      <c r="F31"/>
      <c r="G31"/>
      <c r="H31"/>
      <c r="I31"/>
      <c r="J31"/>
      <c r="K31" s="65"/>
    </row>
    <row r="32" spans="1:11">
      <c r="A32"/>
      <c r="B32"/>
      <c r="C32"/>
      <c r="E32"/>
      <c r="F32"/>
      <c r="G32"/>
      <c r="H32"/>
      <c r="I32"/>
      <c r="J32"/>
      <c r="K32" s="65"/>
    </row>
    <row r="33" spans="1:11">
      <c r="A33"/>
      <c r="B33"/>
      <c r="C33"/>
      <c r="E33"/>
      <c r="F33"/>
      <c r="G33"/>
      <c r="H33"/>
      <c r="I33"/>
      <c r="J33"/>
      <c r="K33" s="65"/>
    </row>
    <row r="34" spans="1:11">
      <c r="A34"/>
      <c r="B34"/>
      <c r="C34"/>
      <c r="E34"/>
      <c r="F34"/>
      <c r="G34"/>
      <c r="H34"/>
      <c r="I34"/>
      <c r="J34"/>
      <c r="K34" s="65"/>
    </row>
    <row r="35" spans="1:11">
      <c r="A35"/>
      <c r="B35"/>
      <c r="C35"/>
      <c r="E35"/>
      <c r="F35"/>
      <c r="G35"/>
      <c r="H35"/>
      <c r="I35"/>
      <c r="J35"/>
      <c r="K35" s="65"/>
    </row>
    <row r="36" spans="1:11">
      <c r="A36"/>
      <c r="B36"/>
      <c r="C36"/>
      <c r="E36"/>
      <c r="F36"/>
      <c r="G36"/>
      <c r="H36"/>
      <c r="I36"/>
      <c r="J36"/>
      <c r="K36" s="65"/>
    </row>
    <row r="37" spans="1:11">
      <c r="A37"/>
      <c r="B37"/>
      <c r="C37"/>
      <c r="E37"/>
      <c r="F37"/>
      <c r="G37"/>
      <c r="H37"/>
      <c r="I37"/>
      <c r="J37"/>
      <c r="K37" s="65"/>
    </row>
    <row r="38" spans="1:11">
      <c r="A38"/>
      <c r="B38"/>
      <c r="C38"/>
      <c r="E38"/>
      <c r="F38"/>
      <c r="G38"/>
      <c r="H38"/>
      <c r="I38"/>
      <c r="J38"/>
      <c r="K38" s="65"/>
    </row>
    <row r="39" spans="1:11">
      <c r="A39"/>
      <c r="B39"/>
      <c r="C39"/>
      <c r="E39"/>
      <c r="F39"/>
      <c r="G39"/>
      <c r="H39"/>
      <c r="I39"/>
      <c r="J39"/>
      <c r="K39" s="65"/>
    </row>
    <row r="40" spans="1:11">
      <c r="A40"/>
      <c r="B40"/>
      <c r="C40"/>
      <c r="E40"/>
      <c r="F40"/>
      <c r="G40"/>
      <c r="H40"/>
      <c r="I40"/>
      <c r="J40"/>
      <c r="K40" s="65"/>
    </row>
    <row r="41" spans="1:11">
      <c r="A41"/>
      <c r="B41"/>
      <c r="C41"/>
      <c r="E41"/>
      <c r="F41"/>
      <c r="G41"/>
      <c r="H41"/>
      <c r="I41"/>
      <c r="J41"/>
      <c r="K41" s="65"/>
    </row>
    <row r="42" spans="1:11">
      <c r="A42"/>
      <c r="B42"/>
      <c r="C42"/>
      <c r="E42"/>
      <c r="F42"/>
      <c r="G42"/>
      <c r="H42"/>
      <c r="I42"/>
      <c r="J42"/>
      <c r="K42" s="65"/>
    </row>
    <row r="43" spans="1:11">
      <c r="A43"/>
      <c r="B43"/>
      <c r="C43"/>
      <c r="E43"/>
      <c r="F43"/>
      <c r="G43"/>
      <c r="H43"/>
      <c r="I43"/>
      <c r="J43"/>
      <c r="K43" s="66"/>
    </row>
    <row r="44" spans="1:11">
      <c r="A44"/>
      <c r="B44"/>
      <c r="C44"/>
      <c r="E44"/>
      <c r="F44"/>
      <c r="G44"/>
      <c r="H44"/>
      <c r="I44"/>
      <c r="J44"/>
      <c r="K44" s="65"/>
    </row>
    <row r="45" spans="1:11">
      <c r="A45"/>
      <c r="B45"/>
      <c r="C45"/>
      <c r="E45"/>
      <c r="F45"/>
      <c r="G45"/>
      <c r="H45"/>
      <c r="I45"/>
      <c r="J45"/>
      <c r="K45" s="65"/>
    </row>
    <row r="46" spans="1:11">
      <c r="A46"/>
      <c r="B46"/>
      <c r="C46"/>
      <c r="E46"/>
      <c r="F46"/>
      <c r="G46"/>
      <c r="H46"/>
      <c r="I46"/>
      <c r="J46"/>
      <c r="K46" s="65"/>
    </row>
    <row r="47" spans="1:11">
      <c r="A47"/>
      <c r="B47"/>
      <c r="C47"/>
      <c r="E47"/>
      <c r="F47"/>
      <c r="G47"/>
      <c r="H47"/>
      <c r="I47"/>
      <c r="J47"/>
      <c r="K47" s="65"/>
    </row>
    <row r="48" spans="1:11">
      <c r="A48"/>
      <c r="B48"/>
      <c r="C48"/>
      <c r="E48"/>
      <c r="F48"/>
      <c r="G48"/>
      <c r="H48"/>
      <c r="I48"/>
      <c r="J48"/>
      <c r="K48" s="65"/>
    </row>
    <row r="49" spans="1:11">
      <c r="A49"/>
      <c r="B49"/>
      <c r="C49"/>
      <c r="E49"/>
      <c r="F49"/>
      <c r="G49"/>
      <c r="H49"/>
      <c r="I49"/>
      <c r="J49"/>
      <c r="K49" s="65"/>
    </row>
    <row r="50" spans="1:11">
      <c r="A50"/>
      <c r="B50"/>
      <c r="C50"/>
      <c r="E50"/>
      <c r="F50"/>
      <c r="G50"/>
      <c r="H50"/>
      <c r="I50"/>
      <c r="J50"/>
      <c r="K50" s="65"/>
    </row>
    <row r="51" spans="1:11">
      <c r="A51"/>
      <c r="B51"/>
      <c r="C51"/>
      <c r="E51"/>
      <c r="F51"/>
      <c r="G51"/>
      <c r="H51"/>
      <c r="I51"/>
      <c r="J51"/>
      <c r="K51" s="65"/>
    </row>
    <row r="52" spans="1:11">
      <c r="A52"/>
      <c r="B52"/>
      <c r="C52"/>
      <c r="E52"/>
      <c r="F52"/>
      <c r="G52"/>
      <c r="H52"/>
      <c r="I52"/>
      <c r="J52"/>
      <c r="K52" s="65"/>
    </row>
    <row r="53" spans="1:11">
      <c r="A53"/>
      <c r="B53"/>
      <c r="C53"/>
      <c r="E53"/>
      <c r="F53"/>
      <c r="G53"/>
      <c r="H53"/>
      <c r="I53"/>
      <c r="J53"/>
      <c r="K53" s="65"/>
    </row>
    <row r="54" spans="1:11">
      <c r="A54"/>
      <c r="B54"/>
      <c r="C54"/>
      <c r="E54"/>
      <c r="F54"/>
      <c r="G54"/>
      <c r="H54"/>
      <c r="I54"/>
      <c r="J54"/>
      <c r="K54" s="65"/>
    </row>
    <row r="55" spans="1:11">
      <c r="A55"/>
      <c r="B55"/>
      <c r="C55"/>
      <c r="E55"/>
      <c r="F55"/>
      <c r="G55"/>
      <c r="H55"/>
      <c r="I55"/>
      <c r="J55"/>
      <c r="K55" s="65"/>
    </row>
    <row r="56" spans="1:11">
      <c r="A56"/>
      <c r="B56"/>
      <c r="C56"/>
      <c r="E56"/>
      <c r="F56"/>
      <c r="G56"/>
      <c r="H56"/>
      <c r="I56"/>
      <c r="J56"/>
      <c r="K56" s="65"/>
    </row>
    <row r="57" spans="1:11">
      <c r="A57"/>
      <c r="B57"/>
      <c r="C57"/>
      <c r="E57"/>
      <c r="F57"/>
      <c r="G57"/>
      <c r="H57"/>
      <c r="I57"/>
      <c r="J57"/>
      <c r="K57" s="65"/>
    </row>
    <row r="58" spans="1:11">
      <c r="A58"/>
      <c r="B58"/>
      <c r="C58"/>
      <c r="E58"/>
      <c r="F58"/>
      <c r="G58"/>
      <c r="H58"/>
      <c r="I58"/>
      <c r="J58"/>
      <c r="K58" s="65"/>
    </row>
    <row r="59" spans="1:11">
      <c r="A59"/>
      <c r="B59"/>
      <c r="C59"/>
      <c r="E59"/>
      <c r="F59"/>
      <c r="G59"/>
      <c r="H59"/>
      <c r="I59"/>
      <c r="J59"/>
      <c r="K59" s="65"/>
    </row>
    <row r="60" spans="1:11">
      <c r="A60"/>
      <c r="B60"/>
      <c r="C60"/>
      <c r="E60"/>
      <c r="F60"/>
      <c r="G60"/>
      <c r="H60"/>
      <c r="I60"/>
      <c r="J60"/>
      <c r="K60" s="65"/>
    </row>
    <row r="61" spans="1:11">
      <c r="A61"/>
      <c r="B61"/>
      <c r="C61"/>
      <c r="E61"/>
      <c r="F61"/>
      <c r="G61"/>
      <c r="H61"/>
      <c r="I61"/>
      <c r="J61"/>
      <c r="K61" s="65"/>
    </row>
    <row r="62" spans="1:11">
      <c r="A62"/>
      <c r="B62"/>
      <c r="C62"/>
      <c r="E62"/>
      <c r="F62"/>
      <c r="G62"/>
      <c r="H62"/>
      <c r="I62"/>
      <c r="J62"/>
      <c r="K62" s="65"/>
    </row>
    <row r="63" spans="1:11">
      <c r="A63"/>
      <c r="B63"/>
      <c r="C63"/>
      <c r="E63"/>
      <c r="F63"/>
      <c r="G63"/>
      <c r="H63"/>
      <c r="I63"/>
      <c r="J63"/>
      <c r="K63" s="65"/>
    </row>
    <row r="64" spans="1:11">
      <c r="A64"/>
      <c r="B64"/>
      <c r="C64"/>
      <c r="E64"/>
      <c r="F64"/>
      <c r="G64"/>
      <c r="H64"/>
      <c r="I64"/>
      <c r="J64"/>
      <c r="K64" s="65"/>
    </row>
    <row r="65" spans="1:11">
      <c r="A65"/>
      <c r="B65"/>
      <c r="C65"/>
      <c r="E65"/>
      <c r="F65"/>
      <c r="G65"/>
      <c r="H65"/>
      <c r="I65"/>
      <c r="J65"/>
      <c r="K65" s="65"/>
    </row>
    <row r="66" spans="1:11">
      <c r="A66"/>
      <c r="B66"/>
      <c r="C66"/>
      <c r="E66"/>
      <c r="F66"/>
      <c r="G66"/>
      <c r="H66"/>
      <c r="I66"/>
      <c r="J66"/>
      <c r="K66" s="65"/>
    </row>
    <row r="67" spans="1:11">
      <c r="A67"/>
      <c r="B67"/>
      <c r="C67"/>
      <c r="E67"/>
      <c r="F67"/>
      <c r="G67"/>
      <c r="H67"/>
      <c r="I67"/>
      <c r="J67"/>
      <c r="K67" s="65"/>
    </row>
    <row r="68" spans="1:11">
      <c r="A68"/>
      <c r="B68"/>
      <c r="C68"/>
      <c r="E68"/>
      <c r="F68"/>
      <c r="G68"/>
      <c r="H68"/>
      <c r="I68"/>
      <c r="J68"/>
      <c r="K68" s="65"/>
    </row>
    <row r="69" spans="1:11">
      <c r="A69"/>
      <c r="B69"/>
      <c r="C69"/>
      <c r="E69"/>
      <c r="F69"/>
      <c r="G69"/>
      <c r="H69"/>
      <c r="I69"/>
      <c r="J69"/>
      <c r="K69" s="65"/>
    </row>
    <row r="70" spans="1:11">
      <c r="A70"/>
      <c r="B70"/>
      <c r="C70"/>
      <c r="E70"/>
      <c r="F70"/>
      <c r="G70"/>
      <c r="H70"/>
      <c r="I70"/>
      <c r="J70"/>
      <c r="K70" s="65"/>
    </row>
    <row r="71" spans="1:11">
      <c r="A71"/>
      <c r="B71"/>
      <c r="C71"/>
      <c r="E71"/>
      <c r="F71"/>
      <c r="G71"/>
      <c r="H71"/>
      <c r="I71"/>
      <c r="J71"/>
      <c r="K71" s="65"/>
    </row>
    <row r="72" spans="1:11">
      <c r="A72"/>
      <c r="B72"/>
      <c r="C72"/>
      <c r="E72"/>
      <c r="F72"/>
      <c r="G72"/>
      <c r="H72"/>
      <c r="I72"/>
      <c r="J72"/>
      <c r="K72" s="65"/>
    </row>
    <row r="73" spans="1:11">
      <c r="A73"/>
      <c r="B73"/>
      <c r="C73"/>
      <c r="E73"/>
      <c r="F73"/>
      <c r="G73"/>
      <c r="H73"/>
      <c r="I73"/>
      <c r="J73"/>
      <c r="K73" s="65"/>
    </row>
    <row r="74" spans="1:11">
      <c r="A74"/>
      <c r="B74"/>
      <c r="C74"/>
      <c r="E74"/>
      <c r="F74"/>
      <c r="G74"/>
      <c r="H74"/>
      <c r="I74"/>
      <c r="J74"/>
      <c r="K74" s="65"/>
    </row>
    <row r="75" spans="1:11">
      <c r="A75"/>
      <c r="B75"/>
      <c r="C75"/>
      <c r="E75"/>
      <c r="F75"/>
      <c r="G75"/>
      <c r="H75"/>
      <c r="I75"/>
      <c r="J75"/>
      <c r="K75" s="65"/>
    </row>
    <row r="76" spans="1:11">
      <c r="A76"/>
      <c r="B76"/>
      <c r="C76"/>
      <c r="E76"/>
      <c r="F76"/>
      <c r="G76"/>
      <c r="H76"/>
      <c r="I76"/>
      <c r="J76"/>
      <c r="K76" s="65"/>
    </row>
    <row r="77" spans="1:11">
      <c r="A77"/>
      <c r="B77"/>
      <c r="C77"/>
      <c r="E77"/>
      <c r="F77"/>
      <c r="G77"/>
      <c r="H77"/>
      <c r="I77"/>
      <c r="J77"/>
      <c r="K77" s="65"/>
    </row>
    <row r="78" spans="1:11">
      <c r="A78"/>
      <c r="B78"/>
      <c r="C78"/>
      <c r="E78"/>
      <c r="F78"/>
      <c r="G78"/>
      <c r="H78"/>
      <c r="I78"/>
      <c r="J78"/>
      <c r="K78" s="65"/>
    </row>
    <row r="79" spans="1:11">
      <c r="A79"/>
      <c r="B79"/>
      <c r="C79"/>
      <c r="E79"/>
      <c r="F79"/>
      <c r="G79"/>
      <c r="H79"/>
      <c r="I79"/>
      <c r="J79"/>
      <c r="K79" s="65"/>
    </row>
    <row r="80" spans="1:11">
      <c r="A80"/>
      <c r="B80"/>
      <c r="C80"/>
      <c r="E80"/>
      <c r="F80"/>
      <c r="G80"/>
      <c r="H80"/>
      <c r="I80"/>
      <c r="J80"/>
      <c r="K80" s="65"/>
    </row>
    <row r="81" spans="1:11">
      <c r="A81"/>
      <c r="B81"/>
      <c r="C81"/>
      <c r="E81"/>
      <c r="F81"/>
      <c r="G81"/>
      <c r="H81"/>
      <c r="I81"/>
      <c r="J81"/>
      <c r="K81" s="65"/>
    </row>
    <row r="82" spans="1:11">
      <c r="A82"/>
      <c r="B82"/>
      <c r="C82"/>
      <c r="E82"/>
      <c r="F82"/>
      <c r="G82"/>
      <c r="H82"/>
      <c r="I82"/>
      <c r="J82"/>
      <c r="K82" s="65"/>
    </row>
    <row r="83" spans="1:11">
      <c r="A83"/>
      <c r="B83"/>
      <c r="C83"/>
      <c r="E83"/>
      <c r="F83"/>
      <c r="G83"/>
      <c r="H83"/>
      <c r="I83"/>
      <c r="J83"/>
      <c r="K83" s="65"/>
    </row>
    <row r="84" spans="1:11">
      <c r="A84"/>
      <c r="B84"/>
      <c r="C84"/>
      <c r="E84"/>
      <c r="F84"/>
      <c r="G84"/>
      <c r="H84"/>
      <c r="I84"/>
      <c r="J84"/>
      <c r="K84" s="65"/>
    </row>
  </sheetData>
  <sortState xmlns:xlrd2="http://schemas.microsoft.com/office/spreadsheetml/2017/richdata2" ref="A2:K70">
    <sortCondition ref="A2:A70"/>
  </sortState>
  <mergeCells count="1">
    <mergeCell ref="M4:Q1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errorStyle="information" allowBlank="1" showInputMessage="1" showErrorMessage="1" errorTitle="Code is not in the list" xr:uid="{7D5B8E90-50B8-4445-9246-4B751986AD75}">
          <x14:formula1>
            <xm:f>'Control Data (Hidden)'!$B$279:$B$335</xm:f>
          </x14:formula1>
          <xm:sqref>B2 B4:B1048576</xm:sqref>
        </x14:dataValidation>
        <x14:dataValidation type="list" errorStyle="warning" allowBlank="1" showErrorMessage="1" errorTitle="Code is not in list" xr:uid="{08D1CD7B-453A-4125-ABBB-DCDE1D8B4E2B}">
          <x14:formula1>
            <xm:f>'Control Data (Hidden)'!$B$279:$B$335</xm:f>
          </x14:formula1>
          <xm:sqref>B3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335"/>
  <sheetViews>
    <sheetView tabSelected="1" topLeftCell="A10" workbookViewId="0">
      <selection activeCell="M12" sqref="M12"/>
    </sheetView>
  </sheetViews>
  <sheetFormatPr defaultRowHeight="15"/>
  <cols>
    <col min="1" max="1" width="27" bestFit="1" customWidth="1"/>
    <col min="2" max="2" width="19.28515625" customWidth="1"/>
    <col min="3" max="3" width="10.7109375" bestFit="1" customWidth="1"/>
    <col min="13" max="13" width="95.5703125" customWidth="1"/>
  </cols>
  <sheetData>
    <row r="1" spans="1:13" ht="15.75" thickBot="1">
      <c r="A1" s="34" t="s">
        <v>91</v>
      </c>
      <c r="B1" s="35" t="s">
        <v>90</v>
      </c>
      <c r="C1" s="35" t="s">
        <v>162</v>
      </c>
      <c r="D1" s="35"/>
      <c r="E1" s="35"/>
      <c r="F1" s="35"/>
      <c r="G1" s="35"/>
      <c r="H1" s="35"/>
      <c r="I1" s="36"/>
      <c r="L1" t="s">
        <v>87</v>
      </c>
      <c r="M1" t="s">
        <v>107</v>
      </c>
    </row>
    <row r="2" spans="1:13" ht="15.75" thickBot="1">
      <c r="L2" t="s">
        <v>85</v>
      </c>
      <c r="M2" t="s">
        <v>108</v>
      </c>
    </row>
    <row r="3" spans="1:13" ht="15.75" thickBot="1">
      <c r="A3" s="34" t="s">
        <v>92</v>
      </c>
      <c r="B3" s="36" t="s">
        <v>163</v>
      </c>
      <c r="L3" t="s">
        <v>106</v>
      </c>
      <c r="M3" t="s">
        <v>110</v>
      </c>
    </row>
    <row r="4" spans="1:13" ht="15.75" thickBot="1">
      <c r="M4" t="s">
        <v>109</v>
      </c>
    </row>
    <row r="5" spans="1:13" ht="368.25" customHeight="1">
      <c r="A5" s="37" t="s">
        <v>136</v>
      </c>
      <c r="B5" s="38" t="s">
        <v>86</v>
      </c>
      <c r="C5" s="138" t="s">
        <v>837</v>
      </c>
      <c r="D5" s="138"/>
      <c r="E5" s="138"/>
      <c r="F5" s="138"/>
      <c r="G5" s="138"/>
      <c r="H5" s="138"/>
      <c r="I5" s="139"/>
      <c r="M5" s="17" t="s">
        <v>111</v>
      </c>
    </row>
    <row r="6" spans="1:13" ht="75">
      <c r="A6" s="39"/>
      <c r="B6" t="s">
        <v>87</v>
      </c>
      <c r="C6" s="140" t="s">
        <v>88</v>
      </c>
      <c r="D6" s="140"/>
      <c r="E6" s="140"/>
      <c r="F6" s="140"/>
      <c r="G6" s="140"/>
      <c r="H6" s="140"/>
      <c r="I6" s="141"/>
      <c r="L6" s="2" t="s">
        <v>125</v>
      </c>
      <c r="M6" s="17" t="s">
        <v>127</v>
      </c>
    </row>
    <row r="7" spans="1:13" ht="105.75" thickBot="1">
      <c r="A7" s="40"/>
      <c r="B7" s="41" t="s">
        <v>89</v>
      </c>
      <c r="C7" s="142" t="s">
        <v>141</v>
      </c>
      <c r="D7" s="142"/>
      <c r="E7" s="142"/>
      <c r="F7" s="142"/>
      <c r="G7" s="142"/>
      <c r="H7" s="142"/>
      <c r="I7" s="143"/>
      <c r="L7" s="2" t="s">
        <v>126</v>
      </c>
      <c r="M7" s="17" t="s">
        <v>128</v>
      </c>
    </row>
    <row r="8" spans="1:13" ht="135.75" thickBot="1">
      <c r="L8" s="2" t="s">
        <v>129</v>
      </c>
      <c r="M8" s="17" t="s">
        <v>131</v>
      </c>
    </row>
    <row r="9" spans="1:13" ht="30.75" thickBot="1">
      <c r="A9" s="34" t="s">
        <v>24</v>
      </c>
      <c r="B9" s="42" t="s">
        <v>21</v>
      </c>
      <c r="C9" s="35"/>
      <c r="D9" s="43" t="s">
        <v>25</v>
      </c>
      <c r="E9" s="44" t="s">
        <v>26</v>
      </c>
      <c r="L9" s="2" t="s">
        <v>135</v>
      </c>
      <c r="M9" s="17" t="s">
        <v>137</v>
      </c>
    </row>
    <row r="10" spans="1:13" ht="15.75" thickBot="1">
      <c r="B10" s="1"/>
      <c r="D10" s="45"/>
      <c r="E10" s="46"/>
      <c r="L10" s="2" t="s">
        <v>138</v>
      </c>
      <c r="M10" s="17" t="s">
        <v>139</v>
      </c>
    </row>
    <row r="11" spans="1:13">
      <c r="A11" s="47" t="s">
        <v>37</v>
      </c>
      <c r="B11" s="48" t="s">
        <v>38</v>
      </c>
      <c r="C11" s="48"/>
      <c r="D11" s="48" t="s">
        <v>39</v>
      </c>
      <c r="E11" s="48" t="s">
        <v>40</v>
      </c>
      <c r="F11" s="48" t="s">
        <v>41</v>
      </c>
      <c r="G11" s="48" t="s">
        <v>42</v>
      </c>
      <c r="H11" s="48" t="s">
        <v>43</v>
      </c>
      <c r="I11" s="48" t="s">
        <v>44</v>
      </c>
      <c r="J11" s="48" t="s">
        <v>45</v>
      </c>
      <c r="K11" s="49"/>
      <c r="L11" s="2" t="s">
        <v>140</v>
      </c>
      <c r="M11" s="17" t="s">
        <v>164</v>
      </c>
    </row>
    <row r="12" spans="1:13" ht="150.75" thickBot="1">
      <c r="A12" s="40"/>
      <c r="B12" s="41"/>
      <c r="C12" s="41"/>
      <c r="D12" s="41" t="s">
        <v>46</v>
      </c>
      <c r="E12" s="41" t="s">
        <v>47</v>
      </c>
      <c r="F12" s="41" t="s">
        <v>48</v>
      </c>
      <c r="G12" s="41" t="s">
        <v>49</v>
      </c>
      <c r="H12" s="41" t="s">
        <v>50</v>
      </c>
      <c r="I12" s="41" t="s">
        <v>51</v>
      </c>
      <c r="J12" s="41" t="s">
        <v>52</v>
      </c>
      <c r="K12" s="50"/>
      <c r="L12" s="2" t="s">
        <v>162</v>
      </c>
      <c r="M12" s="17" t="s">
        <v>838</v>
      </c>
    </row>
    <row r="13" spans="1:13" ht="15.75" thickBot="1"/>
    <row r="14" spans="1:13" ht="15.75" thickBot="1">
      <c r="A14" s="34" t="s">
        <v>81</v>
      </c>
      <c r="B14" s="51">
        <f>DATE(2025,1,1)</f>
        <v>45658</v>
      </c>
      <c r="C14" s="52">
        <f>DATE(2034,12,31)</f>
        <v>49309</v>
      </c>
    </row>
    <row r="15" spans="1:13" ht="15.75" thickBot="1"/>
    <row r="16" spans="1:13" ht="15.75" thickBot="1">
      <c r="A16" s="34" t="s">
        <v>95</v>
      </c>
      <c r="B16" s="35" t="str">
        <f ca="1">CONCATENATE(DEC2HEX(RANDBETWEEN(0,4294967295),8),"-", DEC2HEX(RANDBETWEEN(0,42949),4),"-",DEC2HEX(RANDBETWEEN(0,42949),4),"-", DEC2HEX(RANDBETWEEN(0,42949),4),"-",DEC2HEX(RANDBETWEEN(0,4294967295),8),"-",DEC2HEX(RANDBETWEEN(0,42949),4))</f>
        <v>729680B5-8CBA-8D63-9CF1-3693502D-1E06</v>
      </c>
      <c r="C16" s="35"/>
      <c r="D16" s="36"/>
    </row>
    <row r="17" spans="1:4" ht="15.75" thickBot="1"/>
    <row r="18" spans="1:4" ht="15.75" thickBot="1">
      <c r="A18" s="34" t="s">
        <v>96</v>
      </c>
      <c r="B18" s="35" t="str">
        <f ca="1">CONCATENATE("M",YEAR('Header Record'!B5),TEXT(MONTH('Header Record'!B5),"mm"),TEXT(DAY('Header Record'!B5),"dd"),"-",LEFT('Control Data (Hidden)'!B16,23))</f>
        <v>M20250124-729680B5-8CBA-8D63-9CF1</v>
      </c>
      <c r="C18" s="35"/>
      <c r="D18" s="36"/>
    </row>
    <row r="19" spans="1:4" ht="15.75" thickBot="1"/>
    <row r="20" spans="1:4" ht="15.75" thickBot="1">
      <c r="A20" s="34" t="s">
        <v>99</v>
      </c>
      <c r="B20" s="35" t="str">
        <f ca="1">CONCATENATE("P",YEAR('Header Record'!B5),TEXT(MONTH('Header Record'!B5),"mm"),TEXT(DAY('Header Record'!B5),"dd"),"-",LEFT('Control Data (Hidden)'!B16,23))</f>
        <v>P20250124-729680B5-8CBA-8D63-9CF1</v>
      </c>
      <c r="C20" s="35"/>
      <c r="D20" s="36"/>
    </row>
    <row r="21" spans="1:4" ht="15.75" thickBot="1"/>
    <row r="22" spans="1:4">
      <c r="A22" s="47" t="s">
        <v>165</v>
      </c>
      <c r="B22" s="49" t="s">
        <v>166</v>
      </c>
    </row>
    <row r="23" spans="1:4">
      <c r="A23" s="39" t="s">
        <v>167</v>
      </c>
      <c r="B23" s="67" t="s">
        <v>168</v>
      </c>
    </row>
    <row r="24" spans="1:4">
      <c r="A24" s="39" t="s">
        <v>169</v>
      </c>
      <c r="B24" s="67" t="s">
        <v>170</v>
      </c>
    </row>
    <row r="25" spans="1:4">
      <c r="A25" s="39" t="s">
        <v>171</v>
      </c>
      <c r="B25" s="67" t="s">
        <v>172</v>
      </c>
    </row>
    <row r="26" spans="1:4">
      <c r="A26" s="39" t="s">
        <v>173</v>
      </c>
      <c r="B26" s="67" t="s">
        <v>174</v>
      </c>
    </row>
    <row r="27" spans="1:4">
      <c r="A27" s="39" t="s">
        <v>175</v>
      </c>
      <c r="B27" s="67" t="s">
        <v>176</v>
      </c>
    </row>
    <row r="28" spans="1:4">
      <c r="A28" s="39" t="s">
        <v>177</v>
      </c>
      <c r="B28" s="67" t="s">
        <v>178</v>
      </c>
    </row>
    <row r="29" spans="1:4">
      <c r="A29" s="39" t="s">
        <v>179</v>
      </c>
      <c r="B29" s="67" t="s">
        <v>180</v>
      </c>
    </row>
    <row r="30" spans="1:4">
      <c r="A30" s="39" t="s">
        <v>181</v>
      </c>
      <c r="B30" s="67" t="s">
        <v>182</v>
      </c>
    </row>
    <row r="31" spans="1:4">
      <c r="A31" s="39" t="s">
        <v>183</v>
      </c>
      <c r="B31" s="67" t="s">
        <v>184</v>
      </c>
    </row>
    <row r="32" spans="1:4">
      <c r="A32" s="39" t="s">
        <v>185</v>
      </c>
      <c r="B32" s="67" t="s">
        <v>186</v>
      </c>
    </row>
    <row r="33" spans="1:2">
      <c r="A33" s="39" t="s">
        <v>187</v>
      </c>
      <c r="B33" s="67" t="s">
        <v>188</v>
      </c>
    </row>
    <row r="34" spans="1:2">
      <c r="A34" s="39" t="s">
        <v>189</v>
      </c>
      <c r="B34" s="67" t="s">
        <v>190</v>
      </c>
    </row>
    <row r="35" spans="1:2">
      <c r="A35" s="39" t="s">
        <v>191</v>
      </c>
      <c r="B35" s="67" t="s">
        <v>192</v>
      </c>
    </row>
    <row r="36" spans="1:2">
      <c r="A36" s="39" t="s">
        <v>193</v>
      </c>
      <c r="B36" s="67" t="s">
        <v>194</v>
      </c>
    </row>
    <row r="37" spans="1:2">
      <c r="A37" s="39" t="s">
        <v>195</v>
      </c>
      <c r="B37" s="67" t="s">
        <v>196</v>
      </c>
    </row>
    <row r="38" spans="1:2">
      <c r="A38" s="39" t="s">
        <v>197</v>
      </c>
      <c r="B38" s="67" t="s">
        <v>198</v>
      </c>
    </row>
    <row r="39" spans="1:2">
      <c r="A39" s="39" t="s">
        <v>199</v>
      </c>
      <c r="B39" s="67" t="s">
        <v>200</v>
      </c>
    </row>
    <row r="40" spans="1:2">
      <c r="A40" s="39" t="s">
        <v>201</v>
      </c>
      <c r="B40" s="67" t="s">
        <v>202</v>
      </c>
    </row>
    <row r="41" spans="1:2">
      <c r="A41" s="39" t="s">
        <v>203</v>
      </c>
      <c r="B41" s="67" t="s">
        <v>204</v>
      </c>
    </row>
    <row r="42" spans="1:2">
      <c r="A42" s="39" t="s">
        <v>205</v>
      </c>
      <c r="B42" s="67" t="s">
        <v>206</v>
      </c>
    </row>
    <row r="43" spans="1:2">
      <c r="A43" s="39" t="s">
        <v>207</v>
      </c>
      <c r="B43" s="67" t="s">
        <v>208</v>
      </c>
    </row>
    <row r="44" spans="1:2">
      <c r="A44" s="39" t="s">
        <v>209</v>
      </c>
      <c r="B44" s="67" t="s">
        <v>210</v>
      </c>
    </row>
    <row r="45" spans="1:2">
      <c r="A45" s="39" t="s">
        <v>211</v>
      </c>
      <c r="B45" s="67" t="s">
        <v>212</v>
      </c>
    </row>
    <row r="46" spans="1:2">
      <c r="A46" s="39" t="s">
        <v>213</v>
      </c>
      <c r="B46" s="67" t="s">
        <v>214</v>
      </c>
    </row>
    <row r="47" spans="1:2">
      <c r="A47" s="39" t="s">
        <v>215</v>
      </c>
      <c r="B47" s="67" t="s">
        <v>216</v>
      </c>
    </row>
    <row r="48" spans="1:2">
      <c r="A48" s="39" t="s">
        <v>217</v>
      </c>
      <c r="B48" s="67" t="s">
        <v>218</v>
      </c>
    </row>
    <row r="49" spans="1:2">
      <c r="A49" s="39" t="s">
        <v>219</v>
      </c>
      <c r="B49" s="67" t="s">
        <v>220</v>
      </c>
    </row>
    <row r="50" spans="1:2">
      <c r="A50" s="39" t="s">
        <v>221</v>
      </c>
      <c r="B50" s="67" t="s">
        <v>222</v>
      </c>
    </row>
    <row r="51" spans="1:2">
      <c r="A51" s="39" t="s">
        <v>223</v>
      </c>
      <c r="B51" s="67" t="s">
        <v>224</v>
      </c>
    </row>
    <row r="52" spans="1:2">
      <c r="A52" s="39" t="s">
        <v>225</v>
      </c>
      <c r="B52" s="67" t="s">
        <v>226</v>
      </c>
    </row>
    <row r="53" spans="1:2">
      <c r="A53" s="39" t="s">
        <v>227</v>
      </c>
      <c r="B53" s="67" t="s">
        <v>228</v>
      </c>
    </row>
    <row r="54" spans="1:2">
      <c r="A54" s="39" t="s">
        <v>229</v>
      </c>
      <c r="B54" s="67" t="s">
        <v>230</v>
      </c>
    </row>
    <row r="55" spans="1:2">
      <c r="A55" s="39" t="s">
        <v>231</v>
      </c>
      <c r="B55" s="67" t="s">
        <v>232</v>
      </c>
    </row>
    <row r="56" spans="1:2">
      <c r="A56" s="39" t="s">
        <v>233</v>
      </c>
      <c r="B56" s="67" t="s">
        <v>234</v>
      </c>
    </row>
    <row r="57" spans="1:2">
      <c r="A57" s="39" t="s">
        <v>235</v>
      </c>
      <c r="B57" s="67" t="s">
        <v>236</v>
      </c>
    </row>
    <row r="58" spans="1:2">
      <c r="A58" s="39" t="s">
        <v>237</v>
      </c>
      <c r="B58" s="67" t="s">
        <v>238</v>
      </c>
    </row>
    <row r="59" spans="1:2">
      <c r="A59" s="39" t="s">
        <v>239</v>
      </c>
      <c r="B59" s="67" t="s">
        <v>240</v>
      </c>
    </row>
    <row r="60" spans="1:2">
      <c r="A60" s="39" t="s">
        <v>241</v>
      </c>
      <c r="B60" s="67" t="s">
        <v>242</v>
      </c>
    </row>
    <row r="61" spans="1:2">
      <c r="A61" s="39" t="s">
        <v>243</v>
      </c>
      <c r="B61" s="67" t="s">
        <v>244</v>
      </c>
    </row>
    <row r="62" spans="1:2">
      <c r="A62" s="39" t="s">
        <v>245</v>
      </c>
      <c r="B62" s="67" t="s">
        <v>246</v>
      </c>
    </row>
    <row r="63" spans="1:2">
      <c r="A63" s="39" t="s">
        <v>247</v>
      </c>
      <c r="B63" s="67" t="s">
        <v>248</v>
      </c>
    </row>
    <row r="64" spans="1:2">
      <c r="A64" s="39" t="s">
        <v>249</v>
      </c>
      <c r="B64" s="67" t="s">
        <v>250</v>
      </c>
    </row>
    <row r="65" spans="1:2">
      <c r="A65" s="39" t="s">
        <v>251</v>
      </c>
      <c r="B65" s="67" t="s">
        <v>252</v>
      </c>
    </row>
    <row r="66" spans="1:2">
      <c r="A66" s="39" t="s">
        <v>253</v>
      </c>
      <c r="B66" s="67" t="s">
        <v>254</v>
      </c>
    </row>
    <row r="67" spans="1:2">
      <c r="A67" s="39" t="s">
        <v>255</v>
      </c>
      <c r="B67" s="67" t="s">
        <v>256</v>
      </c>
    </row>
    <row r="68" spans="1:2">
      <c r="A68" s="39" t="s">
        <v>257</v>
      </c>
      <c r="B68" s="67" t="s">
        <v>258</v>
      </c>
    </row>
    <row r="69" spans="1:2">
      <c r="A69" s="39" t="s">
        <v>259</v>
      </c>
      <c r="B69" s="67" t="s">
        <v>260</v>
      </c>
    </row>
    <row r="70" spans="1:2">
      <c r="A70" s="39" t="s">
        <v>261</v>
      </c>
      <c r="B70" s="67" t="s">
        <v>262</v>
      </c>
    </row>
    <row r="71" spans="1:2">
      <c r="A71" s="39" t="s">
        <v>263</v>
      </c>
      <c r="B71" s="67" t="s">
        <v>264</v>
      </c>
    </row>
    <row r="72" spans="1:2">
      <c r="A72" s="39" t="s">
        <v>265</v>
      </c>
      <c r="B72" s="67" t="s">
        <v>266</v>
      </c>
    </row>
    <row r="73" spans="1:2">
      <c r="A73" s="39" t="s">
        <v>267</v>
      </c>
      <c r="B73" s="67" t="s">
        <v>268</v>
      </c>
    </row>
    <row r="74" spans="1:2">
      <c r="A74" s="39" t="s">
        <v>269</v>
      </c>
      <c r="B74" s="67" t="s">
        <v>270</v>
      </c>
    </row>
    <row r="75" spans="1:2">
      <c r="A75" s="39" t="s">
        <v>271</v>
      </c>
      <c r="B75" s="67" t="s">
        <v>272</v>
      </c>
    </row>
    <row r="76" spans="1:2">
      <c r="A76" s="39" t="s">
        <v>273</v>
      </c>
      <c r="B76" s="67" t="s">
        <v>274</v>
      </c>
    </row>
    <row r="77" spans="1:2">
      <c r="A77" s="39" t="s">
        <v>275</v>
      </c>
      <c r="B77" s="67" t="s">
        <v>276</v>
      </c>
    </row>
    <row r="78" spans="1:2">
      <c r="A78" s="39" t="s">
        <v>277</v>
      </c>
      <c r="B78" s="67" t="s">
        <v>278</v>
      </c>
    </row>
    <row r="79" spans="1:2">
      <c r="A79" s="39" t="s">
        <v>279</v>
      </c>
      <c r="B79" s="67" t="s">
        <v>280</v>
      </c>
    </row>
    <row r="80" spans="1:2">
      <c r="A80" s="39" t="s">
        <v>281</v>
      </c>
      <c r="B80" s="67" t="s">
        <v>282</v>
      </c>
    </row>
    <row r="81" spans="1:2">
      <c r="A81" s="39" t="s">
        <v>283</v>
      </c>
      <c r="B81" s="67" t="s">
        <v>284</v>
      </c>
    </row>
    <row r="82" spans="1:2">
      <c r="A82" s="39" t="s">
        <v>285</v>
      </c>
      <c r="B82" s="67" t="s">
        <v>286</v>
      </c>
    </row>
    <row r="83" spans="1:2">
      <c r="A83" s="39" t="s">
        <v>287</v>
      </c>
      <c r="B83" s="67" t="s">
        <v>288</v>
      </c>
    </row>
    <row r="84" spans="1:2">
      <c r="A84" s="39" t="s">
        <v>289</v>
      </c>
      <c r="B84" s="67" t="s">
        <v>290</v>
      </c>
    </row>
    <row r="85" spans="1:2">
      <c r="A85" s="39" t="s">
        <v>291</v>
      </c>
      <c r="B85" s="67" t="s">
        <v>292</v>
      </c>
    </row>
    <row r="86" spans="1:2">
      <c r="A86" s="39" t="s">
        <v>293</v>
      </c>
      <c r="B86" s="67" t="s">
        <v>294</v>
      </c>
    </row>
    <row r="87" spans="1:2">
      <c r="A87" s="39" t="s">
        <v>295</v>
      </c>
      <c r="B87" s="67" t="s">
        <v>296</v>
      </c>
    </row>
    <row r="88" spans="1:2">
      <c r="A88" s="39" t="s">
        <v>297</v>
      </c>
      <c r="B88" s="67" t="s">
        <v>298</v>
      </c>
    </row>
    <row r="89" spans="1:2">
      <c r="A89" s="39" t="s">
        <v>299</v>
      </c>
      <c r="B89" s="67" t="s">
        <v>300</v>
      </c>
    </row>
    <row r="90" spans="1:2">
      <c r="A90" s="39" t="s">
        <v>301</v>
      </c>
      <c r="B90" s="67" t="s">
        <v>302</v>
      </c>
    </row>
    <row r="91" spans="1:2">
      <c r="A91" s="39" t="s">
        <v>303</v>
      </c>
      <c r="B91" s="67" t="s">
        <v>304</v>
      </c>
    </row>
    <row r="92" spans="1:2">
      <c r="A92" s="39" t="s">
        <v>305</v>
      </c>
      <c r="B92" s="67" t="s">
        <v>306</v>
      </c>
    </row>
    <row r="93" spans="1:2">
      <c r="A93" s="39" t="s">
        <v>307</v>
      </c>
      <c r="B93" s="67" t="s">
        <v>308</v>
      </c>
    </row>
    <row r="94" spans="1:2">
      <c r="A94" s="39" t="s">
        <v>309</v>
      </c>
      <c r="B94" s="67" t="s">
        <v>310</v>
      </c>
    </row>
    <row r="95" spans="1:2">
      <c r="A95" s="39" t="s">
        <v>311</v>
      </c>
      <c r="B95" s="67" t="s">
        <v>312</v>
      </c>
    </row>
    <row r="96" spans="1:2">
      <c r="A96" s="39" t="s">
        <v>313</v>
      </c>
      <c r="B96" s="67" t="s">
        <v>314</v>
      </c>
    </row>
    <row r="97" spans="1:2">
      <c r="A97" s="39" t="s">
        <v>315</v>
      </c>
      <c r="B97" s="67" t="s">
        <v>316</v>
      </c>
    </row>
    <row r="98" spans="1:2">
      <c r="A98" s="39" t="s">
        <v>317</v>
      </c>
      <c r="B98" s="67" t="s">
        <v>318</v>
      </c>
    </row>
    <row r="99" spans="1:2">
      <c r="A99" s="39" t="s">
        <v>319</v>
      </c>
      <c r="B99" s="67" t="s">
        <v>320</v>
      </c>
    </row>
    <row r="100" spans="1:2">
      <c r="A100" s="39" t="s">
        <v>321</v>
      </c>
      <c r="B100" s="67" t="s">
        <v>322</v>
      </c>
    </row>
    <row r="101" spans="1:2">
      <c r="A101" s="39" t="s">
        <v>323</v>
      </c>
      <c r="B101" s="67" t="s">
        <v>324</v>
      </c>
    </row>
    <row r="102" spans="1:2">
      <c r="A102" s="39" t="s">
        <v>325</v>
      </c>
      <c r="B102" s="67" t="s">
        <v>326</v>
      </c>
    </row>
    <row r="103" spans="1:2">
      <c r="A103" s="39" t="s">
        <v>327</v>
      </c>
      <c r="B103" s="67" t="s">
        <v>328</v>
      </c>
    </row>
    <row r="104" spans="1:2">
      <c r="A104" s="39" t="s">
        <v>329</v>
      </c>
      <c r="B104" s="67" t="s">
        <v>330</v>
      </c>
    </row>
    <row r="105" spans="1:2">
      <c r="A105" s="39" t="s">
        <v>331</v>
      </c>
      <c r="B105" s="67" t="s">
        <v>332</v>
      </c>
    </row>
    <row r="106" spans="1:2">
      <c r="A106" s="39" t="s">
        <v>333</v>
      </c>
      <c r="B106" s="67" t="s">
        <v>334</v>
      </c>
    </row>
    <row r="107" spans="1:2">
      <c r="A107" s="39" t="s">
        <v>335</v>
      </c>
      <c r="B107" s="67" t="s">
        <v>336</v>
      </c>
    </row>
    <row r="108" spans="1:2">
      <c r="A108" s="39" t="s">
        <v>337</v>
      </c>
      <c r="B108" s="67" t="s">
        <v>338</v>
      </c>
    </row>
    <row r="109" spans="1:2">
      <c r="A109" s="39" t="s">
        <v>339</v>
      </c>
      <c r="B109" s="67" t="s">
        <v>340</v>
      </c>
    </row>
    <row r="110" spans="1:2">
      <c r="A110" s="39" t="s">
        <v>341</v>
      </c>
      <c r="B110" s="67" t="s">
        <v>342</v>
      </c>
    </row>
    <row r="111" spans="1:2">
      <c r="A111" s="39" t="s">
        <v>343</v>
      </c>
      <c r="B111" s="67" t="s">
        <v>344</v>
      </c>
    </row>
    <row r="112" spans="1:2">
      <c r="A112" s="39" t="s">
        <v>345</v>
      </c>
      <c r="B112" s="67" t="s">
        <v>346</v>
      </c>
    </row>
    <row r="113" spans="1:2">
      <c r="A113" s="39" t="s">
        <v>347</v>
      </c>
      <c r="B113" s="67" t="s">
        <v>348</v>
      </c>
    </row>
    <row r="114" spans="1:2">
      <c r="A114" s="39" t="s">
        <v>349</v>
      </c>
      <c r="B114" s="67" t="s">
        <v>350</v>
      </c>
    </row>
    <row r="115" spans="1:2">
      <c r="A115" s="39" t="s">
        <v>351</v>
      </c>
      <c r="B115" s="67" t="s">
        <v>352</v>
      </c>
    </row>
    <row r="116" spans="1:2">
      <c r="A116" s="39" t="s">
        <v>353</v>
      </c>
      <c r="B116" s="67" t="s">
        <v>354</v>
      </c>
    </row>
    <row r="117" spans="1:2">
      <c r="A117" s="39" t="s">
        <v>355</v>
      </c>
      <c r="B117" s="67" t="s">
        <v>356</v>
      </c>
    </row>
    <row r="118" spans="1:2">
      <c r="A118" s="39" t="s">
        <v>357</v>
      </c>
      <c r="B118" s="67" t="s">
        <v>358</v>
      </c>
    </row>
    <row r="119" spans="1:2">
      <c r="A119" s="39" t="s">
        <v>359</v>
      </c>
      <c r="B119" s="67" t="s">
        <v>360</v>
      </c>
    </row>
    <row r="120" spans="1:2">
      <c r="A120" s="39" t="s">
        <v>361</v>
      </c>
      <c r="B120" s="67" t="s">
        <v>362</v>
      </c>
    </row>
    <row r="121" spans="1:2">
      <c r="A121" s="39" t="s">
        <v>363</v>
      </c>
      <c r="B121" s="67" t="s">
        <v>364</v>
      </c>
    </row>
    <row r="122" spans="1:2">
      <c r="A122" s="39" t="s">
        <v>365</v>
      </c>
      <c r="B122" s="67" t="s">
        <v>366</v>
      </c>
    </row>
    <row r="123" spans="1:2">
      <c r="A123" s="39" t="s">
        <v>367</v>
      </c>
      <c r="B123" s="67" t="s">
        <v>368</v>
      </c>
    </row>
    <row r="124" spans="1:2">
      <c r="A124" s="39" t="s">
        <v>369</v>
      </c>
      <c r="B124" s="67" t="s">
        <v>370</v>
      </c>
    </row>
    <row r="125" spans="1:2">
      <c r="A125" s="39" t="s">
        <v>371</v>
      </c>
      <c r="B125" s="67" t="s">
        <v>372</v>
      </c>
    </row>
    <row r="126" spans="1:2">
      <c r="A126" s="39" t="s">
        <v>373</v>
      </c>
      <c r="B126" s="67" t="s">
        <v>374</v>
      </c>
    </row>
    <row r="127" spans="1:2">
      <c r="A127" s="39" t="s">
        <v>375</v>
      </c>
      <c r="B127" s="67" t="s">
        <v>376</v>
      </c>
    </row>
    <row r="128" spans="1:2">
      <c r="A128" s="39" t="s">
        <v>377</v>
      </c>
      <c r="B128" s="67" t="s">
        <v>378</v>
      </c>
    </row>
    <row r="129" spans="1:2">
      <c r="A129" s="39" t="s">
        <v>379</v>
      </c>
      <c r="B129" s="67" t="s">
        <v>380</v>
      </c>
    </row>
    <row r="130" spans="1:2">
      <c r="A130" s="39" t="s">
        <v>381</v>
      </c>
      <c r="B130" s="67" t="s">
        <v>382</v>
      </c>
    </row>
    <row r="131" spans="1:2">
      <c r="A131" s="39" t="s">
        <v>383</v>
      </c>
      <c r="B131" s="67" t="s">
        <v>384</v>
      </c>
    </row>
    <row r="132" spans="1:2">
      <c r="A132" s="39" t="s">
        <v>385</v>
      </c>
      <c r="B132" s="67" t="s">
        <v>386</v>
      </c>
    </row>
    <row r="133" spans="1:2">
      <c r="A133" s="39" t="s">
        <v>387</v>
      </c>
      <c r="B133" s="67" t="s">
        <v>388</v>
      </c>
    </row>
    <row r="134" spans="1:2">
      <c r="A134" s="39" t="s">
        <v>389</v>
      </c>
      <c r="B134" s="67" t="s">
        <v>390</v>
      </c>
    </row>
    <row r="135" spans="1:2">
      <c r="A135" s="39" t="s">
        <v>391</v>
      </c>
      <c r="B135" s="67" t="s">
        <v>392</v>
      </c>
    </row>
    <row r="136" spans="1:2">
      <c r="A136" s="39" t="s">
        <v>393</v>
      </c>
      <c r="B136" s="67" t="s">
        <v>394</v>
      </c>
    </row>
    <row r="137" spans="1:2">
      <c r="A137" s="39" t="s">
        <v>395</v>
      </c>
      <c r="B137" s="67" t="s">
        <v>396</v>
      </c>
    </row>
    <row r="138" spans="1:2">
      <c r="A138" s="39" t="s">
        <v>397</v>
      </c>
      <c r="B138" s="67" t="s">
        <v>398</v>
      </c>
    </row>
    <row r="139" spans="1:2">
      <c r="A139" s="39" t="s">
        <v>399</v>
      </c>
      <c r="B139" s="67" t="s">
        <v>400</v>
      </c>
    </row>
    <row r="140" spans="1:2">
      <c r="A140" s="39" t="s">
        <v>401</v>
      </c>
      <c r="B140" s="67" t="s">
        <v>402</v>
      </c>
    </row>
    <row r="141" spans="1:2">
      <c r="A141" s="39" t="s">
        <v>403</v>
      </c>
      <c r="B141" s="67" t="s">
        <v>404</v>
      </c>
    </row>
    <row r="142" spans="1:2">
      <c r="A142" s="39" t="s">
        <v>405</v>
      </c>
      <c r="B142" s="67" t="s">
        <v>406</v>
      </c>
    </row>
    <row r="143" spans="1:2">
      <c r="A143" s="39" t="s">
        <v>407</v>
      </c>
      <c r="B143" s="67" t="s">
        <v>408</v>
      </c>
    </row>
    <row r="144" spans="1:2">
      <c r="A144" s="39" t="s">
        <v>409</v>
      </c>
      <c r="B144" s="67" t="s">
        <v>410</v>
      </c>
    </row>
    <row r="145" spans="1:2">
      <c r="A145" s="39" t="s">
        <v>411</v>
      </c>
      <c r="B145" s="67" t="s">
        <v>412</v>
      </c>
    </row>
    <row r="146" spans="1:2">
      <c r="A146" s="39" t="s">
        <v>413</v>
      </c>
      <c r="B146" s="67" t="s">
        <v>414</v>
      </c>
    </row>
    <row r="147" spans="1:2">
      <c r="A147" s="39" t="s">
        <v>415</v>
      </c>
      <c r="B147" s="67" t="s">
        <v>416</v>
      </c>
    </row>
    <row r="148" spans="1:2">
      <c r="A148" s="39" t="s">
        <v>417</v>
      </c>
      <c r="B148" s="67" t="s">
        <v>418</v>
      </c>
    </row>
    <row r="149" spans="1:2">
      <c r="A149" s="39" t="s">
        <v>419</v>
      </c>
      <c r="B149" s="67" t="s">
        <v>420</v>
      </c>
    </row>
    <row r="150" spans="1:2">
      <c r="A150" s="39" t="s">
        <v>421</v>
      </c>
      <c r="B150" s="67" t="s">
        <v>422</v>
      </c>
    </row>
    <row r="151" spans="1:2">
      <c r="A151" s="39" t="s">
        <v>423</v>
      </c>
      <c r="B151" s="67" t="s">
        <v>424</v>
      </c>
    </row>
    <row r="152" spans="1:2">
      <c r="A152" s="39" t="s">
        <v>425</v>
      </c>
      <c r="B152" s="67" t="s">
        <v>426</v>
      </c>
    </row>
    <row r="153" spans="1:2">
      <c r="A153" s="39" t="s">
        <v>427</v>
      </c>
      <c r="B153" s="67" t="s">
        <v>428</v>
      </c>
    </row>
    <row r="154" spans="1:2">
      <c r="A154" s="39" t="s">
        <v>429</v>
      </c>
      <c r="B154" s="67" t="s">
        <v>430</v>
      </c>
    </row>
    <row r="155" spans="1:2">
      <c r="A155" s="39" t="s">
        <v>431</v>
      </c>
      <c r="B155" s="67" t="s">
        <v>432</v>
      </c>
    </row>
    <row r="156" spans="1:2">
      <c r="A156" s="39" t="s">
        <v>433</v>
      </c>
      <c r="B156" s="67" t="s">
        <v>434</v>
      </c>
    </row>
    <row r="157" spans="1:2">
      <c r="A157" s="39" t="s">
        <v>435</v>
      </c>
      <c r="B157" s="67" t="s">
        <v>436</v>
      </c>
    </row>
    <row r="158" spans="1:2">
      <c r="A158" s="39" t="s">
        <v>437</v>
      </c>
      <c r="B158" s="67" t="s">
        <v>438</v>
      </c>
    </row>
    <row r="159" spans="1:2">
      <c r="A159" s="39" t="s">
        <v>439</v>
      </c>
      <c r="B159" s="67" t="s">
        <v>440</v>
      </c>
    </row>
    <row r="160" spans="1:2">
      <c r="A160" s="39" t="s">
        <v>441</v>
      </c>
      <c r="B160" s="67" t="s">
        <v>160</v>
      </c>
    </row>
    <row r="161" spans="1:2">
      <c r="A161" s="39" t="s">
        <v>442</v>
      </c>
      <c r="B161" s="67" t="s">
        <v>443</v>
      </c>
    </row>
    <row r="162" spans="1:2">
      <c r="A162" s="39" t="s">
        <v>444</v>
      </c>
      <c r="B162" s="67" t="s">
        <v>445</v>
      </c>
    </row>
    <row r="163" spans="1:2">
      <c r="A163" s="39" t="s">
        <v>446</v>
      </c>
      <c r="B163" s="67" t="s">
        <v>447</v>
      </c>
    </row>
    <row r="164" spans="1:2">
      <c r="A164" s="39" t="s">
        <v>448</v>
      </c>
      <c r="B164" s="67" t="s">
        <v>449</v>
      </c>
    </row>
    <row r="165" spans="1:2">
      <c r="A165" s="39" t="s">
        <v>450</v>
      </c>
      <c r="B165" s="67" t="s">
        <v>451</v>
      </c>
    </row>
    <row r="166" spans="1:2">
      <c r="A166" s="39" t="s">
        <v>452</v>
      </c>
      <c r="B166" s="67" t="s">
        <v>453</v>
      </c>
    </row>
    <row r="167" spans="1:2">
      <c r="A167" s="39" t="s">
        <v>454</v>
      </c>
      <c r="B167" s="67" t="s">
        <v>455</v>
      </c>
    </row>
    <row r="168" spans="1:2">
      <c r="A168" s="39" t="s">
        <v>456</v>
      </c>
      <c r="B168" s="67" t="s">
        <v>457</v>
      </c>
    </row>
    <row r="169" spans="1:2">
      <c r="A169" s="39" t="s">
        <v>458</v>
      </c>
      <c r="B169" s="67" t="s">
        <v>459</v>
      </c>
    </row>
    <row r="170" spans="1:2">
      <c r="A170" s="39" t="s">
        <v>460</v>
      </c>
      <c r="B170" s="67" t="s">
        <v>461</v>
      </c>
    </row>
    <row r="171" spans="1:2">
      <c r="A171" s="39" t="s">
        <v>462</v>
      </c>
      <c r="B171" s="67" t="s">
        <v>463</v>
      </c>
    </row>
    <row r="172" spans="1:2">
      <c r="A172" s="39" t="s">
        <v>464</v>
      </c>
      <c r="B172" s="67" t="s">
        <v>465</v>
      </c>
    </row>
    <row r="173" spans="1:2">
      <c r="A173" s="39" t="s">
        <v>466</v>
      </c>
      <c r="B173" s="67" t="s">
        <v>467</v>
      </c>
    </row>
    <row r="174" spans="1:2">
      <c r="A174" s="39" t="s">
        <v>468</v>
      </c>
      <c r="B174" s="67" t="s">
        <v>469</v>
      </c>
    </row>
    <row r="175" spans="1:2">
      <c r="A175" s="39" t="s">
        <v>470</v>
      </c>
      <c r="B175" s="67" t="s">
        <v>471</v>
      </c>
    </row>
    <row r="176" spans="1:2">
      <c r="A176" s="39" t="s">
        <v>472</v>
      </c>
      <c r="B176" s="67" t="s">
        <v>473</v>
      </c>
    </row>
    <row r="177" spans="1:2">
      <c r="A177" s="39" t="s">
        <v>474</v>
      </c>
      <c r="B177" s="67" t="s">
        <v>475</v>
      </c>
    </row>
    <row r="178" spans="1:2">
      <c r="A178" s="39" t="s">
        <v>476</v>
      </c>
      <c r="B178" s="67" t="s">
        <v>477</v>
      </c>
    </row>
    <row r="179" spans="1:2">
      <c r="A179" s="39" t="s">
        <v>478</v>
      </c>
      <c r="B179" s="67" t="s">
        <v>479</v>
      </c>
    </row>
    <row r="180" spans="1:2">
      <c r="A180" s="39" t="s">
        <v>480</v>
      </c>
      <c r="B180" s="67" t="s">
        <v>481</v>
      </c>
    </row>
    <row r="181" spans="1:2">
      <c r="A181" s="39" t="s">
        <v>482</v>
      </c>
      <c r="B181" s="67" t="s">
        <v>483</v>
      </c>
    </row>
    <row r="182" spans="1:2">
      <c r="A182" s="39" t="s">
        <v>484</v>
      </c>
      <c r="B182" s="67" t="s">
        <v>485</v>
      </c>
    </row>
    <row r="183" spans="1:2">
      <c r="A183" s="39" t="s">
        <v>486</v>
      </c>
      <c r="B183" s="67" t="s">
        <v>487</v>
      </c>
    </row>
    <row r="184" spans="1:2">
      <c r="A184" s="39" t="s">
        <v>488</v>
      </c>
      <c r="B184" s="67" t="s">
        <v>489</v>
      </c>
    </row>
    <row r="185" spans="1:2">
      <c r="A185" s="39" t="s">
        <v>490</v>
      </c>
      <c r="B185" s="67" t="s">
        <v>491</v>
      </c>
    </row>
    <row r="186" spans="1:2">
      <c r="A186" s="39" t="s">
        <v>492</v>
      </c>
      <c r="B186" s="67" t="s">
        <v>493</v>
      </c>
    </row>
    <row r="187" spans="1:2">
      <c r="A187" s="39" t="s">
        <v>494</v>
      </c>
      <c r="B187" s="67" t="s">
        <v>495</v>
      </c>
    </row>
    <row r="188" spans="1:2">
      <c r="A188" s="39" t="s">
        <v>496</v>
      </c>
      <c r="B188" s="67" t="s">
        <v>497</v>
      </c>
    </row>
    <row r="189" spans="1:2">
      <c r="A189" s="39" t="s">
        <v>498</v>
      </c>
      <c r="B189" s="67" t="s">
        <v>499</v>
      </c>
    </row>
    <row r="190" spans="1:2">
      <c r="A190" s="39" t="s">
        <v>500</v>
      </c>
      <c r="B190" s="67" t="s">
        <v>501</v>
      </c>
    </row>
    <row r="191" spans="1:2">
      <c r="A191" s="39" t="s">
        <v>502</v>
      </c>
      <c r="B191" s="67" t="s">
        <v>503</v>
      </c>
    </row>
    <row r="192" spans="1:2">
      <c r="A192" s="39" t="s">
        <v>504</v>
      </c>
      <c r="B192" s="67" t="s">
        <v>505</v>
      </c>
    </row>
    <row r="193" spans="1:2">
      <c r="A193" s="39" t="s">
        <v>506</v>
      </c>
      <c r="B193" s="67" t="s">
        <v>507</v>
      </c>
    </row>
    <row r="194" spans="1:2">
      <c r="A194" s="39" t="s">
        <v>508</v>
      </c>
      <c r="B194" s="67" t="s">
        <v>509</v>
      </c>
    </row>
    <row r="195" spans="1:2">
      <c r="A195" s="39" t="s">
        <v>510</v>
      </c>
      <c r="B195" s="67" t="s">
        <v>511</v>
      </c>
    </row>
    <row r="196" spans="1:2">
      <c r="A196" s="39" t="s">
        <v>512</v>
      </c>
      <c r="B196" s="67" t="s">
        <v>513</v>
      </c>
    </row>
    <row r="197" spans="1:2">
      <c r="A197" s="39" t="s">
        <v>514</v>
      </c>
      <c r="B197" s="67" t="s">
        <v>515</v>
      </c>
    </row>
    <row r="198" spans="1:2">
      <c r="A198" s="39" t="s">
        <v>516</v>
      </c>
      <c r="B198" s="67" t="s">
        <v>517</v>
      </c>
    </row>
    <row r="199" spans="1:2">
      <c r="A199" s="39" t="s">
        <v>518</v>
      </c>
      <c r="B199" s="67" t="s">
        <v>519</v>
      </c>
    </row>
    <row r="200" spans="1:2">
      <c r="A200" s="39" t="s">
        <v>520</v>
      </c>
      <c r="B200" s="67" t="s">
        <v>521</v>
      </c>
    </row>
    <row r="201" spans="1:2">
      <c r="A201" s="39" t="s">
        <v>522</v>
      </c>
      <c r="B201" s="67" t="s">
        <v>523</v>
      </c>
    </row>
    <row r="202" spans="1:2">
      <c r="A202" s="39" t="s">
        <v>524</v>
      </c>
      <c r="B202" s="67" t="s">
        <v>525</v>
      </c>
    </row>
    <row r="203" spans="1:2">
      <c r="A203" s="39" t="s">
        <v>526</v>
      </c>
      <c r="B203" s="67" t="s">
        <v>527</v>
      </c>
    </row>
    <row r="204" spans="1:2">
      <c r="A204" s="39" t="s">
        <v>528</v>
      </c>
      <c r="B204" s="67" t="s">
        <v>529</v>
      </c>
    </row>
    <row r="205" spans="1:2">
      <c r="A205" s="39" t="s">
        <v>530</v>
      </c>
      <c r="B205" s="67" t="s">
        <v>531</v>
      </c>
    </row>
    <row r="206" spans="1:2">
      <c r="A206" s="39" t="s">
        <v>532</v>
      </c>
      <c r="B206" s="67" t="s">
        <v>533</v>
      </c>
    </row>
    <row r="207" spans="1:2">
      <c r="A207" s="39" t="s">
        <v>534</v>
      </c>
      <c r="B207" s="67" t="s">
        <v>535</v>
      </c>
    </row>
    <row r="208" spans="1:2">
      <c r="A208" s="39" t="s">
        <v>536</v>
      </c>
      <c r="B208" s="67" t="s">
        <v>537</v>
      </c>
    </row>
    <row r="209" spans="1:2">
      <c r="A209" s="39" t="s">
        <v>538</v>
      </c>
      <c r="B209" s="67" t="s">
        <v>539</v>
      </c>
    </row>
    <row r="210" spans="1:2">
      <c r="A210" s="39" t="s">
        <v>540</v>
      </c>
      <c r="B210" s="67" t="s">
        <v>541</v>
      </c>
    </row>
    <row r="211" spans="1:2">
      <c r="A211" s="39" t="s">
        <v>542</v>
      </c>
      <c r="B211" s="67" t="s">
        <v>543</v>
      </c>
    </row>
    <row r="212" spans="1:2">
      <c r="A212" s="39" t="s">
        <v>544</v>
      </c>
      <c r="B212" s="67" t="s">
        <v>545</v>
      </c>
    </row>
    <row r="213" spans="1:2">
      <c r="A213" s="39" t="s">
        <v>546</v>
      </c>
      <c r="B213" s="67" t="s">
        <v>547</v>
      </c>
    </row>
    <row r="214" spans="1:2">
      <c r="A214" s="39" t="s">
        <v>548</v>
      </c>
      <c r="B214" s="67" t="s">
        <v>549</v>
      </c>
    </row>
    <row r="215" spans="1:2">
      <c r="A215" s="39" t="s">
        <v>550</v>
      </c>
      <c r="B215" s="67" t="s">
        <v>551</v>
      </c>
    </row>
    <row r="216" spans="1:2">
      <c r="A216" s="39" t="s">
        <v>552</v>
      </c>
      <c r="B216" s="67" t="s">
        <v>553</v>
      </c>
    </row>
    <row r="217" spans="1:2">
      <c r="A217" s="39" t="s">
        <v>554</v>
      </c>
      <c r="B217" s="67" t="s">
        <v>555</v>
      </c>
    </row>
    <row r="218" spans="1:2">
      <c r="A218" s="39" t="s">
        <v>556</v>
      </c>
      <c r="B218" s="67" t="s">
        <v>557</v>
      </c>
    </row>
    <row r="219" spans="1:2">
      <c r="A219" s="39" t="s">
        <v>558</v>
      </c>
      <c r="B219" s="67" t="s">
        <v>559</v>
      </c>
    </row>
    <row r="220" spans="1:2">
      <c r="A220" s="39" t="s">
        <v>560</v>
      </c>
      <c r="B220" s="67" t="s">
        <v>561</v>
      </c>
    </row>
    <row r="221" spans="1:2">
      <c r="A221" s="39" t="s">
        <v>562</v>
      </c>
      <c r="B221" s="67" t="s">
        <v>563</v>
      </c>
    </row>
    <row r="222" spans="1:2">
      <c r="A222" s="39" t="s">
        <v>564</v>
      </c>
      <c r="B222" s="67" t="s">
        <v>565</v>
      </c>
    </row>
    <row r="223" spans="1:2">
      <c r="A223" s="39" t="s">
        <v>566</v>
      </c>
      <c r="B223" s="67" t="s">
        <v>567</v>
      </c>
    </row>
    <row r="224" spans="1:2">
      <c r="A224" s="39" t="s">
        <v>568</v>
      </c>
      <c r="B224" s="67" t="s">
        <v>569</v>
      </c>
    </row>
    <row r="225" spans="1:2">
      <c r="A225" s="39" t="s">
        <v>570</v>
      </c>
      <c r="B225" s="67" t="s">
        <v>571</v>
      </c>
    </row>
    <row r="226" spans="1:2">
      <c r="A226" s="39" t="s">
        <v>572</v>
      </c>
      <c r="B226" s="67" t="s">
        <v>573</v>
      </c>
    </row>
    <row r="227" spans="1:2">
      <c r="A227" s="39" t="s">
        <v>574</v>
      </c>
      <c r="B227" s="67" t="s">
        <v>575</v>
      </c>
    </row>
    <row r="228" spans="1:2">
      <c r="A228" s="39" t="s">
        <v>576</v>
      </c>
      <c r="B228" s="67" t="s">
        <v>577</v>
      </c>
    </row>
    <row r="229" spans="1:2">
      <c r="A229" s="39" t="s">
        <v>578</v>
      </c>
      <c r="B229" s="67" t="s">
        <v>579</v>
      </c>
    </row>
    <row r="230" spans="1:2">
      <c r="A230" s="39" t="s">
        <v>580</v>
      </c>
      <c r="B230" s="67" t="s">
        <v>581</v>
      </c>
    </row>
    <row r="231" spans="1:2">
      <c r="A231" s="39" t="s">
        <v>582</v>
      </c>
      <c r="B231" s="67" t="s">
        <v>583</v>
      </c>
    </row>
    <row r="232" spans="1:2">
      <c r="A232" s="39" t="s">
        <v>584</v>
      </c>
      <c r="B232" s="67" t="s">
        <v>585</v>
      </c>
    </row>
    <row r="233" spans="1:2">
      <c r="A233" s="39" t="s">
        <v>586</v>
      </c>
      <c r="B233" s="67" t="s">
        <v>587</v>
      </c>
    </row>
    <row r="234" spans="1:2">
      <c r="A234" s="39" t="s">
        <v>588</v>
      </c>
      <c r="B234" s="67" t="s">
        <v>589</v>
      </c>
    </row>
    <row r="235" spans="1:2">
      <c r="A235" s="39" t="s">
        <v>590</v>
      </c>
      <c r="B235" s="67" t="s">
        <v>591</v>
      </c>
    </row>
    <row r="236" spans="1:2">
      <c r="A236" s="39" t="s">
        <v>592</v>
      </c>
      <c r="B236" s="67" t="s">
        <v>593</v>
      </c>
    </row>
    <row r="237" spans="1:2">
      <c r="A237" s="39" t="s">
        <v>594</v>
      </c>
      <c r="B237" s="67" t="s">
        <v>595</v>
      </c>
    </row>
    <row r="238" spans="1:2">
      <c r="A238" s="39" t="s">
        <v>596</v>
      </c>
      <c r="B238" s="67" t="s">
        <v>597</v>
      </c>
    </row>
    <row r="239" spans="1:2">
      <c r="A239" s="39" t="s">
        <v>598</v>
      </c>
      <c r="B239" s="67" t="s">
        <v>599</v>
      </c>
    </row>
    <row r="240" spans="1:2">
      <c r="A240" s="39" t="s">
        <v>600</v>
      </c>
      <c r="B240" s="67" t="s">
        <v>601</v>
      </c>
    </row>
    <row r="241" spans="1:2">
      <c r="A241" s="39" t="s">
        <v>602</v>
      </c>
      <c r="B241" s="67" t="s">
        <v>603</v>
      </c>
    </row>
    <row r="242" spans="1:2">
      <c r="A242" s="39" t="s">
        <v>604</v>
      </c>
      <c r="B242" s="67" t="s">
        <v>605</v>
      </c>
    </row>
    <row r="243" spans="1:2">
      <c r="A243" s="39" t="s">
        <v>606</v>
      </c>
      <c r="B243" s="67" t="s">
        <v>607</v>
      </c>
    </row>
    <row r="244" spans="1:2">
      <c r="A244" s="39" t="s">
        <v>608</v>
      </c>
      <c r="B244" s="67" t="s">
        <v>609</v>
      </c>
    </row>
    <row r="245" spans="1:2">
      <c r="A245" s="39" t="s">
        <v>610</v>
      </c>
      <c r="B245" s="67" t="s">
        <v>611</v>
      </c>
    </row>
    <row r="246" spans="1:2">
      <c r="A246" s="39" t="s">
        <v>612</v>
      </c>
      <c r="B246" s="67" t="s">
        <v>613</v>
      </c>
    </row>
    <row r="247" spans="1:2">
      <c r="A247" s="39" t="s">
        <v>614</v>
      </c>
      <c r="B247" s="67" t="s">
        <v>615</v>
      </c>
    </row>
    <row r="248" spans="1:2">
      <c r="A248" s="39" t="s">
        <v>616</v>
      </c>
      <c r="B248" s="67" t="s">
        <v>617</v>
      </c>
    </row>
    <row r="249" spans="1:2">
      <c r="A249" s="39" t="s">
        <v>618</v>
      </c>
      <c r="B249" s="67" t="s">
        <v>619</v>
      </c>
    </row>
    <row r="250" spans="1:2">
      <c r="A250" s="39" t="s">
        <v>620</v>
      </c>
      <c r="B250" s="67" t="s">
        <v>621</v>
      </c>
    </row>
    <row r="251" spans="1:2">
      <c r="A251" s="39" t="s">
        <v>622</v>
      </c>
      <c r="B251" s="67" t="s">
        <v>623</v>
      </c>
    </row>
    <row r="252" spans="1:2">
      <c r="A252" s="39" t="s">
        <v>624</v>
      </c>
      <c r="B252" s="67" t="s">
        <v>625</v>
      </c>
    </row>
    <row r="253" spans="1:2">
      <c r="A253" s="39" t="s">
        <v>626</v>
      </c>
      <c r="B253" s="67" t="s">
        <v>627</v>
      </c>
    </row>
    <row r="254" spans="1:2">
      <c r="A254" s="39" t="s">
        <v>628</v>
      </c>
      <c r="B254" s="67" t="s">
        <v>629</v>
      </c>
    </row>
    <row r="255" spans="1:2">
      <c r="A255" s="39" t="s">
        <v>630</v>
      </c>
      <c r="B255" s="67" t="s">
        <v>631</v>
      </c>
    </row>
    <row r="256" spans="1:2">
      <c r="A256" s="39" t="s">
        <v>632</v>
      </c>
      <c r="B256" s="67" t="s">
        <v>633</v>
      </c>
    </row>
    <row r="257" spans="1:2">
      <c r="A257" s="39" t="s">
        <v>634</v>
      </c>
      <c r="B257" s="67" t="s">
        <v>635</v>
      </c>
    </row>
    <row r="258" spans="1:2">
      <c r="A258" s="39" t="s">
        <v>636</v>
      </c>
      <c r="B258" s="67" t="s">
        <v>637</v>
      </c>
    </row>
    <row r="259" spans="1:2">
      <c r="A259" s="39" t="s">
        <v>638</v>
      </c>
      <c r="B259" s="67" t="s">
        <v>639</v>
      </c>
    </row>
    <row r="260" spans="1:2">
      <c r="A260" s="39" t="s">
        <v>640</v>
      </c>
      <c r="B260" s="67" t="s">
        <v>641</v>
      </c>
    </row>
    <row r="261" spans="1:2">
      <c r="A261" s="39" t="s">
        <v>642</v>
      </c>
      <c r="B261" s="67" t="s">
        <v>643</v>
      </c>
    </row>
    <row r="262" spans="1:2">
      <c r="A262" s="39" t="s">
        <v>644</v>
      </c>
      <c r="B262" s="67" t="s">
        <v>645</v>
      </c>
    </row>
    <row r="263" spans="1:2">
      <c r="A263" s="39" t="s">
        <v>646</v>
      </c>
      <c r="B263" s="67" t="s">
        <v>647</v>
      </c>
    </row>
    <row r="264" spans="1:2">
      <c r="A264" s="39" t="s">
        <v>648</v>
      </c>
      <c r="B264" s="67" t="s">
        <v>649</v>
      </c>
    </row>
    <row r="265" spans="1:2">
      <c r="A265" s="39" t="s">
        <v>650</v>
      </c>
      <c r="B265" s="67" t="s">
        <v>651</v>
      </c>
    </row>
    <row r="266" spans="1:2">
      <c r="A266" s="39" t="s">
        <v>652</v>
      </c>
      <c r="B266" s="67" t="s">
        <v>653</v>
      </c>
    </row>
    <row r="267" spans="1:2">
      <c r="A267" s="39" t="s">
        <v>654</v>
      </c>
      <c r="B267" s="67" t="s">
        <v>655</v>
      </c>
    </row>
    <row r="268" spans="1:2">
      <c r="A268" s="39" t="s">
        <v>656</v>
      </c>
      <c r="B268" s="67" t="s">
        <v>657</v>
      </c>
    </row>
    <row r="269" spans="1:2">
      <c r="A269" s="39" t="s">
        <v>658</v>
      </c>
      <c r="B269" s="67" t="s">
        <v>659</v>
      </c>
    </row>
    <row r="270" spans="1:2">
      <c r="A270" s="39" t="s">
        <v>660</v>
      </c>
      <c r="B270" s="67" t="s">
        <v>661</v>
      </c>
    </row>
    <row r="271" spans="1:2" ht="15.75" thickBot="1">
      <c r="A271" s="40" t="s">
        <v>662</v>
      </c>
      <c r="B271" s="50" t="s">
        <v>663</v>
      </c>
    </row>
    <row r="276" spans="1:3">
      <c r="A276" t="s">
        <v>664</v>
      </c>
    </row>
    <row r="277" spans="1:3">
      <c r="A277" s="144" t="s">
        <v>665</v>
      </c>
      <c r="B277" s="148" t="s">
        <v>666</v>
      </c>
      <c r="C277" s="146" t="s">
        <v>667</v>
      </c>
    </row>
    <row r="278" spans="1:3" ht="15.75" thickBot="1">
      <c r="A278" s="145"/>
      <c r="B278" s="149"/>
      <c r="C278" s="147"/>
    </row>
    <row r="279" spans="1:3">
      <c r="A279" s="84" t="s">
        <v>668</v>
      </c>
      <c r="B279" s="85" t="s">
        <v>669</v>
      </c>
      <c r="C279" s="86" t="s">
        <v>670</v>
      </c>
    </row>
    <row r="280" spans="1:3">
      <c r="A280" s="87" t="s">
        <v>671</v>
      </c>
      <c r="B280" s="79" t="s">
        <v>672</v>
      </c>
      <c r="C280" s="83" t="s">
        <v>673</v>
      </c>
    </row>
    <row r="281" spans="1:3">
      <c r="A281" s="87" t="s">
        <v>674</v>
      </c>
      <c r="B281" s="79" t="s">
        <v>675</v>
      </c>
      <c r="C281" s="83" t="s">
        <v>676</v>
      </c>
    </row>
    <row r="282" spans="1:3">
      <c r="A282" s="87" t="s">
        <v>677</v>
      </c>
      <c r="B282" s="79" t="s">
        <v>678</v>
      </c>
      <c r="C282" s="83" t="s">
        <v>679</v>
      </c>
    </row>
    <row r="283" spans="1:3">
      <c r="A283" s="87" t="s">
        <v>680</v>
      </c>
      <c r="B283" s="79" t="s">
        <v>681</v>
      </c>
      <c r="C283" s="83" t="s">
        <v>682</v>
      </c>
    </row>
    <row r="284" spans="1:3">
      <c r="A284" s="87" t="s">
        <v>683</v>
      </c>
      <c r="B284" s="79" t="s">
        <v>684</v>
      </c>
      <c r="C284" s="83" t="s">
        <v>685</v>
      </c>
    </row>
    <row r="285" spans="1:3">
      <c r="A285" s="87" t="s">
        <v>686</v>
      </c>
      <c r="B285" s="79" t="s">
        <v>687</v>
      </c>
      <c r="C285" s="83" t="s">
        <v>688</v>
      </c>
    </row>
    <row r="286" spans="1:3">
      <c r="A286" s="88" t="s">
        <v>689</v>
      </c>
      <c r="B286" s="78" t="s">
        <v>84</v>
      </c>
      <c r="C286" s="81" t="s">
        <v>690</v>
      </c>
    </row>
    <row r="287" spans="1:3">
      <c r="A287" s="88" t="s">
        <v>691</v>
      </c>
      <c r="B287" s="78" t="s">
        <v>692</v>
      </c>
      <c r="C287" s="81" t="s">
        <v>693</v>
      </c>
    </row>
    <row r="288" spans="1:3">
      <c r="A288" s="88" t="s">
        <v>691</v>
      </c>
      <c r="B288" s="78" t="s">
        <v>694</v>
      </c>
      <c r="C288" s="81" t="s">
        <v>695</v>
      </c>
    </row>
    <row r="289" spans="1:3">
      <c r="A289" s="88" t="s">
        <v>696</v>
      </c>
      <c r="B289" s="78" t="s">
        <v>697</v>
      </c>
      <c r="C289" s="80" t="s">
        <v>698</v>
      </c>
    </row>
    <row r="290" spans="1:3">
      <c r="A290" s="88" t="s">
        <v>699</v>
      </c>
      <c r="B290" s="78" t="s">
        <v>700</v>
      </c>
      <c r="C290" s="81" t="s">
        <v>701</v>
      </c>
    </row>
    <row r="291" spans="1:3">
      <c r="A291" s="88" t="s">
        <v>702</v>
      </c>
      <c r="B291" s="78" t="s">
        <v>703</v>
      </c>
      <c r="C291" s="81" t="s">
        <v>704</v>
      </c>
    </row>
    <row r="292" spans="1:3">
      <c r="A292" s="88" t="s">
        <v>705</v>
      </c>
      <c r="B292" s="78" t="s">
        <v>706</v>
      </c>
      <c r="C292" s="81" t="s">
        <v>707</v>
      </c>
    </row>
    <row r="293" spans="1:3">
      <c r="A293" s="88" t="s">
        <v>708</v>
      </c>
      <c r="B293" s="78" t="s">
        <v>709</v>
      </c>
      <c r="C293" s="81" t="s">
        <v>710</v>
      </c>
    </row>
    <row r="294" spans="1:3">
      <c r="A294" s="88" t="s">
        <v>711</v>
      </c>
      <c r="B294" s="78" t="s">
        <v>712</v>
      </c>
      <c r="C294" s="81" t="s">
        <v>713</v>
      </c>
    </row>
    <row r="295" spans="1:3">
      <c r="A295" s="88" t="s">
        <v>714</v>
      </c>
      <c r="B295" s="78" t="s">
        <v>715</v>
      </c>
      <c r="C295" s="81" t="s">
        <v>716</v>
      </c>
    </row>
    <row r="296" spans="1:3">
      <c r="A296" s="88" t="s">
        <v>717</v>
      </c>
      <c r="B296" s="78" t="s">
        <v>718</v>
      </c>
      <c r="C296" s="81" t="s">
        <v>719</v>
      </c>
    </row>
    <row r="297" spans="1:3">
      <c r="A297" s="88" t="s">
        <v>720</v>
      </c>
      <c r="B297" s="78" t="s">
        <v>721</v>
      </c>
      <c r="C297" s="81" t="s">
        <v>722</v>
      </c>
    </row>
    <row r="298" spans="1:3">
      <c r="A298" s="88" t="s">
        <v>720</v>
      </c>
      <c r="B298" s="78" t="s">
        <v>723</v>
      </c>
      <c r="C298" s="81" t="s">
        <v>722</v>
      </c>
    </row>
    <row r="299" spans="1:3">
      <c r="A299" s="88" t="s">
        <v>724</v>
      </c>
      <c r="B299" s="78" t="s">
        <v>725</v>
      </c>
      <c r="C299" s="81" t="s">
        <v>726</v>
      </c>
    </row>
    <row r="300" spans="1:3">
      <c r="A300" s="88" t="s">
        <v>727</v>
      </c>
      <c r="B300" s="78" t="s">
        <v>728</v>
      </c>
      <c r="C300" s="81" t="s">
        <v>729</v>
      </c>
    </row>
    <row r="301" spans="1:3">
      <c r="A301" s="88" t="s">
        <v>730</v>
      </c>
      <c r="B301" s="78" t="s">
        <v>731</v>
      </c>
      <c r="C301" s="81" t="s">
        <v>732</v>
      </c>
    </row>
    <row r="302" spans="1:3">
      <c r="A302" s="88" t="s">
        <v>733</v>
      </c>
      <c r="B302" s="78" t="s">
        <v>734</v>
      </c>
      <c r="C302" s="81" t="s">
        <v>735</v>
      </c>
    </row>
    <row r="303" spans="1:3">
      <c r="A303" s="88" t="s">
        <v>733</v>
      </c>
      <c r="B303" s="78" t="s">
        <v>736</v>
      </c>
      <c r="C303" s="81" t="s">
        <v>735</v>
      </c>
    </row>
    <row r="304" spans="1:3">
      <c r="A304" s="88" t="s">
        <v>737</v>
      </c>
      <c r="B304" s="78" t="s">
        <v>738</v>
      </c>
      <c r="C304" s="81" t="s">
        <v>739</v>
      </c>
    </row>
    <row r="305" spans="1:3">
      <c r="A305" s="88" t="s">
        <v>740</v>
      </c>
      <c r="B305" s="78" t="s">
        <v>741</v>
      </c>
      <c r="C305" s="81" t="s">
        <v>742</v>
      </c>
    </row>
    <row r="306" spans="1:3">
      <c r="A306" s="88" t="s">
        <v>743</v>
      </c>
      <c r="B306" s="78" t="s">
        <v>744</v>
      </c>
      <c r="C306" s="81" t="s">
        <v>745</v>
      </c>
    </row>
    <row r="307" spans="1:3">
      <c r="A307" s="88" t="s">
        <v>746</v>
      </c>
      <c r="B307" s="78" t="s">
        <v>747</v>
      </c>
      <c r="C307" s="81" t="s">
        <v>748</v>
      </c>
    </row>
    <row r="308" spans="1:3">
      <c r="A308" s="88" t="s">
        <v>749</v>
      </c>
      <c r="B308" s="78" t="s">
        <v>750</v>
      </c>
      <c r="C308" s="81" t="s">
        <v>751</v>
      </c>
    </row>
    <row r="309" spans="1:3">
      <c r="A309" s="88" t="s">
        <v>752</v>
      </c>
      <c r="B309" s="78" t="s">
        <v>753</v>
      </c>
      <c r="C309" s="81" t="s">
        <v>754</v>
      </c>
    </row>
    <row r="310" spans="1:3">
      <c r="A310" s="88" t="s">
        <v>755</v>
      </c>
      <c r="B310" s="78" t="s">
        <v>756</v>
      </c>
      <c r="C310" s="81" t="s">
        <v>757</v>
      </c>
    </row>
    <row r="311" spans="1:3">
      <c r="A311" s="88" t="s">
        <v>758</v>
      </c>
      <c r="B311" s="78" t="s">
        <v>759</v>
      </c>
      <c r="C311" s="81" t="s">
        <v>760</v>
      </c>
    </row>
    <row r="312" spans="1:3">
      <c r="A312" s="88" t="s">
        <v>758</v>
      </c>
      <c r="B312" s="78" t="s">
        <v>761</v>
      </c>
      <c r="C312" s="81" t="s">
        <v>760</v>
      </c>
    </row>
    <row r="313" spans="1:3">
      <c r="A313" s="88" t="s">
        <v>762</v>
      </c>
      <c r="B313" s="78" t="s">
        <v>763</v>
      </c>
      <c r="C313" s="81" t="s">
        <v>764</v>
      </c>
    </row>
    <row r="314" spans="1:3">
      <c r="A314" s="88" t="s">
        <v>765</v>
      </c>
      <c r="B314" s="78" t="s">
        <v>766</v>
      </c>
      <c r="C314" s="95" t="s">
        <v>767</v>
      </c>
    </row>
    <row r="315" spans="1:3">
      <c r="A315" s="88" t="s">
        <v>765</v>
      </c>
      <c r="B315" s="78" t="s">
        <v>768</v>
      </c>
      <c r="C315" s="95" t="s">
        <v>767</v>
      </c>
    </row>
    <row r="316" spans="1:3">
      <c r="A316" s="88" t="s">
        <v>769</v>
      </c>
      <c r="B316" s="78" t="s">
        <v>770</v>
      </c>
      <c r="C316" s="89" t="s">
        <v>771</v>
      </c>
    </row>
    <row r="317" spans="1:3">
      <c r="A317" s="88" t="s">
        <v>772</v>
      </c>
      <c r="B317" s="78" t="s">
        <v>773</v>
      </c>
      <c r="C317" s="81" t="s">
        <v>774</v>
      </c>
    </row>
    <row r="318" spans="1:3">
      <c r="A318" s="88" t="s">
        <v>775</v>
      </c>
      <c r="B318" s="79" t="s">
        <v>776</v>
      </c>
      <c r="C318" s="82" t="s">
        <v>777</v>
      </c>
    </row>
    <row r="319" spans="1:3">
      <c r="A319" s="88" t="s">
        <v>778</v>
      </c>
      <c r="B319" s="78" t="s">
        <v>779</v>
      </c>
      <c r="C319" s="81" t="s">
        <v>780</v>
      </c>
    </row>
    <row r="320" spans="1:3">
      <c r="A320" s="88" t="s">
        <v>781</v>
      </c>
      <c r="B320" s="78" t="s">
        <v>782</v>
      </c>
      <c r="C320" s="81" t="s">
        <v>783</v>
      </c>
    </row>
    <row r="321" spans="1:3">
      <c r="A321" s="88" t="s">
        <v>784</v>
      </c>
      <c r="B321" s="78" t="s">
        <v>785</v>
      </c>
      <c r="C321" s="81" t="s">
        <v>786</v>
      </c>
    </row>
    <row r="322" spans="1:3">
      <c r="A322" s="87" t="s">
        <v>787</v>
      </c>
      <c r="B322" s="79" t="s">
        <v>788</v>
      </c>
      <c r="C322" s="81" t="s">
        <v>789</v>
      </c>
    </row>
    <row r="323" spans="1:3">
      <c r="A323" s="87" t="s">
        <v>790</v>
      </c>
      <c r="B323" s="79" t="s">
        <v>791</v>
      </c>
      <c r="C323" s="81" t="s">
        <v>792</v>
      </c>
    </row>
    <row r="324" spans="1:3">
      <c r="A324" s="87" t="s">
        <v>793</v>
      </c>
      <c r="B324" s="79" t="s">
        <v>794</v>
      </c>
      <c r="C324" s="81" t="s">
        <v>795</v>
      </c>
    </row>
    <row r="325" spans="1:3">
      <c r="A325" s="87" t="s">
        <v>796</v>
      </c>
      <c r="B325" s="79" t="s">
        <v>797</v>
      </c>
      <c r="C325" s="81" t="s">
        <v>798</v>
      </c>
    </row>
    <row r="326" spans="1:3">
      <c r="A326" s="87" t="s">
        <v>799</v>
      </c>
      <c r="B326" s="79" t="s">
        <v>800</v>
      </c>
      <c r="C326" s="81" t="s">
        <v>801</v>
      </c>
    </row>
    <row r="327" spans="1:3">
      <c r="A327" s="87" t="s">
        <v>799</v>
      </c>
      <c r="B327" s="79" t="s">
        <v>802</v>
      </c>
      <c r="C327" s="81" t="s">
        <v>801</v>
      </c>
    </row>
    <row r="328" spans="1:3">
      <c r="A328" s="87" t="s">
        <v>803</v>
      </c>
      <c r="B328" s="79" t="s">
        <v>804</v>
      </c>
      <c r="C328" s="81" t="s">
        <v>805</v>
      </c>
    </row>
    <row r="329" spans="1:3">
      <c r="A329" s="87" t="s">
        <v>806</v>
      </c>
      <c r="B329" s="79" t="s">
        <v>807</v>
      </c>
      <c r="C329" s="81" t="s">
        <v>808</v>
      </c>
    </row>
    <row r="330" spans="1:3">
      <c r="A330" s="87" t="s">
        <v>809</v>
      </c>
      <c r="B330" s="79" t="s">
        <v>810</v>
      </c>
      <c r="C330" s="81" t="s">
        <v>811</v>
      </c>
    </row>
    <row r="331" spans="1:3">
      <c r="A331" s="87" t="s">
        <v>812</v>
      </c>
      <c r="B331" s="79" t="s">
        <v>813</v>
      </c>
      <c r="C331" s="81" t="s">
        <v>814</v>
      </c>
    </row>
    <row r="332" spans="1:3">
      <c r="A332" s="87" t="s">
        <v>815</v>
      </c>
      <c r="B332" s="79" t="s">
        <v>816</v>
      </c>
      <c r="C332" s="81" t="s">
        <v>817</v>
      </c>
    </row>
    <row r="333" spans="1:3">
      <c r="A333" s="87" t="s">
        <v>818</v>
      </c>
      <c r="B333" s="79" t="s">
        <v>819</v>
      </c>
      <c r="C333" s="81" t="s">
        <v>820</v>
      </c>
    </row>
    <row r="334" spans="1:3">
      <c r="A334" s="93" t="s">
        <v>821</v>
      </c>
      <c r="B334" s="94" t="s">
        <v>822</v>
      </c>
      <c r="C334" s="82" t="s">
        <v>823</v>
      </c>
    </row>
    <row r="335" spans="1:3" ht="15.75" thickBot="1">
      <c r="A335" s="90" t="s">
        <v>824</v>
      </c>
      <c r="B335" s="91" t="s">
        <v>825</v>
      </c>
      <c r="C335" s="92" t="s">
        <v>826</v>
      </c>
    </row>
  </sheetData>
  <sheetProtection formatColumns="0" selectLockedCells="1"/>
  <mergeCells count="6">
    <mergeCell ref="C5:I5"/>
    <mergeCell ref="C6:I6"/>
    <mergeCell ref="C7:I7"/>
    <mergeCell ref="A277:A278"/>
    <mergeCell ref="C277:C278"/>
    <mergeCell ref="B277:B278"/>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ACB</cp:lastModifiedBy>
  <dcterms:created xsi:type="dcterms:W3CDTF">2020-09-21T07:24:46Z</dcterms:created>
  <dcterms:modified xsi:type="dcterms:W3CDTF">2025-05-24T08:07:51Z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