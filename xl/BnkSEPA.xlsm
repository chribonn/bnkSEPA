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showInkAnnotation="0" backupFile="1" codeName="ThisWorkbook"/>
  <mc:AlternateContent xmlns:mc="http://schemas.openxmlformats.org/markup-compatibility/2006">
    <mc:Choice Requires="x15">
      <x15ac:absPath xmlns:x15ac="http://schemas.microsoft.com/office/spreadsheetml/2010/11/ac" url="C:\Users\Syncovery\Documents\bnkSEPA\xl\"/>
    </mc:Choice>
  </mc:AlternateContent>
  <xr:revisionPtr revIDLastSave="0" documentId="13_ncr:1_{6DF162D3-BFDA-4241-8991-69F809A3CAF3}" xr6:coauthVersionLast="47" xr6:coauthVersionMax="47" xr10:uidLastSave="{00000000-0000-0000-0000-000000000000}"/>
  <workbookProtection workbookAlgorithmName="SHA-512" workbookHashValue="6xpTfewzXJQqa95ptyYuShc9HsEig5uXYi8xFUiWk4BP6EOuQvxXc/W6fc5iFnJgTc2xWDchmI7ePThQdfzBFA==" workbookSaltValue="Tj+8dFC6VmllXyZ0jPTSlQ==" workbookSpinCount="100000" lockStructure="1"/>
  <bookViews>
    <workbookView xWindow="28680" yWindow="-120" windowWidth="29040" windowHeight="15720" tabRatio="508" activeTab="2" xr2:uid="{00000000-000D-0000-FFFF-FFFF00000000}"/>
  </bookViews>
  <sheets>
    <sheet name="Header Record" sheetId="1" r:id="rId1"/>
    <sheet name="Payment Information Record" sheetId="2" r:id="rId2"/>
    <sheet name="Credit Instruction Record" sheetId="4" r:id="rId3"/>
    <sheet name="Control" sheetId="5" r:id="rId4"/>
    <sheet name="Client Payee Data" sheetId="6" r:id="rId5"/>
    <sheet name="Control Data (Hidden)" sheetId="3" state="hidden" r:id="rId6"/>
  </sheets>
  <definedNames>
    <definedName name="Payee" comment="This rapresents the payee list.  It must be sorted on the account">'Client Payee Data'!$A$2:$K$9999</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 i="4" l="1"/>
  <c r="M2" i="5"/>
  <c r="P2" i="5" s="1"/>
  <c r="C5" i="1"/>
  <c r="D5" i="2" s="1"/>
  <c r="M9" i="5"/>
  <c r="J9" i="5"/>
  <c r="I9" i="5"/>
  <c r="H9" i="5"/>
  <c r="F9" i="5"/>
  <c r="E9" i="5"/>
  <c r="E8" i="5"/>
  <c r="F8" i="5"/>
  <c r="H8" i="5"/>
  <c r="I8" i="5"/>
  <c r="J8" i="5"/>
  <c r="M8" i="5"/>
  <c r="P8" i="5" s="1"/>
  <c r="O3" i="5"/>
  <c r="N3" i="5"/>
  <c r="M3" i="5"/>
  <c r="P3" i="5" s="1"/>
  <c r="L3" i="5"/>
  <c r="K3" i="5"/>
  <c r="J3" i="5"/>
  <c r="I3" i="5"/>
  <c r="H3" i="5"/>
  <c r="G3" i="5"/>
  <c r="F3" i="5"/>
  <c r="E3" i="5"/>
  <c r="O2" i="5"/>
  <c r="N2" i="5"/>
  <c r="L2" i="5"/>
  <c r="K2" i="5"/>
  <c r="J2" i="5"/>
  <c r="I2" i="5"/>
  <c r="H2" i="5"/>
  <c r="G2" i="5"/>
  <c r="F2" i="5"/>
  <c r="E2" i="5"/>
  <c r="D5" i="1" l="1"/>
  <c r="E5" i="2" s="1"/>
  <c r="M20" i="4" l="1"/>
  <c r="M18" i="4"/>
  <c r="M8" i="4"/>
  <c r="M6" i="4"/>
  <c r="L6" i="4"/>
  <c r="K20" i="4"/>
  <c r="K18" i="4"/>
  <c r="K8" i="4"/>
  <c r="K6" i="4"/>
  <c r="B6" i="4"/>
  <c r="D6" i="4"/>
  <c r="E6" i="4"/>
  <c r="F6" i="4"/>
  <c r="G6" i="4"/>
  <c r="H6" i="4"/>
  <c r="I6" i="4"/>
  <c r="J6" i="4"/>
  <c r="N6" i="4"/>
  <c r="O6" i="4"/>
  <c r="A8" i="4"/>
  <c r="B8" i="4"/>
  <c r="D8" i="4"/>
  <c r="E8" i="4"/>
  <c r="F8" i="4"/>
  <c r="G8" i="4"/>
  <c r="H8" i="4"/>
  <c r="I8" i="4"/>
  <c r="J8" i="4"/>
  <c r="L8" i="4"/>
  <c r="N8" i="4"/>
  <c r="O8" i="4"/>
  <c r="A10" i="4"/>
  <c r="B10" i="4"/>
  <c r="D10" i="4"/>
  <c r="E10" i="4"/>
  <c r="F10" i="4"/>
  <c r="G10" i="4"/>
  <c r="H10" i="4"/>
  <c r="I10" i="4"/>
  <c r="J10" i="4"/>
  <c r="K10" i="4"/>
  <c r="L10" i="4"/>
  <c r="M10" i="4"/>
  <c r="N10" i="4"/>
  <c r="O10" i="4"/>
  <c r="A12" i="4"/>
  <c r="B12" i="4"/>
  <c r="D12" i="4"/>
  <c r="E12" i="4"/>
  <c r="F12" i="4"/>
  <c r="G12" i="4"/>
  <c r="H12" i="4"/>
  <c r="I12" i="4"/>
  <c r="J12" i="4"/>
  <c r="K12" i="4"/>
  <c r="L12" i="4"/>
  <c r="M12" i="4"/>
  <c r="N12" i="4"/>
  <c r="O12" i="4"/>
  <c r="A14" i="4"/>
  <c r="B14" i="4"/>
  <c r="D14" i="4"/>
  <c r="E14" i="4"/>
  <c r="F14" i="4"/>
  <c r="G14" i="4"/>
  <c r="H14" i="4"/>
  <c r="I14" i="4"/>
  <c r="J14" i="4"/>
  <c r="K14" i="4"/>
  <c r="L14" i="4"/>
  <c r="M14" i="4"/>
  <c r="N14" i="4"/>
  <c r="O14" i="4"/>
  <c r="A16" i="4"/>
  <c r="B16" i="4"/>
  <c r="D16" i="4"/>
  <c r="E16" i="4"/>
  <c r="F16" i="4"/>
  <c r="G16" i="4"/>
  <c r="H16" i="4"/>
  <c r="I16" i="4"/>
  <c r="J16" i="4"/>
  <c r="K16" i="4"/>
  <c r="L16" i="4"/>
  <c r="M16" i="4"/>
  <c r="N16" i="4"/>
  <c r="O16" i="4"/>
  <c r="F20" i="4"/>
  <c r="F18" i="4"/>
  <c r="E20" i="4"/>
  <c r="E18" i="4"/>
  <c r="D20" i="4"/>
  <c r="D18" i="4"/>
  <c r="B20" i="4"/>
  <c r="B18" i="4"/>
  <c r="A20" i="4"/>
  <c r="A18" i="4"/>
  <c r="E106" i="4"/>
  <c r="E104" i="4"/>
  <c r="E102" i="4"/>
  <c r="E100" i="4"/>
  <c r="E98" i="4"/>
  <c r="E96" i="4"/>
  <c r="E94" i="4"/>
  <c r="E92" i="4"/>
  <c r="E90" i="4"/>
  <c r="E88" i="4"/>
  <c r="E86" i="4"/>
  <c r="E84" i="4"/>
  <c r="E82" i="4"/>
  <c r="E80" i="4"/>
  <c r="E78" i="4"/>
  <c r="E76" i="4"/>
  <c r="E74" i="4"/>
  <c r="E72" i="4"/>
  <c r="E70" i="4"/>
  <c r="E68" i="4"/>
  <c r="E66" i="4"/>
  <c r="E64" i="4"/>
  <c r="E62" i="4"/>
  <c r="E60" i="4"/>
  <c r="E58" i="4"/>
  <c r="E56" i="4"/>
  <c r="E54" i="4"/>
  <c r="E52" i="4"/>
  <c r="E50" i="4"/>
  <c r="E48" i="4"/>
  <c r="E46" i="4"/>
  <c r="E44" i="4"/>
  <c r="E42" i="4"/>
  <c r="E40" i="4"/>
  <c r="E38" i="4"/>
  <c r="E36" i="4"/>
  <c r="E34" i="4"/>
  <c r="E32" i="4"/>
  <c r="E30" i="4"/>
  <c r="E28" i="4"/>
  <c r="E26" i="4"/>
  <c r="E24" i="4"/>
  <c r="E22" i="4"/>
  <c r="C14" i="3"/>
  <c r="B14" i="3"/>
  <c r="L106" i="4"/>
  <c r="L104" i="4"/>
  <c r="L102" i="4"/>
  <c r="L100" i="4"/>
  <c r="L98" i="4"/>
  <c r="L96" i="4"/>
  <c r="L94" i="4"/>
  <c r="L92" i="4"/>
  <c r="L90" i="4"/>
  <c r="L88" i="4"/>
  <c r="L86" i="4"/>
  <c r="L84" i="4"/>
  <c r="L82" i="4"/>
  <c r="L80" i="4"/>
  <c r="L78" i="4"/>
  <c r="L76" i="4"/>
  <c r="L74" i="4"/>
  <c r="L72" i="4"/>
  <c r="L70" i="4"/>
  <c r="L68" i="4"/>
  <c r="L66" i="4"/>
  <c r="L64" i="4"/>
  <c r="L62" i="4"/>
  <c r="L60" i="4"/>
  <c r="L58" i="4"/>
  <c r="L56" i="4"/>
  <c r="L54" i="4"/>
  <c r="L52" i="4"/>
  <c r="L50" i="4"/>
  <c r="L48" i="4"/>
  <c r="L46" i="4"/>
  <c r="L44" i="4"/>
  <c r="L42" i="4"/>
  <c r="L40" i="4"/>
  <c r="L38" i="4"/>
  <c r="L36" i="4"/>
  <c r="L34" i="4"/>
  <c r="L32" i="4"/>
  <c r="L30" i="4"/>
  <c r="L28" i="4"/>
  <c r="L26" i="4"/>
  <c r="L24" i="4"/>
  <c r="L22" i="4"/>
  <c r="L20" i="4"/>
  <c r="L18" i="4"/>
  <c r="K106" i="4"/>
  <c r="K104" i="4"/>
  <c r="K102" i="4"/>
  <c r="K100" i="4"/>
  <c r="K98" i="4"/>
  <c r="K96" i="4"/>
  <c r="K94" i="4"/>
  <c r="K92" i="4"/>
  <c r="K90" i="4"/>
  <c r="K88" i="4"/>
  <c r="K86" i="4"/>
  <c r="K84" i="4"/>
  <c r="K82" i="4"/>
  <c r="K80" i="4"/>
  <c r="K78" i="4"/>
  <c r="K76" i="4"/>
  <c r="K74" i="4"/>
  <c r="K72" i="4"/>
  <c r="K70" i="4"/>
  <c r="K68" i="4"/>
  <c r="K66" i="4"/>
  <c r="K64" i="4"/>
  <c r="K62" i="4"/>
  <c r="K60" i="4"/>
  <c r="K58" i="4"/>
  <c r="K56" i="4"/>
  <c r="K54" i="4"/>
  <c r="K52" i="4"/>
  <c r="K50" i="4"/>
  <c r="K48" i="4"/>
  <c r="K46" i="4"/>
  <c r="K44" i="4"/>
  <c r="K42" i="4"/>
  <c r="K40" i="4"/>
  <c r="K38" i="4"/>
  <c r="K36" i="4"/>
  <c r="K34" i="4"/>
  <c r="K32" i="4"/>
  <c r="K30" i="4"/>
  <c r="K28" i="4"/>
  <c r="K26" i="4"/>
  <c r="K24" i="4"/>
  <c r="K22" i="4"/>
  <c r="J106" i="4"/>
  <c r="J104" i="4"/>
  <c r="J102" i="4"/>
  <c r="J100" i="4"/>
  <c r="J98" i="4"/>
  <c r="J96" i="4"/>
  <c r="J94" i="4"/>
  <c r="J92" i="4"/>
  <c r="J90" i="4"/>
  <c r="J88" i="4"/>
  <c r="J86" i="4"/>
  <c r="J84" i="4"/>
  <c r="J82" i="4"/>
  <c r="J80" i="4"/>
  <c r="J78" i="4"/>
  <c r="J76" i="4"/>
  <c r="J74" i="4"/>
  <c r="J72" i="4"/>
  <c r="J70" i="4"/>
  <c r="J68" i="4"/>
  <c r="J66" i="4"/>
  <c r="J64" i="4"/>
  <c r="J62" i="4"/>
  <c r="J60" i="4"/>
  <c r="J58" i="4"/>
  <c r="J56" i="4"/>
  <c r="J54" i="4"/>
  <c r="J52" i="4"/>
  <c r="J50" i="4"/>
  <c r="J48" i="4"/>
  <c r="J46" i="4"/>
  <c r="J44" i="4"/>
  <c r="J42" i="4"/>
  <c r="J40" i="4"/>
  <c r="J38" i="4"/>
  <c r="J36" i="4"/>
  <c r="J34" i="4"/>
  <c r="J32" i="4"/>
  <c r="J30" i="4"/>
  <c r="J28" i="4"/>
  <c r="J26" i="4"/>
  <c r="J24" i="4"/>
  <c r="J22" i="4"/>
  <c r="J20" i="4"/>
  <c r="J18" i="4"/>
  <c r="I106" i="4"/>
  <c r="I104" i="4"/>
  <c r="I102" i="4"/>
  <c r="I100" i="4"/>
  <c r="I98" i="4"/>
  <c r="I96" i="4"/>
  <c r="I94" i="4"/>
  <c r="I92" i="4"/>
  <c r="I90" i="4"/>
  <c r="I88" i="4"/>
  <c r="I86" i="4"/>
  <c r="I84" i="4"/>
  <c r="I82" i="4"/>
  <c r="I80" i="4"/>
  <c r="I78" i="4"/>
  <c r="I76" i="4"/>
  <c r="I74" i="4"/>
  <c r="I72" i="4"/>
  <c r="I70" i="4"/>
  <c r="I68" i="4"/>
  <c r="I66" i="4"/>
  <c r="I64" i="4"/>
  <c r="I62" i="4"/>
  <c r="I60" i="4"/>
  <c r="I58" i="4"/>
  <c r="I56" i="4"/>
  <c r="I54" i="4"/>
  <c r="I52" i="4"/>
  <c r="I50" i="4"/>
  <c r="I48" i="4"/>
  <c r="I46" i="4"/>
  <c r="I44" i="4"/>
  <c r="I42" i="4"/>
  <c r="I40" i="4"/>
  <c r="I38" i="4"/>
  <c r="I36" i="4"/>
  <c r="I34" i="4"/>
  <c r="I32" i="4"/>
  <c r="I30" i="4"/>
  <c r="I28" i="4"/>
  <c r="I26" i="4"/>
  <c r="I24" i="4"/>
  <c r="I22" i="4"/>
  <c r="I20" i="4"/>
  <c r="I18" i="4"/>
  <c r="H106" i="4"/>
  <c r="H104" i="4"/>
  <c r="H102" i="4"/>
  <c r="H100" i="4"/>
  <c r="H98" i="4"/>
  <c r="H96" i="4"/>
  <c r="H94" i="4"/>
  <c r="H92" i="4"/>
  <c r="H90" i="4"/>
  <c r="H88" i="4"/>
  <c r="H86" i="4"/>
  <c r="H84" i="4"/>
  <c r="H82" i="4"/>
  <c r="H80" i="4"/>
  <c r="H78" i="4"/>
  <c r="H76" i="4"/>
  <c r="H74" i="4"/>
  <c r="H72" i="4"/>
  <c r="H70" i="4"/>
  <c r="H68" i="4"/>
  <c r="H66" i="4"/>
  <c r="H64" i="4"/>
  <c r="H62" i="4"/>
  <c r="H60" i="4"/>
  <c r="H58" i="4"/>
  <c r="H56" i="4"/>
  <c r="H54" i="4"/>
  <c r="H52" i="4"/>
  <c r="H50" i="4"/>
  <c r="H48" i="4"/>
  <c r="H46" i="4"/>
  <c r="H44" i="4"/>
  <c r="H42" i="4"/>
  <c r="H40" i="4"/>
  <c r="H38" i="4"/>
  <c r="H36" i="4"/>
  <c r="H34" i="4"/>
  <c r="H32" i="4"/>
  <c r="H30" i="4"/>
  <c r="H28" i="4"/>
  <c r="H26" i="4"/>
  <c r="H24" i="4"/>
  <c r="H22" i="4"/>
  <c r="H20" i="4"/>
  <c r="H18" i="4"/>
  <c r="I6" i="2" l="1"/>
  <c r="A2" i="5"/>
  <c r="B5" i="5"/>
  <c r="E52" i="5"/>
  <c r="F52" i="5"/>
  <c r="G52" i="5"/>
  <c r="H52" i="5"/>
  <c r="I52" i="5"/>
  <c r="J52" i="5"/>
  <c r="K52" i="5"/>
  <c r="L52" i="5"/>
  <c r="M52" i="5"/>
  <c r="P52" i="5" s="1"/>
  <c r="N52" i="5"/>
  <c r="O52" i="5"/>
  <c r="O106" i="4"/>
  <c r="N106" i="4"/>
  <c r="M106" i="4"/>
  <c r="G106" i="4"/>
  <c r="F106" i="4"/>
  <c r="D106" i="4"/>
  <c r="B106" i="4"/>
  <c r="A106" i="4"/>
  <c r="O104" i="4"/>
  <c r="N104" i="4"/>
  <c r="M104" i="4"/>
  <c r="G104" i="4"/>
  <c r="F104" i="4"/>
  <c r="D104" i="4"/>
  <c r="B104" i="4"/>
  <c r="A104" i="4"/>
  <c r="O102" i="4"/>
  <c r="N102" i="4"/>
  <c r="M102" i="4"/>
  <c r="G102" i="4"/>
  <c r="F102" i="4"/>
  <c r="D102" i="4"/>
  <c r="B102" i="4"/>
  <c r="A102" i="4"/>
  <c r="O100" i="4"/>
  <c r="N100" i="4"/>
  <c r="M100" i="4"/>
  <c r="G100" i="4"/>
  <c r="F100" i="4"/>
  <c r="D100" i="4"/>
  <c r="B100" i="4"/>
  <c r="A100" i="4"/>
  <c r="E44" i="5"/>
  <c r="F44" i="5"/>
  <c r="G44" i="5"/>
  <c r="H44" i="5"/>
  <c r="I44" i="5"/>
  <c r="J44" i="5"/>
  <c r="K44" i="5"/>
  <c r="L44" i="5"/>
  <c r="M44" i="5"/>
  <c r="P44" i="5" s="1"/>
  <c r="N44" i="5"/>
  <c r="O44" i="5"/>
  <c r="E45" i="5"/>
  <c r="F45" i="5"/>
  <c r="G45" i="5"/>
  <c r="H45" i="5"/>
  <c r="I45" i="5"/>
  <c r="J45" i="5"/>
  <c r="K45" i="5"/>
  <c r="L45" i="5"/>
  <c r="M45" i="5"/>
  <c r="P45" i="5" s="1"/>
  <c r="N45" i="5"/>
  <c r="O45" i="5"/>
  <c r="E46" i="5"/>
  <c r="F46" i="5"/>
  <c r="G46" i="5"/>
  <c r="H46" i="5"/>
  <c r="I46" i="5"/>
  <c r="J46" i="5"/>
  <c r="K46" i="5"/>
  <c r="L46" i="5"/>
  <c r="M46" i="5"/>
  <c r="P46" i="5" s="1"/>
  <c r="N46" i="5"/>
  <c r="O46" i="5"/>
  <c r="E47" i="5"/>
  <c r="F47" i="5"/>
  <c r="G47" i="5"/>
  <c r="H47" i="5"/>
  <c r="I47" i="5"/>
  <c r="J47" i="5"/>
  <c r="K47" i="5"/>
  <c r="L47" i="5"/>
  <c r="M47" i="5"/>
  <c r="P47" i="5" s="1"/>
  <c r="N47" i="5"/>
  <c r="O47" i="5"/>
  <c r="E48" i="5"/>
  <c r="F48" i="5"/>
  <c r="G48" i="5"/>
  <c r="H48" i="5"/>
  <c r="I48" i="5"/>
  <c r="J48" i="5"/>
  <c r="K48" i="5"/>
  <c r="L48" i="5"/>
  <c r="M48" i="5"/>
  <c r="P48" i="5" s="1"/>
  <c r="N48" i="5"/>
  <c r="O48" i="5"/>
  <c r="E49" i="5"/>
  <c r="F49" i="5"/>
  <c r="G49" i="5"/>
  <c r="H49" i="5"/>
  <c r="I49" i="5"/>
  <c r="J49" i="5"/>
  <c r="K49" i="5"/>
  <c r="L49" i="5"/>
  <c r="M49" i="5"/>
  <c r="P49" i="5" s="1"/>
  <c r="N49" i="5"/>
  <c r="O49" i="5"/>
  <c r="E50" i="5"/>
  <c r="F50" i="5"/>
  <c r="G50" i="5"/>
  <c r="H50" i="5"/>
  <c r="I50" i="5"/>
  <c r="J50" i="5"/>
  <c r="K50" i="5"/>
  <c r="L50" i="5"/>
  <c r="M50" i="5"/>
  <c r="P50" i="5" s="1"/>
  <c r="N50" i="5"/>
  <c r="O50" i="5"/>
  <c r="E51" i="5"/>
  <c r="F51" i="5"/>
  <c r="G51" i="5"/>
  <c r="H51" i="5"/>
  <c r="I51" i="5"/>
  <c r="J51" i="5"/>
  <c r="K51" i="5"/>
  <c r="L51" i="5"/>
  <c r="M51" i="5"/>
  <c r="P51" i="5" s="1"/>
  <c r="N51" i="5"/>
  <c r="O51" i="5"/>
  <c r="E43" i="5"/>
  <c r="F43" i="5"/>
  <c r="G43" i="5"/>
  <c r="H43" i="5"/>
  <c r="I43" i="5"/>
  <c r="J43" i="5"/>
  <c r="K43" i="5"/>
  <c r="L43" i="5"/>
  <c r="M43" i="5"/>
  <c r="P43" i="5" s="1"/>
  <c r="N43" i="5"/>
  <c r="O43" i="5"/>
  <c r="O98" i="4"/>
  <c r="N98" i="4"/>
  <c r="M98" i="4"/>
  <c r="G98" i="4"/>
  <c r="F98" i="4"/>
  <c r="D98" i="4"/>
  <c r="B98" i="4"/>
  <c r="A98" i="4"/>
  <c r="O96" i="4"/>
  <c r="N96" i="4"/>
  <c r="M96" i="4"/>
  <c r="G96" i="4"/>
  <c r="F96" i="4"/>
  <c r="D96" i="4"/>
  <c r="B96" i="4"/>
  <c r="A96" i="4"/>
  <c r="O94" i="4"/>
  <c r="N94" i="4"/>
  <c r="M94" i="4"/>
  <c r="G94" i="4"/>
  <c r="F94" i="4"/>
  <c r="D94" i="4"/>
  <c r="B94" i="4"/>
  <c r="A94" i="4"/>
  <c r="O92" i="4"/>
  <c r="N92" i="4"/>
  <c r="M92" i="4"/>
  <c r="G92" i="4"/>
  <c r="F92" i="4"/>
  <c r="D92" i="4"/>
  <c r="B92" i="4"/>
  <c r="A92" i="4"/>
  <c r="O90" i="4"/>
  <c r="N90" i="4"/>
  <c r="M90" i="4"/>
  <c r="G90" i="4"/>
  <c r="F90" i="4"/>
  <c r="D90" i="4"/>
  <c r="B90" i="4"/>
  <c r="A90" i="4"/>
  <c r="O88" i="4"/>
  <c r="N88" i="4"/>
  <c r="M88" i="4"/>
  <c r="G88" i="4"/>
  <c r="F88" i="4"/>
  <c r="D88" i="4"/>
  <c r="B88" i="4"/>
  <c r="A88" i="4"/>
  <c r="O86" i="4"/>
  <c r="N86" i="4"/>
  <c r="M86" i="4"/>
  <c r="G86" i="4"/>
  <c r="F86" i="4"/>
  <c r="D86" i="4"/>
  <c r="B86" i="4"/>
  <c r="A86" i="4"/>
  <c r="O84" i="4"/>
  <c r="N84" i="4"/>
  <c r="M84" i="4"/>
  <c r="G84" i="4"/>
  <c r="F84" i="4"/>
  <c r="D84" i="4"/>
  <c r="B84" i="4"/>
  <c r="A84" i="4"/>
  <c r="E34" i="5"/>
  <c r="F34" i="5"/>
  <c r="G34" i="5"/>
  <c r="H34" i="5"/>
  <c r="I34" i="5"/>
  <c r="J34" i="5"/>
  <c r="K34" i="5"/>
  <c r="L34" i="5"/>
  <c r="M34" i="5"/>
  <c r="P34" i="5" s="1"/>
  <c r="N34" i="5"/>
  <c r="O34" i="5"/>
  <c r="E35" i="5"/>
  <c r="F35" i="5"/>
  <c r="G35" i="5"/>
  <c r="H35" i="5"/>
  <c r="I35" i="5"/>
  <c r="J35" i="5"/>
  <c r="K35" i="5"/>
  <c r="L35" i="5"/>
  <c r="M35" i="5"/>
  <c r="P35" i="5" s="1"/>
  <c r="N35" i="5"/>
  <c r="O35" i="5"/>
  <c r="E36" i="5"/>
  <c r="F36" i="5"/>
  <c r="G36" i="5"/>
  <c r="H36" i="5"/>
  <c r="I36" i="5"/>
  <c r="J36" i="5"/>
  <c r="K36" i="5"/>
  <c r="L36" i="5"/>
  <c r="M36" i="5"/>
  <c r="P36" i="5" s="1"/>
  <c r="N36" i="5"/>
  <c r="O36" i="5"/>
  <c r="E37" i="5"/>
  <c r="F37" i="5"/>
  <c r="G37" i="5"/>
  <c r="H37" i="5"/>
  <c r="I37" i="5"/>
  <c r="J37" i="5"/>
  <c r="K37" i="5"/>
  <c r="L37" i="5"/>
  <c r="M37" i="5"/>
  <c r="P37" i="5" s="1"/>
  <c r="N37" i="5"/>
  <c r="O37" i="5"/>
  <c r="E38" i="5"/>
  <c r="F38" i="5"/>
  <c r="G38" i="5"/>
  <c r="H38" i="5"/>
  <c r="I38" i="5"/>
  <c r="J38" i="5"/>
  <c r="K38" i="5"/>
  <c r="L38" i="5"/>
  <c r="M38" i="5"/>
  <c r="P38" i="5" s="1"/>
  <c r="N38" i="5"/>
  <c r="O38" i="5"/>
  <c r="E39" i="5"/>
  <c r="F39" i="5"/>
  <c r="G39" i="5"/>
  <c r="H39" i="5"/>
  <c r="I39" i="5"/>
  <c r="J39" i="5"/>
  <c r="K39" i="5"/>
  <c r="L39" i="5"/>
  <c r="M39" i="5"/>
  <c r="P39" i="5" s="1"/>
  <c r="N39" i="5"/>
  <c r="O39" i="5"/>
  <c r="E40" i="5"/>
  <c r="F40" i="5"/>
  <c r="G40" i="5"/>
  <c r="H40" i="5"/>
  <c r="I40" i="5"/>
  <c r="J40" i="5"/>
  <c r="K40" i="5"/>
  <c r="L40" i="5"/>
  <c r="M40" i="5"/>
  <c r="P40" i="5" s="1"/>
  <c r="N40" i="5"/>
  <c r="O40" i="5"/>
  <c r="E41" i="5"/>
  <c r="F41" i="5"/>
  <c r="G41" i="5"/>
  <c r="H41" i="5"/>
  <c r="I41" i="5"/>
  <c r="J41" i="5"/>
  <c r="K41" i="5"/>
  <c r="L41" i="5"/>
  <c r="M41" i="5"/>
  <c r="P41" i="5" s="1"/>
  <c r="N41" i="5"/>
  <c r="O41" i="5"/>
  <c r="E42" i="5"/>
  <c r="F42" i="5"/>
  <c r="G42" i="5"/>
  <c r="H42" i="5"/>
  <c r="I42" i="5"/>
  <c r="J42" i="5"/>
  <c r="K42" i="5"/>
  <c r="L42" i="5"/>
  <c r="M42" i="5"/>
  <c r="P42" i="5" s="1"/>
  <c r="N42" i="5"/>
  <c r="O42" i="5"/>
  <c r="O82" i="4"/>
  <c r="N82" i="4"/>
  <c r="M82" i="4"/>
  <c r="G82" i="4"/>
  <c r="F82" i="4"/>
  <c r="D82" i="4"/>
  <c r="B82" i="4"/>
  <c r="A82" i="4"/>
  <c r="O80" i="4"/>
  <c r="N80" i="4"/>
  <c r="M80" i="4"/>
  <c r="G80" i="4"/>
  <c r="F80" i="4"/>
  <c r="D80" i="4"/>
  <c r="B80" i="4"/>
  <c r="A80" i="4"/>
  <c r="O78" i="4"/>
  <c r="N78" i="4"/>
  <c r="M78" i="4"/>
  <c r="G78" i="4"/>
  <c r="F78" i="4"/>
  <c r="D78" i="4"/>
  <c r="B78" i="4"/>
  <c r="A78" i="4"/>
  <c r="O76" i="4"/>
  <c r="N76" i="4"/>
  <c r="M76" i="4"/>
  <c r="G76" i="4"/>
  <c r="F76" i="4"/>
  <c r="D76" i="4"/>
  <c r="B76" i="4"/>
  <c r="A76" i="4"/>
  <c r="O74" i="4"/>
  <c r="N74" i="4"/>
  <c r="M74" i="4"/>
  <c r="G74" i="4"/>
  <c r="F74" i="4"/>
  <c r="D74" i="4"/>
  <c r="B74" i="4"/>
  <c r="A74" i="4"/>
  <c r="O72" i="4"/>
  <c r="N72" i="4"/>
  <c r="M72" i="4"/>
  <c r="G72" i="4"/>
  <c r="F72" i="4"/>
  <c r="D72" i="4"/>
  <c r="B72" i="4"/>
  <c r="A72" i="4"/>
  <c r="O70" i="4"/>
  <c r="N70" i="4"/>
  <c r="M70" i="4"/>
  <c r="G70" i="4"/>
  <c r="F70" i="4"/>
  <c r="D70" i="4"/>
  <c r="B70" i="4"/>
  <c r="A70" i="4"/>
  <c r="N38" i="4" l="1"/>
  <c r="O33" i="5" l="1"/>
  <c r="N33" i="5"/>
  <c r="M33" i="5"/>
  <c r="P33" i="5" s="1"/>
  <c r="L33" i="5"/>
  <c r="K33" i="5"/>
  <c r="J33" i="5"/>
  <c r="I33" i="5"/>
  <c r="H33" i="5"/>
  <c r="G33" i="5"/>
  <c r="F33" i="5"/>
  <c r="E33" i="5"/>
  <c r="O32" i="5"/>
  <c r="N32" i="5"/>
  <c r="M32" i="5"/>
  <c r="P32" i="5" s="1"/>
  <c r="L32" i="5"/>
  <c r="K32" i="5"/>
  <c r="J32" i="5"/>
  <c r="I32" i="5"/>
  <c r="H32" i="5"/>
  <c r="G32" i="5"/>
  <c r="F32" i="5"/>
  <c r="E32" i="5"/>
  <c r="O31" i="5"/>
  <c r="N31" i="5"/>
  <c r="M31" i="5"/>
  <c r="P31" i="5" s="1"/>
  <c r="L31" i="5"/>
  <c r="K31" i="5"/>
  <c r="J31" i="5"/>
  <c r="I31" i="5"/>
  <c r="H31" i="5"/>
  <c r="G31" i="5"/>
  <c r="F31" i="5"/>
  <c r="E31" i="5"/>
  <c r="O30" i="5"/>
  <c r="N30" i="5"/>
  <c r="M30" i="5"/>
  <c r="P30" i="5" s="1"/>
  <c r="L30" i="5"/>
  <c r="K30" i="5"/>
  <c r="J30" i="5"/>
  <c r="I30" i="5"/>
  <c r="H30" i="5"/>
  <c r="G30" i="5"/>
  <c r="F30" i="5"/>
  <c r="E30" i="5"/>
  <c r="O29" i="5"/>
  <c r="N29" i="5"/>
  <c r="M29" i="5"/>
  <c r="P29" i="5" s="1"/>
  <c r="L29" i="5"/>
  <c r="K29" i="5"/>
  <c r="J29" i="5"/>
  <c r="I29" i="5"/>
  <c r="H29" i="5"/>
  <c r="G29" i="5"/>
  <c r="F29" i="5"/>
  <c r="E29" i="5"/>
  <c r="O28" i="5"/>
  <c r="N28" i="5"/>
  <c r="M28" i="5"/>
  <c r="P28" i="5" s="1"/>
  <c r="L28" i="5"/>
  <c r="K28" i="5"/>
  <c r="J28" i="5"/>
  <c r="I28" i="5"/>
  <c r="H28" i="5"/>
  <c r="G28" i="5"/>
  <c r="F28" i="5"/>
  <c r="E28" i="5"/>
  <c r="O27" i="5"/>
  <c r="N27" i="5"/>
  <c r="M27" i="5"/>
  <c r="P27" i="5" s="1"/>
  <c r="L27" i="5"/>
  <c r="K27" i="5"/>
  <c r="J27" i="5"/>
  <c r="I27" i="5"/>
  <c r="H27" i="5"/>
  <c r="G27" i="5"/>
  <c r="F27" i="5"/>
  <c r="E27" i="5"/>
  <c r="O26" i="5"/>
  <c r="N26" i="5"/>
  <c r="M26" i="5"/>
  <c r="P26" i="5" s="1"/>
  <c r="L26" i="5"/>
  <c r="K26" i="5"/>
  <c r="J26" i="5"/>
  <c r="I26" i="5"/>
  <c r="H26" i="5"/>
  <c r="G26" i="5"/>
  <c r="F26" i="5"/>
  <c r="E26" i="5"/>
  <c r="O25" i="5"/>
  <c r="N25" i="5"/>
  <c r="M25" i="5"/>
  <c r="P25" i="5" s="1"/>
  <c r="L25" i="5"/>
  <c r="K25" i="5"/>
  <c r="J25" i="5"/>
  <c r="I25" i="5"/>
  <c r="H25" i="5"/>
  <c r="G25" i="5"/>
  <c r="F25" i="5"/>
  <c r="E25" i="5"/>
  <c r="O24" i="5"/>
  <c r="N24" i="5"/>
  <c r="M24" i="5"/>
  <c r="P24" i="5" s="1"/>
  <c r="L24" i="5"/>
  <c r="K24" i="5"/>
  <c r="J24" i="5"/>
  <c r="I24" i="5"/>
  <c r="H24" i="5"/>
  <c r="G24" i="5"/>
  <c r="F24" i="5"/>
  <c r="E24" i="5"/>
  <c r="O23" i="5"/>
  <c r="N23" i="5"/>
  <c r="M23" i="5"/>
  <c r="P23" i="5" s="1"/>
  <c r="L23" i="5"/>
  <c r="K23" i="5"/>
  <c r="J23" i="5"/>
  <c r="I23" i="5"/>
  <c r="H23" i="5"/>
  <c r="G23" i="5"/>
  <c r="F23" i="5"/>
  <c r="E23" i="5"/>
  <c r="O22" i="5"/>
  <c r="N22" i="5"/>
  <c r="M22" i="5"/>
  <c r="P22" i="5" s="1"/>
  <c r="L22" i="5"/>
  <c r="K22" i="5"/>
  <c r="J22" i="5"/>
  <c r="I22" i="5"/>
  <c r="H22" i="5"/>
  <c r="G22" i="5"/>
  <c r="F22" i="5"/>
  <c r="E22" i="5"/>
  <c r="O21" i="5"/>
  <c r="N21" i="5"/>
  <c r="M21" i="5"/>
  <c r="P21" i="5" s="1"/>
  <c r="L21" i="5"/>
  <c r="K21" i="5"/>
  <c r="J21" i="5"/>
  <c r="I21" i="5"/>
  <c r="H21" i="5"/>
  <c r="G21" i="5"/>
  <c r="F21" i="5"/>
  <c r="E21" i="5"/>
  <c r="O20" i="5"/>
  <c r="N20" i="5"/>
  <c r="M20" i="5"/>
  <c r="P20" i="5" s="1"/>
  <c r="L20" i="5"/>
  <c r="K20" i="5"/>
  <c r="J20" i="5"/>
  <c r="I20" i="5"/>
  <c r="H20" i="5"/>
  <c r="G20" i="5"/>
  <c r="F20" i="5"/>
  <c r="E20" i="5"/>
  <c r="O19" i="5"/>
  <c r="N19" i="5"/>
  <c r="M19" i="5"/>
  <c r="P19" i="5" s="1"/>
  <c r="L19" i="5"/>
  <c r="K19" i="5"/>
  <c r="J19" i="5"/>
  <c r="I19" i="5"/>
  <c r="H19" i="5"/>
  <c r="G19" i="5"/>
  <c r="F19" i="5"/>
  <c r="E19" i="5"/>
  <c r="O18" i="5"/>
  <c r="N18" i="5"/>
  <c r="M18" i="5"/>
  <c r="P18" i="5" s="1"/>
  <c r="L18" i="5"/>
  <c r="K18" i="5"/>
  <c r="J18" i="5"/>
  <c r="I18" i="5"/>
  <c r="H18" i="5"/>
  <c r="G18" i="5"/>
  <c r="F18" i="5"/>
  <c r="E18" i="5"/>
  <c r="O17" i="5"/>
  <c r="N17" i="5"/>
  <c r="M17" i="5"/>
  <c r="P17" i="5" s="1"/>
  <c r="L17" i="5"/>
  <c r="K17" i="5"/>
  <c r="J17" i="5"/>
  <c r="I17" i="5"/>
  <c r="H17" i="5"/>
  <c r="G17" i="5"/>
  <c r="F17" i="5"/>
  <c r="E17" i="5"/>
  <c r="O16" i="5"/>
  <c r="N16" i="5"/>
  <c r="M16" i="5"/>
  <c r="P16" i="5" s="1"/>
  <c r="L16" i="5"/>
  <c r="K16" i="5"/>
  <c r="J16" i="5"/>
  <c r="I16" i="5"/>
  <c r="H16" i="5"/>
  <c r="G16" i="5"/>
  <c r="F16" i="5"/>
  <c r="E16" i="5"/>
  <c r="O15" i="5"/>
  <c r="N15" i="5"/>
  <c r="M15" i="5"/>
  <c r="P15" i="5" s="1"/>
  <c r="L15" i="5"/>
  <c r="K15" i="5"/>
  <c r="J15" i="5"/>
  <c r="I15" i="5"/>
  <c r="H15" i="5"/>
  <c r="G15" i="5"/>
  <c r="F15" i="5"/>
  <c r="E15" i="5"/>
  <c r="O14" i="5"/>
  <c r="N14" i="5"/>
  <c r="M14" i="5"/>
  <c r="P14" i="5" s="1"/>
  <c r="L14" i="5"/>
  <c r="K14" i="5"/>
  <c r="J14" i="5"/>
  <c r="I14" i="5"/>
  <c r="H14" i="5"/>
  <c r="G14" i="5"/>
  <c r="F14" i="5"/>
  <c r="E14" i="5"/>
  <c r="O13" i="5"/>
  <c r="N13" i="5"/>
  <c r="M13" i="5"/>
  <c r="P13" i="5" s="1"/>
  <c r="L13" i="5"/>
  <c r="K13" i="5"/>
  <c r="J13" i="5"/>
  <c r="I13" i="5"/>
  <c r="H13" i="5"/>
  <c r="G13" i="5"/>
  <c r="F13" i="5"/>
  <c r="E13" i="5"/>
  <c r="O12" i="5"/>
  <c r="N12" i="5"/>
  <c r="M12" i="5"/>
  <c r="P12" i="5" s="1"/>
  <c r="L12" i="5"/>
  <c r="K12" i="5"/>
  <c r="J12" i="5"/>
  <c r="I12" i="5"/>
  <c r="H12" i="5"/>
  <c r="G12" i="5"/>
  <c r="F12" i="5"/>
  <c r="E12" i="5"/>
  <c r="O11" i="5"/>
  <c r="N11" i="5"/>
  <c r="M11" i="5"/>
  <c r="P11" i="5" s="1"/>
  <c r="L11" i="5"/>
  <c r="K11" i="5"/>
  <c r="J11" i="5"/>
  <c r="I11" i="5"/>
  <c r="H11" i="5"/>
  <c r="G11" i="5"/>
  <c r="F11" i="5"/>
  <c r="E11" i="5"/>
  <c r="O10" i="5"/>
  <c r="N10" i="5"/>
  <c r="M10" i="5"/>
  <c r="P10" i="5" s="1"/>
  <c r="L10" i="5"/>
  <c r="K10" i="5"/>
  <c r="J10" i="5"/>
  <c r="I10" i="5"/>
  <c r="H10" i="5"/>
  <c r="G10" i="5"/>
  <c r="F10" i="5"/>
  <c r="E10" i="5"/>
  <c r="O9" i="5"/>
  <c r="N9" i="5"/>
  <c r="P9" i="5"/>
  <c r="L9" i="5"/>
  <c r="K9" i="5"/>
  <c r="G9" i="5"/>
  <c r="O8" i="5"/>
  <c r="N8" i="5"/>
  <c r="L8" i="5"/>
  <c r="K8" i="5"/>
  <c r="G8" i="5"/>
  <c r="O7" i="5"/>
  <c r="N7" i="5"/>
  <c r="M7" i="5"/>
  <c r="P7" i="5" s="1"/>
  <c r="L7" i="5"/>
  <c r="K7" i="5"/>
  <c r="J7" i="5"/>
  <c r="I7" i="5"/>
  <c r="H7" i="5"/>
  <c r="G7" i="5"/>
  <c r="F7" i="5"/>
  <c r="E7" i="5"/>
  <c r="O6" i="5"/>
  <c r="N6" i="5"/>
  <c r="M6" i="5"/>
  <c r="P6" i="5" s="1"/>
  <c r="L6" i="5"/>
  <c r="K6" i="5"/>
  <c r="J6" i="5"/>
  <c r="I6" i="5"/>
  <c r="H6" i="5"/>
  <c r="G6" i="5"/>
  <c r="F6" i="5"/>
  <c r="E6" i="5"/>
  <c r="O5" i="5"/>
  <c r="N5" i="5"/>
  <c r="M5" i="5"/>
  <c r="P5" i="5" s="1"/>
  <c r="L5" i="5"/>
  <c r="K5" i="5"/>
  <c r="J5" i="5"/>
  <c r="I5" i="5"/>
  <c r="H5" i="5"/>
  <c r="G5" i="5"/>
  <c r="F5" i="5"/>
  <c r="E5" i="5"/>
  <c r="O4" i="5"/>
  <c r="N4" i="5"/>
  <c r="M4" i="5"/>
  <c r="P4" i="5" s="1"/>
  <c r="L4" i="5"/>
  <c r="K4" i="5"/>
  <c r="J4" i="5"/>
  <c r="I4" i="5"/>
  <c r="H4" i="5"/>
  <c r="G4" i="5"/>
  <c r="F4" i="5"/>
  <c r="E4" i="5"/>
  <c r="O1" i="5"/>
  <c r="N1" i="5"/>
  <c r="M1" i="5"/>
  <c r="L1" i="5"/>
  <c r="K1" i="5"/>
  <c r="J1" i="5"/>
  <c r="I1" i="5"/>
  <c r="H1" i="5"/>
  <c r="G1" i="5"/>
  <c r="F1" i="5"/>
  <c r="E1" i="5"/>
  <c r="B5" i="1" l="1"/>
  <c r="A6" i="2" l="1"/>
  <c r="B16" i="3"/>
  <c r="B20" i="3" s="1"/>
  <c r="A6" i="1"/>
  <c r="B18" i="3" l="1"/>
  <c r="G7" i="2"/>
  <c r="G6" i="2"/>
  <c r="H6" i="2"/>
  <c r="A3" i="5" l="1"/>
  <c r="B2" i="5" l="1"/>
  <c r="N68" i="4" l="1"/>
  <c r="N66" i="4"/>
  <c r="N64" i="4"/>
  <c r="N62" i="4"/>
  <c r="N60" i="4"/>
  <c r="N58" i="4"/>
  <c r="N56" i="4"/>
  <c r="N54" i="4"/>
  <c r="N52" i="4"/>
  <c r="N50" i="4"/>
  <c r="N48" i="4"/>
  <c r="N46" i="4"/>
  <c r="N44" i="4"/>
  <c r="N42" i="4"/>
  <c r="N40" i="4"/>
  <c r="N36" i="4"/>
  <c r="N34" i="4"/>
  <c r="N32" i="4"/>
  <c r="N30" i="4"/>
  <c r="N28" i="4"/>
  <c r="N26" i="4"/>
  <c r="N24" i="4"/>
  <c r="N22" i="4"/>
  <c r="N20" i="4"/>
  <c r="N18" i="4"/>
  <c r="A5" i="5" l="1"/>
  <c r="O68" i="4" l="1"/>
  <c r="M68" i="4"/>
  <c r="G68" i="4"/>
  <c r="F68" i="4"/>
  <c r="D68" i="4"/>
  <c r="B68" i="4"/>
  <c r="A68" i="4"/>
  <c r="O66" i="4"/>
  <c r="M66" i="4"/>
  <c r="G66" i="4"/>
  <c r="F66" i="4"/>
  <c r="D66" i="4"/>
  <c r="B66" i="4"/>
  <c r="A66" i="4"/>
  <c r="O64" i="4"/>
  <c r="M64" i="4"/>
  <c r="G64" i="4"/>
  <c r="F64" i="4"/>
  <c r="D64" i="4"/>
  <c r="B64" i="4"/>
  <c r="A64" i="4"/>
  <c r="O62" i="4"/>
  <c r="M62" i="4"/>
  <c r="G62" i="4"/>
  <c r="F62" i="4"/>
  <c r="D62" i="4"/>
  <c r="B62" i="4"/>
  <c r="A62" i="4"/>
  <c r="O60" i="4"/>
  <c r="M60" i="4"/>
  <c r="G60" i="4"/>
  <c r="F60" i="4"/>
  <c r="D60" i="4"/>
  <c r="B60" i="4"/>
  <c r="A60" i="4"/>
  <c r="O58" i="4"/>
  <c r="M58" i="4"/>
  <c r="G58" i="4"/>
  <c r="F58" i="4"/>
  <c r="D58" i="4"/>
  <c r="B58" i="4"/>
  <c r="A58" i="4"/>
  <c r="O56" i="4"/>
  <c r="M56" i="4"/>
  <c r="G56" i="4"/>
  <c r="F56" i="4"/>
  <c r="D56" i="4"/>
  <c r="B56" i="4"/>
  <c r="A56" i="4"/>
  <c r="O54" i="4"/>
  <c r="M54" i="4"/>
  <c r="G54" i="4"/>
  <c r="F54" i="4"/>
  <c r="D54" i="4"/>
  <c r="B54" i="4"/>
  <c r="A54" i="4"/>
  <c r="O52" i="4"/>
  <c r="M52" i="4"/>
  <c r="G52" i="4"/>
  <c r="F52" i="4"/>
  <c r="D52" i="4"/>
  <c r="B52" i="4"/>
  <c r="A52" i="4"/>
  <c r="O50" i="4"/>
  <c r="M50" i="4"/>
  <c r="G50" i="4"/>
  <c r="F50" i="4"/>
  <c r="D50" i="4"/>
  <c r="B50" i="4"/>
  <c r="A50" i="4"/>
  <c r="O48" i="4"/>
  <c r="M48" i="4"/>
  <c r="G48" i="4"/>
  <c r="F48" i="4"/>
  <c r="D48" i="4"/>
  <c r="B48" i="4"/>
  <c r="A48" i="4"/>
  <c r="O46" i="4"/>
  <c r="M46" i="4"/>
  <c r="G46" i="4"/>
  <c r="F46" i="4"/>
  <c r="D46" i="4"/>
  <c r="B46" i="4"/>
  <c r="A46" i="4"/>
  <c r="O44" i="4"/>
  <c r="M44" i="4"/>
  <c r="G44" i="4"/>
  <c r="F44" i="4"/>
  <c r="D44" i="4"/>
  <c r="B44" i="4"/>
  <c r="A44" i="4"/>
  <c r="O42" i="4"/>
  <c r="M42" i="4"/>
  <c r="G42" i="4"/>
  <c r="F42" i="4"/>
  <c r="D42" i="4"/>
  <c r="B42" i="4"/>
  <c r="A42" i="4"/>
  <c r="O40" i="4"/>
  <c r="M40" i="4"/>
  <c r="G40" i="4"/>
  <c r="F40" i="4"/>
  <c r="D40" i="4"/>
  <c r="B40" i="4"/>
  <c r="A40" i="4"/>
  <c r="O38" i="4"/>
  <c r="M38" i="4"/>
  <c r="G38" i="4"/>
  <c r="F38" i="4"/>
  <c r="D38" i="4"/>
  <c r="B38" i="4"/>
  <c r="A38" i="4"/>
  <c r="O36" i="4"/>
  <c r="M36" i="4"/>
  <c r="G36" i="4"/>
  <c r="F36" i="4"/>
  <c r="D36" i="4"/>
  <c r="B36" i="4"/>
  <c r="A36" i="4"/>
  <c r="O34" i="4"/>
  <c r="M34" i="4"/>
  <c r="G34" i="4"/>
  <c r="F34" i="4"/>
  <c r="D34" i="4"/>
  <c r="B34" i="4"/>
  <c r="A34" i="4"/>
  <c r="O32" i="4"/>
  <c r="M32" i="4"/>
  <c r="G32" i="4"/>
  <c r="F32" i="4"/>
  <c r="D32" i="4"/>
  <c r="B32" i="4"/>
  <c r="A32" i="4"/>
  <c r="O30" i="4"/>
  <c r="M30" i="4"/>
  <c r="G30" i="4"/>
  <c r="F30" i="4"/>
  <c r="D30" i="4"/>
  <c r="B30" i="4"/>
  <c r="A30" i="4"/>
  <c r="O28" i="4"/>
  <c r="M28" i="4"/>
  <c r="G28" i="4"/>
  <c r="F28" i="4"/>
  <c r="D28" i="4"/>
  <c r="B28" i="4"/>
  <c r="A28" i="4"/>
  <c r="O26" i="4"/>
  <c r="M26" i="4"/>
  <c r="G26" i="4"/>
  <c r="F26" i="4"/>
  <c r="D26" i="4"/>
  <c r="B26" i="4"/>
  <c r="A26" i="4"/>
  <c r="O24" i="4"/>
  <c r="M24" i="4"/>
  <c r="G24" i="4"/>
  <c r="F24" i="4"/>
  <c r="D24" i="4"/>
  <c r="B24" i="4"/>
  <c r="A24" i="4"/>
  <c r="O22" i="4"/>
  <c r="M22" i="4"/>
  <c r="G22" i="4"/>
  <c r="F22" i="4"/>
  <c r="D22" i="4"/>
  <c r="B22" i="4"/>
  <c r="A22" i="4"/>
  <c r="O20" i="4"/>
  <c r="G20" i="4"/>
  <c r="O18" i="4"/>
  <c r="G18" i="4"/>
  <c r="M6" i="2" l="1"/>
  <c r="K6" i="2"/>
  <c r="J6" i="2"/>
  <c r="C6" i="2"/>
  <c r="E6" i="1"/>
  <c r="B6" i="1"/>
  <c r="F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Syncovery</author>
  </authors>
  <commentList>
    <comment ref="I1" authorId="0" shapeId="0" xr:uid="{C0880860-9208-4F96-A847-1457FE8A0432}">
      <text>
        <r>
          <rPr>
            <b/>
            <sz val="9"/>
            <color indexed="81"/>
            <rFont val="Tahoma"/>
            <family val="2"/>
          </rPr>
          <t>Ignored in SEPA Credit Transfers file layout Pain.001.001.03 - 202503</t>
        </r>
      </text>
    </comment>
    <comment ref="J1" authorId="0" shapeId="0" xr:uid="{3B944C10-5AEE-417E-9F35-9EF21D38A0B5}">
      <text>
        <r>
          <rPr>
            <b/>
            <sz val="9"/>
            <color indexed="81"/>
            <rFont val="Tahoma"/>
            <family val="2"/>
          </rPr>
          <t>Ignored in SEPA Credit Transfers file layout Pain.001.001.03 - 202503</t>
        </r>
      </text>
    </comment>
    <comment ref="L1" authorId="0" shapeId="0" xr:uid="{718B0FB9-D575-4A8D-B33F-53B87CB137F8}">
      <text>
        <r>
          <rPr>
            <b/>
            <sz val="9"/>
            <color indexed="81"/>
            <rFont val="Tahoma"/>
            <family val="2"/>
          </rPr>
          <t>Ignored in SEPA Credit Transfers file layout Pain.001.001.03 - 202503</t>
        </r>
      </text>
    </comment>
  </commentList>
</comments>
</file>

<file path=xl/sharedStrings.xml><?xml version="1.0" encoding="utf-8"?>
<sst xmlns="http://schemas.openxmlformats.org/spreadsheetml/2006/main" count="1153" uniqueCount="842">
  <si>
    <t>MsgId</t>
  </si>
  <si>
    <t>CreDtTm</t>
  </si>
  <si>
    <t>NbOfTxs</t>
  </si>
  <si>
    <r>
      <t xml:space="preserve">Total number of transactions included in the file.
</t>
    </r>
    <r>
      <rPr>
        <b/>
        <i/>
        <sz val="11"/>
        <color theme="1"/>
        <rFont val="Calibri"/>
        <family val="2"/>
        <scheme val="minor"/>
      </rPr>
      <t>Computed</t>
    </r>
  </si>
  <si>
    <t>CtrlSum</t>
  </si>
  <si>
    <r>
      <t xml:space="preserve">The sum of all transactions listed in this file.
</t>
    </r>
    <r>
      <rPr>
        <b/>
        <i/>
        <sz val="11"/>
        <color theme="1"/>
        <rFont val="Calibri"/>
        <family val="2"/>
        <scheme val="minor"/>
      </rPr>
      <t>Computed</t>
    </r>
  </si>
  <si>
    <t>Nm</t>
  </si>
  <si>
    <t>Name by which debtor is known as well as the name that is used to identify the debtor who initiated
the payment.</t>
  </si>
  <si>
    <t>Id</t>
  </si>
  <si>
    <t>Details</t>
  </si>
  <si>
    <t>Description</t>
  </si>
  <si>
    <t>Value</t>
  </si>
  <si>
    <t>Checks</t>
  </si>
  <si>
    <r>
      <t xml:space="preserve">The date and time when the file was created by the debtor.
Format: </t>
    </r>
    <r>
      <rPr>
        <b/>
        <sz val="11"/>
        <color theme="1"/>
        <rFont val="Calibri"/>
        <family val="2"/>
        <scheme val="minor"/>
      </rPr>
      <t>YYYY-MM-DDTHH:MM:SS</t>
    </r>
    <r>
      <rPr>
        <sz val="11"/>
        <color theme="1"/>
        <rFont val="Calibri"/>
        <family val="2"/>
        <charset val="1"/>
        <scheme val="minor"/>
      </rPr>
      <t xml:space="preserve">
If Left blank will be automatically filled in during processing.</t>
    </r>
  </si>
  <si>
    <t>PmtInfId</t>
  </si>
  <si>
    <t>ISO Date &amp; Time
E.g.: 2013-11-19T08:30:47</t>
  </si>
  <si>
    <t>Length: 1-35.
Content: "([A-Za-z0-9]|[\?|/|\-|:|\(|\)|\.|,|'])"</t>
  </si>
  <si>
    <t>Length: 1-15.
Content: "[0-9] ".</t>
  </si>
  <si>
    <t>Length: 1-18 digits including 2 decimal digits</t>
  </si>
  <si>
    <t>Length: 1-70
Content: ([A-Za-z0-9]|[+|\?|/|\-|:|\(|\)|\.|,|'|\s]){1,70}</t>
  </si>
  <si>
    <t>BtchBookg</t>
  </si>
  <si>
    <t>If present and contains ‘true’, batch booking is requested. If present and contains ‘false’, booking per transaction is requested.</t>
  </si>
  <si>
    <t>Only ‘true’ or ‘false’ is to be inserted in this field.</t>
  </si>
  <si>
    <t>Payment Information Record</t>
  </si>
  <si>
    <t>true</t>
  </si>
  <si>
    <t>false</t>
  </si>
  <si>
    <t>ReqdExctnDt</t>
  </si>
  <si>
    <t>Required Execution date at which the debtor requests
BOV to process the payment.</t>
  </si>
  <si>
    <t>YYYY for the year
MM for the month
DD for the day</t>
  </si>
  <si>
    <t>PstlAdr:AdrLine</t>
  </si>
  <si>
    <t>Length: 0-70
Content: ([A-Za-z0-9]|[+|\?|/|\-|:|\(|\)|\.|,|'|\s]){0,70}</t>
  </si>
  <si>
    <t>IBAN</t>
  </si>
  <si>
    <t>Debtor’s IBAN</t>
  </si>
  <si>
    <t>BIC</t>
  </si>
  <si>
    <t>Debtor’s BIC</t>
  </si>
  <si>
    <t>Purpose Category Codes</t>
  </si>
  <si>
    <t>Cd</t>
  </si>
  <si>
    <t>DIVI</t>
  </si>
  <si>
    <t>GOVT</t>
  </si>
  <si>
    <t>INTE</t>
  </si>
  <si>
    <t>PENS</t>
  </si>
  <si>
    <t>SALA</t>
  </si>
  <si>
    <t>SSBE</t>
  </si>
  <si>
    <t>SUPP</t>
  </si>
  <si>
    <t>Dividend</t>
  </si>
  <si>
    <t>Government Payment</t>
  </si>
  <si>
    <t>Interest</t>
  </si>
  <si>
    <t>Pension Payment</t>
  </si>
  <si>
    <t>Salary Payment</t>
  </si>
  <si>
    <t>Social Security Benefit</t>
  </si>
  <si>
    <t>Supplier Payment</t>
  </si>
  <si>
    <t>InstrId</t>
  </si>
  <si>
    <t>Transaction identification assigned by the debtor to identify the transaction</t>
  </si>
  <si>
    <t>EndToEndId</t>
  </si>
  <si>
    <t>Unique identification assigned by the debtor to identify the transaction.</t>
  </si>
  <si>
    <t>InstdAmt</t>
  </si>
  <si>
    <t>Amount of transaction</t>
  </si>
  <si>
    <t>Creditor’s BIC Code</t>
  </si>
  <si>
    <t>Creditor’s Name</t>
  </si>
  <si>
    <t>Creditor’s IBAN</t>
  </si>
  <si>
    <t>Ustrd</t>
  </si>
  <si>
    <t>Transactions Details, which will be shown on creditor’s statement. This is mandatory</t>
  </si>
  <si>
    <t>Length: 1-140
Content: ([A-Za-z0-9]|[+|\?|/|\-|:|\(|\)|\.|,|'|\s]){1,140}</t>
  </si>
  <si>
    <t>Limits</t>
  </si>
  <si>
    <t>^[0-9]{1,16}\.[0-9]{2}$</t>
  </si>
  <si>
    <t>^[A-Za-z0-9?/-:().,']{1,35}$</t>
  </si>
  <si>
    <t>Regex</t>
  </si>
  <si>
    <t>"^(true|false)$"</t>
  </si>
  <si>
    <t>^[0-9]{1,15}$</t>
  </si>
  <si>
    <t>^[A-Za-z0-9?/-:().,']{1,70}$</t>
  </si>
  <si>
    <t>Length: 1-70
Content: ([A-Za-z0-9]|[+|\?|/|\-|:|\(|\)|\.|,|'|\s]){1,12}</t>
  </si>
  <si>
    <t>^[A-Za-z0-9?/-:().,']{1,12}$</t>
  </si>
  <si>
    <t>Length: 1-35.</t>
  </si>
  <si>
    <t>([A-Za-z0-9]|[\?|/|\-|:|\(|\)|\.|,|'])</t>
  </si>
  <si>
    <t>Length: 1-15.</t>
  </si>
  <si>
    <t>PmtMtd</t>
  </si>
  <si>
    <t xml:space="preserve">Constant Value </t>
  </si>
  <si>
    <t>TRF</t>
  </si>
  <si>
    <t>SEPA</t>
  </si>
  <si>
    <t>Transaction date range</t>
  </si>
  <si>
    <t>Ccy</t>
  </si>
  <si>
    <t>EUR</t>
  </si>
  <si>
    <t>VALLMTMT</t>
  </si>
  <si>
    <t>1.00.00</t>
  </si>
  <si>
    <t>Document Name</t>
  </si>
  <si>
    <t>Version</t>
  </si>
  <si>
    <t>7.0</t>
  </si>
  <si>
    <t xml:space="preserve">Last updated: </t>
  </si>
  <si>
    <t xml:space="preserve"> Version</t>
  </si>
  <si>
    <t>This Excel SpreadSheet</t>
  </si>
  <si>
    <t>©</t>
  </si>
  <si>
    <t>Number of transactions</t>
  </si>
  <si>
    <t>FileName</t>
  </si>
  <si>
    <t>GUID</t>
  </si>
  <si>
    <t>Header Record: MsgId Value</t>
  </si>
  <si>
    <r>
      <t xml:space="preserve">Debtor's unique identifier of the submitted file/bulk. Debtors are free to use any reference as long as no leading, internal or trailing spaces are included.
Value should be unique each time a new file is submitted. Duplication of the respective tags would cause failure of file.
</t>
    </r>
    <r>
      <rPr>
        <b/>
        <sz val="11"/>
        <color theme="1"/>
        <rFont val="Calibri"/>
        <family val="2"/>
        <scheme val="minor"/>
      </rPr>
      <t>Leave Blank to use computer generated value</t>
    </r>
  </si>
  <si>
    <r>
      <t xml:space="preserve">Unique identification as assigned by debtor to identify the payment information group within the message.
</t>
    </r>
    <r>
      <rPr>
        <b/>
        <sz val="11"/>
        <color theme="1"/>
        <rFont val="Calibri"/>
        <family val="2"/>
        <scheme val="minor"/>
      </rPr>
      <t>Leave blank to use computer generated value</t>
    </r>
  </si>
  <si>
    <t>PIR: PmtInfId</t>
  </si>
  <si>
    <t>A/C</t>
  </si>
  <si>
    <t>Unreferenced: Notes</t>
  </si>
  <si>
    <t>Row</t>
  </si>
  <si>
    <t>Row Labels</t>
  </si>
  <si>
    <t>Grand Total</t>
  </si>
  <si>
    <t>Sum of InstdAmt</t>
  </si>
  <si>
    <t>1.10.00</t>
  </si>
  <si>
    <t>Notes</t>
  </si>
  <si>
    <t>First Version of this Spreadhseet addressing BoV needs</t>
  </si>
  <si>
    <t>Instruction Record screen can be populated with the payee data rather than having to be typed in.</t>
  </si>
  <si>
    <r>
      <t xml:space="preserve">* Added </t>
    </r>
    <r>
      <rPr>
        <b/>
        <sz val="11"/>
        <color theme="1"/>
        <rFont val="Calibri"/>
        <family val="2"/>
        <scheme val="minor"/>
      </rPr>
      <t>Client Payee Data</t>
    </r>
    <r>
      <rPr>
        <sz val="11"/>
        <color theme="1"/>
        <rFont val="Calibri"/>
        <family val="2"/>
        <charset val="1"/>
        <scheme val="minor"/>
      </rPr>
      <t xml:space="preserve"> Tab. This tab allows client to add a sorted database of their clients. Using the VLOOKUP function, the Credit</t>
    </r>
  </si>
  <si>
    <r>
      <t xml:space="preserve">* Renamed the tab </t>
    </r>
    <r>
      <rPr>
        <b/>
        <sz val="11"/>
        <color theme="1"/>
        <rFont val="Calibri"/>
        <family val="2"/>
        <scheme val="minor"/>
      </rPr>
      <t>Control Data</t>
    </r>
    <r>
      <rPr>
        <sz val="11"/>
        <color theme="1"/>
        <rFont val="Calibri"/>
        <family val="2"/>
        <charset val="1"/>
        <scheme val="minor"/>
      </rPr>
      <t xml:space="preserve"> to </t>
    </r>
    <r>
      <rPr>
        <b/>
        <sz val="11"/>
        <color theme="1"/>
        <rFont val="Calibri"/>
        <family val="2"/>
        <scheme val="minor"/>
      </rPr>
      <t>Control Data (Hidden).</t>
    </r>
    <r>
      <rPr>
        <sz val="11"/>
        <color theme="1"/>
        <rFont val="Calibri"/>
        <family val="2"/>
        <charset val="1"/>
        <scheme val="minor"/>
      </rPr>
      <t xml:space="preserve"> 
* In the </t>
    </r>
    <r>
      <rPr>
        <b/>
        <sz val="11"/>
        <color theme="1"/>
        <rFont val="Calibri"/>
        <family val="2"/>
        <scheme val="minor"/>
      </rPr>
      <t>Control Data (Hidden)</t>
    </r>
    <r>
      <rPr>
        <sz val="11"/>
        <color theme="1"/>
        <rFont val="Calibri"/>
        <family val="2"/>
        <scheme val="minor"/>
      </rPr>
      <t xml:space="preserve"> tabthe records from </t>
    </r>
    <r>
      <rPr>
        <i/>
        <sz val="11"/>
        <color theme="1"/>
        <rFont val="Calibri"/>
        <family val="2"/>
        <scheme val="minor"/>
      </rPr>
      <t>Payment Information Record</t>
    </r>
    <r>
      <rPr>
        <sz val="11"/>
        <color theme="1"/>
        <rFont val="Calibri"/>
        <family val="2"/>
        <scheme val="minor"/>
      </rPr>
      <t xml:space="preserve"> are copied into a contigous list and a Pivot table summarising the payment batch is shown in the </t>
    </r>
    <r>
      <rPr>
        <b/>
        <sz val="11"/>
        <color theme="1"/>
        <rFont val="Calibri"/>
        <family val="2"/>
        <scheme val="minor"/>
      </rPr>
      <t>Control</t>
    </r>
    <r>
      <rPr>
        <sz val="11"/>
        <color theme="1"/>
        <rFont val="Calibri"/>
        <family val="2"/>
        <scheme val="minor"/>
      </rPr>
      <t xml:space="preserve"> tab. This allows the poster to generate a payment breakdown.</t>
    </r>
  </si>
  <si>
    <t>The list must be sorted on A/C</t>
  </si>
  <si>
    <t>Total</t>
  </si>
  <si>
    <t>Blank</t>
  </si>
  <si>
    <t>Do not move the data in column A2 and B2 as these are used within the code solution.</t>
  </si>
  <si>
    <t>This Sheet won't update if Marcos aren’t enabled. 
Functionality isn't impacted if Macros are disabled.</t>
  </si>
  <si>
    <t>1.20.00</t>
  </si>
  <si>
    <t>1.30.00</t>
  </si>
  <si>
    <t>Payment Information Record - PstlAdr:AdrLine: Do not write output if when either cell is empty.  Original behaviour was that if Address Line 1 was not blank both lines are written.      * Increased the amount of rows in CIR from 32 -&gt; 51
   * Adjusted Control Tab to reflect new entries
   * Control Tab Columns Formatting is allowed</t>
  </si>
  <si>
    <t>* Payment Information Record - PstlAdr:AdrLine
    * Do not write output if when either cell is empty. Original behaviour was that if Address Line 1 was not blank both lines are written.
* Implemented Sub ClearSheet() in WorkSheet Credit Instruction Record that goes through all the rows and blanks them.
    * Code is not linked to a button event.</t>
  </si>
  <si>
    <t>1.35.00</t>
  </si>
  <si>
    <t xml:space="preserve">  * The passwords that are used to open the zipped file and to encrypt the SCTE file can now be passed as parameters. If they are absent the code will default to entries in **secrets.py**.
  * The name of the xlsm file that is within the zipped archive is a parameter rather than being hard coded into the code.  The default name is **BnkSEPA.xlsm**. This adds another layer of security in an embedded solution.
  * The VBA code to update the PivotTable in the Control worksheet has been updated. This is because the PivotTable was not always updating. The behaviour is described in https://techcommunity.microsoft.com/t5/excel/pivot-table-won-t-refresh-after-data-refresh/m-p/2937032 </t>
  </si>
  <si>
    <t>Length: 1-70
Content: ([A-Za-z0-9]|[+|\?|/|\-|:|\(|\)|\.|,|'|\s]){0,70}</t>
  </si>
  <si>
    <t>1.37.00</t>
  </si>
  <si>
    <t>Documention</t>
  </si>
  <si>
    <t>* Applied changes defined in the SEPA Credit Transfers file layout document dated 2022-03
* Added the button call the macro that blanked the CIR Worksheet</t>
  </si>
  <si>
    <t>1.37.01</t>
  </si>
  <si>
    <t>* Increased row count</t>
  </si>
  <si>
    <t>1.38.01</t>
  </si>
  <si>
    <t>PstlAdr:StrtNm</t>
  </si>
  <si>
    <t>Street Name  (Optional)</t>
  </si>
  <si>
    <t>PstlAdr:BldgNb</t>
  </si>
  <si>
    <t>Building Number (Optional)</t>
  </si>
  <si>
    <t>PstlAdr:BldgNm</t>
  </si>
  <si>
    <t>Building Name (Optional)</t>
  </si>
  <si>
    <t>PstlAdr:PstCd</t>
  </si>
  <si>
    <t>Postal Code (Optional)</t>
  </si>
  <si>
    <t>PstlAdr:TwnNm</t>
  </si>
  <si>
    <t>Town Name (Mandatory)</t>
  </si>
  <si>
    <t>PstlAdr:Ctry</t>
  </si>
  <si>
    <t>Country Code (Mandatory)</t>
  </si>
  <si>
    <t>Optional: Street Name</t>
  </si>
  <si>
    <t>Optional: Building Number</t>
  </si>
  <si>
    <t>Optional: Building Name</t>
  </si>
  <si>
    <t>Optional: Postal Code</t>
  </si>
  <si>
    <t>Town Name</t>
  </si>
  <si>
    <t>Country</t>
  </si>
  <si>
    <t>MT</t>
  </si>
  <si>
    <t>2.00.00</t>
  </si>
  <si>
    <t>ACB, 2020-2025</t>
  </si>
  <si>
    <t xml:space="preserve">Payments Business Electronic Banking Services 
SEPA Credit Transfers file layout
Pain.001.001.09 v 8.7
Feedback email from BOV with additional notes (2020-12):
We kindly ask you to take note of the following points prior of submitting files through Internet Banking:-
·        Avoid submitting files reading value date of Saturday's, Sunday's or Public Holidays.
·        Files are to be submitted with a requested execution date of Monday to Friday.
·        BOV Account holders will be paid on the requested execution date. Payments in favour of third party banks will be paid on the subsequent business day. In the case of weekend funds will be received by other banks on the subsequent business day.
·        The Cut-off time for submitting files with a same day requested execution date is 11:30hrs.
·        Files submitted of same day value after 2pm will fail in the system and a Eur 20 charge will be incurred due to backdated reason.
·        MsgID and PmtInfId tags inside the file should be unique each time a new file is submitted. Duplication of the respective tags would cause failure of file.
</t>
  </si>
  <si>
    <t>* Updates as described by SEPA Credit Transfers file layout Pain.001.001.03 v 8.5 dated 01/09/2023</t>
  </si>
  <si>
    <t>* Updates as described by SEPA Credit Transfers file layout Pain.001.001.09 v 8.7 dated 23/01/2025
* Changes:
    * Payment Information Record worksheet (tag adjustments)
    * Credit Instruction Record worksheet (new tags added, tags renamed)
    * Client Payee Data worksheet (adjustment of tags to align with Credit Instruction Record worksheet
    * Control Data (Hidden) worksheet. Added the list of country codes
    * Control Data (Hidden) worksheet. Adjusted Transaction date range</t>
  </si>
  <si>
    <t>Name</t>
  </si>
  <si>
    <t>Code</t>
  </si>
  <si>
    <t>Afghanistan</t>
  </si>
  <si>
    <t>AF</t>
  </si>
  <si>
    <t>Ã…land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</si>
  <si>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</si>
  <si>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</si>
  <si>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</si>
  <si>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</si>
  <si>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</si>
  <si>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</si>
  <si>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</si>
  <si>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</si>
  <si>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</si>
  <si>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</si>
  <si>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</si>
  <si>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</si>
  <si>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</si>
  <si>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</si>
  <si>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</si>
  <si>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</si>
  <si>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</si>
  <si>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</si>
  <si>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</si>
  <si>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</si>
  <si>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</si>
  <si>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</si>
  <si>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</si>
  <si>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</si>
  <si>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</si>
  <si>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</si>
  <si>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</si>
  <si>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</si>
  <si>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</si>
  <si>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</si>
  <si>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</si>
  <si>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</si>
  <si>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</si>
  <si>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</si>
  <si>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</si>
  <si>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</si>
  <si>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</si>
  <si>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</si>
  <si>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</si>
  <si>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</si>
  <si>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</si>
  <si>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</si>
  <si>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</si>
  <si>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</si>
  <si>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</si>
  <si>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</si>
  <si>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</si>
  <si>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</si>
  <si>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</si>
  <si>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 Plurinational State of</t>
  </si>
  <si>
    <t>BO</t>
  </si>
  <si>
    <t>Bonaire, Sint Eustatius and Saba</t>
  </si>
  <si>
    <t>BQ</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</si>
  <si>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</si>
  <si>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</si>
  <si>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</si>
  <si>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</si>
  <si>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</si>
  <si>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</si>
  <si>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</si>
  <si>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</si>
  <si>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</si>
  <si>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</si>
  <si>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</si>
  <si>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</si>
  <si>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</si>
  <si>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</si>
  <si>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</si>
  <si>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</si>
  <si>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</si>
  <si>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</si>
  <si>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</si>
  <si>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</si>
  <si>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</si>
  <si>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</si>
  <si>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</si>
  <si>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</si>
  <si>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</si>
  <si>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</si>
  <si>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</si>
  <si>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</si>
  <si>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</si>
  <si>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</si>
  <si>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</si>
  <si>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</si>
  <si>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</si>
  <si>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</si>
  <si>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</si>
  <si>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</si>
  <si>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</si>
  <si>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</si>
  <si>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</si>
  <si>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</si>
  <si>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</si>
  <si>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</si>
  <si>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</si>
  <si>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</si>
  <si>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</si>
  <si>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</si>
  <si>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</si>
  <si>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</si>
  <si>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</si>
  <si>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</si>
  <si>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</si>
  <si>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</si>
  <si>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CÃ´te d'Ivoire</t>
  </si>
  <si>
    <t>CI</t>
  </si>
  <si>
    <t>Croatia</t>
  </si>
  <si>
    <t>HR</t>
  </si>
  <si>
    <t>Cuba</t>
  </si>
  <si>
    <t>CU</t>
  </si>
  <si>
    <t>CuraÃ§ao</t>
  </si>
  <si>
    <t>CW</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</si>
  <si>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</si>
  <si>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</si>
  <si>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</si>
  <si>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</si>
  <si>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</si>
  <si>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</si>
  <si>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</si>
  <si>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</si>
  <si>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</si>
  <si>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</si>
  <si>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</si>
  <si>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</si>
  <si>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</si>
  <si>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</si>
  <si>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</si>
  <si>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</si>
  <si>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</si>
  <si>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</si>
  <si>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</si>
  <si>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</si>
  <si>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</si>
  <si>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</si>
  <si>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</si>
  <si>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</si>
  <si>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</si>
  <si>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</si>
  <si>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</si>
  <si>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</si>
  <si>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</si>
  <si>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</si>
  <si>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</si>
  <si>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</si>
  <si>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</si>
  <si>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</si>
  <si>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</si>
  <si>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</si>
  <si>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</si>
  <si>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</si>
  <si>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</si>
  <si>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</si>
  <si>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</si>
  <si>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</si>
  <si>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</si>
  <si>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</si>
  <si>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</si>
  <si>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</si>
  <si>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</si>
  <si>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</si>
  <si>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</si>
  <si>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</si>
  <si>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</si>
  <si>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</si>
  <si>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</si>
  <si>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</si>
  <si>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</si>
  <si>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</si>
  <si>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</si>
  <si>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</si>
  <si>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</si>
  <si>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</si>
  <si>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</si>
  <si>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</si>
  <si>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</si>
  <si>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</si>
  <si>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</si>
  <si>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</si>
  <si>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</si>
  <si>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</si>
  <si>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</si>
  <si>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</si>
  <si>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</si>
  <si>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</si>
  <si>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</si>
  <si>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</si>
  <si>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</si>
  <si>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</si>
  <si>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</si>
  <si>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</si>
  <si>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</si>
  <si>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</si>
  <si>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</si>
  <si>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</si>
  <si>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</si>
  <si>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</si>
  <si>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</si>
  <si>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</si>
  <si>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</si>
  <si>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</si>
  <si>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</si>
  <si>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</si>
  <si>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</si>
  <si>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</si>
  <si>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</si>
  <si>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</si>
  <si>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</si>
  <si>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</si>
  <si>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</si>
  <si>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</si>
  <si>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</si>
  <si>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</si>
  <si>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</si>
  <si>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</si>
  <si>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</si>
  <si>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</si>
  <si>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</si>
  <si>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</si>
  <si>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</si>
  <si>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</si>
  <si>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</si>
  <si>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</si>
  <si>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</si>
  <si>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</si>
  <si>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</si>
  <si>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</si>
  <si>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</si>
  <si>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</si>
  <si>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</si>
  <si>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</si>
  <si>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</si>
  <si>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</si>
  <si>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</si>
  <si>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</si>
  <si>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</si>
  <si>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</si>
  <si>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</si>
  <si>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</si>
  <si>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</si>
  <si>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</si>
  <si>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</si>
  <si>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</si>
  <si>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</si>
  <si>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</si>
  <si>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</si>
  <si>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</si>
  <si>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</si>
  <si>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</si>
  <si>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</si>
  <si>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</si>
  <si>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</si>
  <si>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</si>
  <si>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</si>
  <si>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</si>
  <si>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</si>
  <si>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</si>
  <si>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</si>
  <si>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</si>
  <si>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</si>
  <si>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</si>
  <si>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</si>
  <si>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</si>
  <si>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</si>
  <si>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</si>
  <si>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</si>
  <si>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</si>
  <si>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</si>
  <si>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</si>
  <si>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</si>
  <si>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</si>
  <si>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</si>
  <si>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</si>
  <si>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</si>
  <si>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</si>
  <si>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</si>
  <si>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</si>
  <si>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</si>
  <si>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</si>
  <si>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</si>
  <si>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</si>
  <si>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</si>
  <si>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</si>
  <si>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</si>
  <si>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</si>
  <si>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</si>
  <si>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</si>
  <si>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</si>
  <si>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</si>
  <si>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</si>
  <si>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</si>
  <si>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</si>
  <si>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Montenegro</t>
  </si>
  <si>
    <t>ME</t>
  </si>
  <si>
    <t>Montserrat</t>
  </si>
  <si>
    <t>MS</t>
  </si>
  <si>
    <t>Morocco</t>
  </si>
  <si>
    <t>MA</t>
  </si>
  <si>
    <t>Mozambique</t>
  </si>
  <si>
    <t>MZ</t>
  </si>
  <si>
    <t>Myanmar</t>
  </si>
  <si>
    <t>MM</t>
  </si>
  <si>
    <t>Namibia</t>
  </si>
  <si>
    <t>NA</t>
  </si>
  <si>
    <t>Nauru</t>
  </si>
  <si>
    <t>NR</t>
  </si>
  <si>
    <t>Nepal</t>
  </si>
  <si>
    <t>NP</t>
  </si>
  <si>
    <t>Netherlands</t>
  </si>
  <si>
    <t>NL</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</si>
  <si>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</si>
  <si>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</si>
  <si>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</si>
  <si>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</si>
  <si>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</si>
  <si>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</si>
  <si>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</si>
  <si>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</si>
  <si>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</si>
  <si>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</si>
  <si>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</si>
  <si>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</si>
  <si>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</si>
  <si>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</si>
  <si>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</si>
  <si>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</si>
  <si>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</si>
  <si>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</si>
  <si>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</si>
  <si>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</si>
  <si>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</si>
  <si>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</si>
  <si>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</si>
  <si>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</si>
  <si>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Palestine, State of</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</si>
  <si>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</si>
  <si>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</si>
  <si>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</si>
  <si>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</si>
  <si>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</si>
  <si>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</si>
  <si>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</si>
  <si>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</si>
  <si>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</si>
  <si>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</si>
  <si>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</si>
  <si>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</si>
  <si>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</si>
  <si>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</si>
  <si>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</si>
  <si>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</si>
  <si>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</si>
  <si>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</si>
  <si>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</si>
  <si>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</si>
  <si>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</si>
  <si>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RÃ©union</t>
  </si>
  <si>
    <t>RE</t>
  </si>
  <si>
    <t>Romania</t>
  </si>
  <si>
    <t>RO</t>
  </si>
  <si>
    <t>Russian Federation</t>
  </si>
  <si>
    <t>RU</t>
  </si>
  <si>
    <t>Rwanda</t>
  </si>
  <si>
    <t>RW</t>
  </si>
  <si>
    <t>Saint BarthÃ©lemy</t>
  </si>
  <si>
    <t>BL</t>
  </si>
  <si>
    <t>Saint Helena, Ascension and Tristan da Cunha</t>
  </si>
  <si>
    <t>SH</t>
  </si>
  <si>
    <t>Saint Kitts and Nevis</t>
  </si>
  <si>
    <t>KN</t>
  </si>
  <si>
    <t>Saint Lucia</t>
  </si>
  <si>
    <t>LC</t>
  </si>
  <si>
    <t>Saint Martin (French part)</t>
  </si>
  <si>
    <t>MF</t>
  </si>
  <si>
    <t>Saint Pierre and Miquelon</t>
  </si>
  <si>
    <t>PM</t>
  </si>
  <si>
    <t>Saint Vincent and the Grenadines</t>
  </si>
  <si>
    <t>VC</t>
  </si>
  <si>
    <t>Samoa</t>
  </si>
  <si>
    <t>WS</t>
  </si>
  <si>
    <t>San Marino</t>
  </si>
  <si>
    <t>SM</t>
  </si>
  <si>
    <t>Sao Tome and Principe</t>
  </si>
  <si>
    <t>ST</t>
  </si>
  <si>
    <t>Saudi Arabia</t>
  </si>
  <si>
    <t>SA</t>
  </si>
  <si>
    <t>Senegal</t>
  </si>
  <si>
    <t>SN</t>
  </si>
  <si>
    <t>Serbia</t>
  </si>
  <si>
    <t>RS</t>
  </si>
  <si>
    <t>Seychelles</t>
  </si>
  <si>
    <t>SC</t>
  </si>
  <si>
    <t>Sierra Leone</t>
  </si>
  <si>
    <t>SL</t>
  </si>
  <si>
    <t>Singapore</t>
  </si>
  <si>
    <t>SG</t>
  </si>
  <si>
    <t>Sint Maarten (Dutch part)</t>
  </si>
  <si>
    <t>SX</t>
  </si>
  <si>
    <t>Slovakia</t>
  </si>
  <si>
    <t>SK</t>
  </si>
  <si>
    <t>Slovenia</t>
  </si>
  <si>
    <t>SI</t>
  </si>
  <si>
    <t>Solomon Islands</t>
  </si>
  <si>
    <t>SB</t>
  </si>
  <si>
    <t>Somalia</t>
  </si>
  <si>
    <t>SO</t>
  </si>
  <si>
    <t>South Africa</t>
  </si>
  <si>
    <t>ZA</t>
  </si>
  <si>
    <t>South Georgia and the South Sandwich Islands</t>
  </si>
  <si>
    <t>GS</t>
  </si>
  <si>
    <t>South Sudan</t>
  </si>
  <si>
    <t>SS</t>
  </si>
  <si>
    <t>Spain</t>
  </si>
  <si>
    <t>ES</t>
  </si>
  <si>
    <t>Sri Lanka</t>
  </si>
  <si>
    <t>LK</t>
  </si>
  <si>
    <t>Sudan</t>
  </si>
  <si>
    <t>SD</t>
  </si>
  <si>
    <t>Suriname</t>
  </si>
  <si>
    <t>SR</t>
  </si>
  <si>
    <t>Svalbard and Jan Mayen</t>
  </si>
  <si>
    <t>SJ</t>
  </si>
  <si>
    <t>Eswatini</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</si>
  <si>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</si>
  <si>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</si>
  <si>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</si>
  <si>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</si>
  <si>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</si>
  <si>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</si>
  <si>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</si>
  <si>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</si>
  <si>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</si>
  <si>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</si>
  <si>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</si>
  <si>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</si>
  <si>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</si>
  <si>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</si>
  <si>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</si>
  <si>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</si>
  <si>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</si>
  <si>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</si>
  <si>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</si>
  <si>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</si>
  <si>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</si>
  <si>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</si>
  <si>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</si>
  <si>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</si>
  <si>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</si>
  <si>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</si>
  <si>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</si>
  <si>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</si>
  <si>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</si>
  <si>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</si>
  <si>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</si>
  <si>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</si>
  <si>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</si>
  <si>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</si>
  <si>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</si>
  <si>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</si>
  <si>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</si>
  <si>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</si>
  <si>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</si>
  <si>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</si>
  <si>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</si>
  <si>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</si>
  <si>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</si>
  <si>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</si>
  <si>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</si>
  <si>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</si>
  <si>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</si>
  <si>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</si>
  <si>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</si>
  <si>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</si>
  <si>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</si>
  <si>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</si>
  <si>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</si>
  <si>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 Bolivarian Republic of</t>
  </si>
  <si>
    <t>VE</t>
  </si>
  <si>
    <t>Viet Nam</t>
  </si>
  <si>
    <t>VN</t>
  </si>
  <si>
    <t>Virgin Islands, British</t>
  </si>
  <si>
    <t>VG</t>
  </si>
  <si>
    <t>Virgin Islands, U.S.</t>
  </si>
  <si>
    <t>VI</t>
  </si>
  <si>
    <t>Wallis and Futuna</t>
  </si>
  <si>
    <t>WF</t>
  </si>
  <si>
    <t>Western Sahara</t>
  </si>
  <si>
    <t>EH</t>
  </si>
  <si>
    <t>Yemen</t>
  </si>
  <si>
    <t>YE</t>
  </si>
  <si>
    <t>Zambia</t>
  </si>
  <si>
    <t>ZM</t>
  </si>
  <si>
    <t>Zimbabwe</t>
  </si>
  <si>
    <t>ZW</t>
  </si>
  <si>
    <t>Source: https://www.centralbankmalta.org/iban  (2025-05-17)</t>
  </si>
  <si>
    <t>BIC Found in IBAN (4 Characters)</t>
  </si>
  <si>
    <t>Full BIC (8 Characters)</t>
  </si>
  <si>
    <t>Financial Institution Name</t>
  </si>
  <si>
    <t>ABNG</t>
  </si>
  <si>
    <t>ABNGMTMT</t>
  </si>
  <si>
    <t>Access Bank Malta Limited</t>
  </si>
  <si>
    <t>AGRK</t>
  </si>
  <si>
    <t>AGRKMTMT</t>
  </si>
  <si>
    <t>AgriBank plc.</t>
  </si>
  <si>
    <t>AKBK</t>
  </si>
  <si>
    <t>AKBKMTMT</t>
  </si>
  <si>
    <t>Akbank T.A.S.</t>
  </si>
  <si>
    <t>APAH</t>
  </si>
  <si>
    <t>APAHMTMT</t>
  </si>
  <si>
    <t>Alpha FX Europe Limited</t>
  </si>
  <si>
    <t>ALUN</t>
  </si>
  <si>
    <t>ALUNMTM2</t>
  </si>
  <si>
    <t>Alunafi Ltd</t>
  </si>
  <si>
    <t>ANFV</t>
  </si>
  <si>
    <t>ANFVMTMM</t>
  </si>
  <si>
    <t>Andaria Financial Services ltd.</t>
  </si>
  <si>
    <t>APSB</t>
  </si>
  <si>
    <t>APSBMTMT</t>
  </si>
  <si>
    <t>APS Bank ltd.</t>
  </si>
  <si>
    <t>VALL</t>
  </si>
  <si>
    <t>Bank of Valletta plc.</t>
  </si>
  <si>
    <t>BLLG</t>
  </si>
  <si>
    <t xml:space="preserve">BLLGMTMB </t>
  </si>
  <si>
    <t>Ballinger Group - Europe</t>
  </si>
  <si>
    <t>BLLGMTMT</t>
  </si>
  <si>
    <t>Ballinger Markets Ltd</t>
  </si>
  <si>
    <t>BNIF</t>
  </si>
  <si>
    <t>BNIFMTMT</t>
  </si>
  <si>
    <t>BNF Bank plc.</t>
  </si>
  <si>
    <t>MALT</t>
  </si>
  <si>
    <t>MALTMTMT</t>
  </si>
  <si>
    <t xml:space="preserve">Central Bank of Malta </t>
  </si>
  <si>
    <t>FBHL</t>
  </si>
  <si>
    <t>FBHLMTMT</t>
  </si>
  <si>
    <t>Credit Europe Bank N.V.</t>
  </si>
  <si>
    <t>CRXB</t>
  </si>
  <si>
    <t>CRXBMTMT</t>
  </si>
  <si>
    <t>Credorax Bank ltd.</t>
  </si>
  <si>
    <t>ECMB</t>
  </si>
  <si>
    <t>ECMBMTMT</t>
  </si>
  <si>
    <t>ECCM Bank plc.</t>
  </si>
  <si>
    <t>EMON</t>
  </si>
  <si>
    <t>EMONMTM2</t>
  </si>
  <si>
    <t>Emoney plc.</t>
  </si>
  <si>
    <t>EMSY</t>
  </si>
  <si>
    <t>EMSYMTM1</t>
  </si>
  <si>
    <t>EMP Systems ltd.</t>
  </si>
  <si>
    <t>FCMF</t>
  </si>
  <si>
    <t>FCMFMTMT</t>
  </si>
  <si>
    <t>FCM Bank ltd.</t>
  </si>
  <si>
    <t>FEMA</t>
  </si>
  <si>
    <t>FEMAMTMT</t>
  </si>
  <si>
    <t>Multitude Bank p.l.c</t>
  </si>
  <si>
    <t>FEMAMTMA</t>
  </si>
  <si>
    <t>FFSM</t>
  </si>
  <si>
    <t>FFSMMTM1</t>
  </si>
  <si>
    <t>Fexserv Financial Services ltd.</t>
  </si>
  <si>
    <t>FIMB</t>
  </si>
  <si>
    <t>FIMBMTM3</t>
  </si>
  <si>
    <t>Fimbank plc.</t>
  </si>
  <si>
    <t>PAUU</t>
  </si>
  <si>
    <t>PAUUMTM1</t>
  </si>
  <si>
    <t>FinXP ltd.</t>
  </si>
  <si>
    <t>PYMX</t>
  </si>
  <si>
    <t>PYMXMTMTXXX</t>
  </si>
  <si>
    <t>Finance Incorporated ltd.</t>
  </si>
  <si>
    <t>PYMXMTMTMAL</t>
  </si>
  <si>
    <t>FIND</t>
  </si>
  <si>
    <t>FINDMTMT</t>
  </si>
  <si>
    <t>Finductive ltd.</t>
  </si>
  <si>
    <t>MMEB</t>
  </si>
  <si>
    <t>MMEBMTMT</t>
  </si>
  <si>
    <t>HSBC Bank Malta plc.</t>
  </si>
  <si>
    <t>IIGB</t>
  </si>
  <si>
    <t>IIGBMTMT</t>
  </si>
  <si>
    <t>IIG Bank ltd.</t>
  </si>
  <si>
    <t>ICDR</t>
  </si>
  <si>
    <t>ICDRMTMT</t>
  </si>
  <si>
    <t>Insignia Cards Ltd.</t>
  </si>
  <si>
    <t>IZOL</t>
  </si>
  <si>
    <t>IZOLMTMT</t>
  </si>
  <si>
    <t>Izola Bank ltd.</t>
  </si>
  <si>
    <t>LBMA</t>
  </si>
  <si>
    <t>LBMAMTMT</t>
  </si>
  <si>
    <t>Lombard Bank Malta plc.</t>
  </si>
  <si>
    <t>MBWM</t>
  </si>
  <si>
    <t>MBWMMTMT</t>
  </si>
  <si>
    <t>MeDirect Bank (Malta) plc.</t>
  </si>
  <si>
    <t>MLLK</t>
  </si>
  <si>
    <t>MLLKMTM2</t>
  </si>
  <si>
    <t>Mellifera Kartiera Limited</t>
  </si>
  <si>
    <t>MLLKMTMT</t>
  </si>
  <si>
    <t>MFCB</t>
  </si>
  <si>
    <t>MFCBMTMS</t>
  </si>
  <si>
    <t>Merkanti Bank ltd.</t>
  </si>
  <si>
    <t>CCUH</t>
  </si>
  <si>
    <t>CCUHMTMT</t>
  </si>
  <si>
    <t>Moneybase ltd.</t>
  </si>
  <si>
    <t>CCUHMTMTMBB</t>
  </si>
  <si>
    <t>MCPI</t>
  </si>
  <si>
    <t>MCPIMTM1</t>
  </si>
  <si>
    <t>MoneyPlus Card Payment Institution ltd.</t>
  </si>
  <si>
    <t>MTCC</t>
  </si>
  <si>
    <t>MTCCMTMT</t>
  </si>
  <si>
    <t>MTACC ltd.</t>
  </si>
  <si>
    <t>FNNB</t>
  </si>
  <si>
    <t>FNNBMTMT</t>
  </si>
  <si>
    <t>NBG Bank Malta ltd.</t>
  </si>
  <si>
    <t>VOCB</t>
  </si>
  <si>
    <t>VOCBMTMT</t>
  </si>
  <si>
    <t>Novum Bank ltd.</t>
  </si>
  <si>
    <t>CFTE</t>
  </si>
  <si>
    <t>CFTEMTM1</t>
  </si>
  <si>
    <t>OpenPayd Financial Services Malta ltd.</t>
  </si>
  <si>
    <t>PAPY</t>
  </si>
  <si>
    <t>PAPYMTMT</t>
  </si>
  <si>
    <t>Papaya ltd.</t>
  </si>
  <si>
    <t>PHPY</t>
  </si>
  <si>
    <t>PHPYMTM1</t>
  </si>
  <si>
    <t>Phoenix Payments ltd.</t>
  </si>
  <si>
    <t>SBMT</t>
  </si>
  <si>
    <t>SBMTMTMT</t>
  </si>
  <si>
    <t>Sparkasse Bank Malta plc.</t>
  </si>
  <si>
    <t>SYPL</t>
  </si>
  <si>
    <t>SYPLMTM2XXX</t>
  </si>
  <si>
    <t>System Pay Services (Malta) Limited</t>
  </si>
  <si>
    <t>TPML</t>
  </si>
  <si>
    <t>TPMLMTMT</t>
  </si>
  <si>
    <t>Transact Payments Malta Ltd.</t>
  </si>
  <si>
    <t>TRPE</t>
  </si>
  <si>
    <t>TRPEMTM1</t>
  </si>
  <si>
    <t>Truevo Payments ltd.</t>
  </si>
  <si>
    <t>TRPEMTMT</t>
  </si>
  <si>
    <t>TRUM</t>
  </si>
  <si>
    <t>TRUMMTM2</t>
  </si>
  <si>
    <t xml:space="preserve">Trumia Limited </t>
  </si>
  <si>
    <t>APAY</t>
  </si>
  <si>
    <t>APAYMTMT</t>
  </si>
  <si>
    <t>Trust Payments (Malta) Ltd.</t>
  </si>
  <si>
    <t>TGBA</t>
  </si>
  <si>
    <t>TGBAMTMT</t>
  </si>
  <si>
    <t>Turkiye Garanti Bankasi AS</t>
  </si>
  <si>
    <t>UNOG</t>
  </si>
  <si>
    <t>UNOGMTM1</t>
  </si>
  <si>
    <t>UnionGoldenPay ltd.</t>
  </si>
  <si>
    <t>VPAY</t>
  </si>
  <si>
    <t>VPAYMTM2</t>
  </si>
  <si>
    <t>Viva Payment Services S.A.</t>
  </si>
  <si>
    <t>COPX</t>
  </si>
  <si>
    <t>COPXMTMT</t>
  </si>
  <si>
    <t>W and J Coppini and Co.</t>
  </si>
  <si>
    <t>TGBP</t>
  </si>
  <si>
    <t>TGBPMTMT</t>
  </si>
  <si>
    <t>Convera Malta Financial Limited</t>
  </si>
  <si>
    <t>YAPI</t>
  </si>
  <si>
    <t>YAPIMTMT</t>
  </si>
  <si>
    <t>Yapi Kredi Bank Malta ltd.</t>
  </si>
  <si>
    <t xml:space="preserve">The list of codes 
found in section 10 below </t>
  </si>
  <si>
    <r>
      <t xml:space="preserve">Enter IBAN Code or 
import from Client Payee Data
</t>
    </r>
    <r>
      <rPr>
        <b/>
        <sz val="9"/>
        <color theme="4" tint="-0.499984740745262"/>
        <rFont val="Calibri"/>
        <family val="2"/>
        <scheme val="minor"/>
      </rPr>
      <t>=VLOOKUP("A/C",Payee,2,FALSE)</t>
    </r>
  </si>
  <si>
    <r>
      <t xml:space="preserve">Length: 1-70
Content: ([A-Za-z0-9]|[+|\?|/|\-|:|\(|\)|\.|,|'|\s]){1,70}
</t>
    </r>
    <r>
      <rPr>
        <sz val="9"/>
        <color theme="4" tint="-0.499984740745262"/>
        <rFont val="Calibri"/>
        <family val="2"/>
        <scheme val="minor"/>
      </rPr>
      <t xml:space="preserve">Enter Creditor Name or 
import from Client Payee Data
</t>
    </r>
    <r>
      <rPr>
        <b/>
        <sz val="9"/>
        <color theme="4" tint="-0.499984740745262"/>
        <rFont val="Calibri"/>
        <family val="2"/>
        <scheme val="minor"/>
      </rPr>
      <t>=VLOOKUP("A/C",Payee,3,FALSE)</t>
    </r>
  </si>
  <si>
    <r>
      <t xml:space="preserve">Length: 0-70
Content: ([A-Za-z0-9]|[+|\?|/|\-|:|\(|\)|\.|,|'|\s]){0,70}
</t>
    </r>
    <r>
      <rPr>
        <sz val="9"/>
        <color theme="4" tint="-0.499984740745262"/>
        <rFont val="Calibri"/>
        <family val="2"/>
        <scheme val="minor"/>
      </rPr>
      <t xml:space="preserve">Enter Street Name or 
import from Client Payee Data
</t>
    </r>
    <r>
      <rPr>
        <b/>
        <sz val="9"/>
        <color theme="4" tint="-0.499984740745262"/>
        <rFont val="Calibri"/>
        <family val="2"/>
        <scheme val="minor"/>
      </rPr>
      <t>=VLOOKUP("A/C",Payee,4,FALSE)</t>
    </r>
  </si>
  <si>
    <r>
      <t xml:space="preserve">Length: 1-16 (Optional)
Content: ([A-Za-z0-9]|[+|\?|/|\-|:|\(|\)|\.|,|'|\s]){1,16}
</t>
    </r>
    <r>
      <rPr>
        <sz val="9"/>
        <color theme="4" tint="-0.499984740745262"/>
        <rFont val="Calibri"/>
        <family val="2"/>
        <scheme val="minor"/>
      </rPr>
      <t xml:space="preserve">Enter Building Number or 
import from Client Payee Data
</t>
    </r>
    <r>
      <rPr>
        <b/>
        <sz val="9"/>
        <color theme="4" tint="-0.499984740745262"/>
        <rFont val="Calibri"/>
        <family val="2"/>
        <scheme val="minor"/>
      </rPr>
      <t>=VLOOKUP("A/C",Payee,5,FALSE)</t>
    </r>
  </si>
  <si>
    <r>
      <t xml:space="preserve">Length: 1-35 (Optional)
Content: ([A-Za-z0-9]|[+|\?|/|\-|:|\(|\)|\.|,|'|\s]){1,35}
</t>
    </r>
    <r>
      <rPr>
        <sz val="9"/>
        <color theme="4" tint="-0.499984740745262"/>
        <rFont val="Calibri"/>
        <family val="2"/>
        <scheme val="minor"/>
      </rPr>
      <t xml:space="preserve">Enter Building Name or 
import from Client Payee Data
</t>
    </r>
    <r>
      <rPr>
        <b/>
        <sz val="9"/>
        <color theme="4" tint="-0.499984740745262"/>
        <rFont val="Calibri"/>
        <family val="2"/>
        <scheme val="minor"/>
      </rPr>
      <t>=VLOOKUP("A/C",Payee,6,FALSE)</t>
    </r>
  </si>
  <si>
    <r>
      <t xml:space="preserve">Length: 1-16 (Optional)
Content: ([A-Za-z0-9]|[+|\?|/|\-|:|\(|\)|\.|,|'|\s]){1,16}
</t>
    </r>
    <r>
      <rPr>
        <sz val="9"/>
        <color theme="4" tint="-0.499984740745262"/>
        <rFont val="Calibri"/>
        <family val="2"/>
        <scheme val="minor"/>
      </rPr>
      <t xml:space="preserve">Enter Postal Code or 
import from Client Payee Data
</t>
    </r>
    <r>
      <rPr>
        <b/>
        <sz val="9"/>
        <color theme="4" tint="-0.499984740745262"/>
        <rFont val="Calibri"/>
        <family val="2"/>
        <scheme val="minor"/>
      </rPr>
      <t>=VLOOKUP("A/C",Payee,7,FALSE)</t>
    </r>
  </si>
  <si>
    <r>
      <t xml:space="preserve">Length: 1-35 (Optional)
Content: ([A-Za-z0-9]|[+|\?|/|\-|:|\(|\)|\.|,|'|\s]){1,35}
</t>
    </r>
    <r>
      <rPr>
        <sz val="9"/>
        <color theme="4" tint="-0.499984740745262"/>
        <rFont val="Calibri"/>
        <family val="2"/>
        <scheme val="minor"/>
      </rPr>
      <t xml:space="preserve">Enter Town Name or 
import from Client Payee Data
</t>
    </r>
    <r>
      <rPr>
        <b/>
        <sz val="9"/>
        <color theme="4" tint="-0.499984740745262"/>
        <rFont val="Calibri"/>
        <family val="2"/>
        <scheme val="minor"/>
      </rPr>
      <t>=VLOOKUP("A/C",Payee,8,FALSE)</t>
    </r>
  </si>
  <si>
    <r>
      <t xml:space="preserve">Content: [A-Z]{2,2}]
</t>
    </r>
    <r>
      <rPr>
        <sz val="9"/>
        <color theme="4" tint="-0.499984740745262"/>
        <rFont val="Calibri"/>
        <family val="2"/>
        <scheme val="minor"/>
      </rPr>
      <t xml:space="preserve">Enter Country Code or 
import from Client Payee Data
</t>
    </r>
    <r>
      <rPr>
        <b/>
        <sz val="9"/>
        <color theme="4" tint="-0.499984740745262"/>
        <rFont val="Calibri"/>
        <family val="2"/>
        <scheme val="minor"/>
      </rPr>
      <t>=VLOOKUP("A/C",Payee,9,FALSE)</t>
    </r>
  </si>
  <si>
    <r>
      <t xml:space="preserve">Enter IBAN Code manually
or 
import from Client Payee Data
</t>
    </r>
    <r>
      <rPr>
        <b/>
        <sz val="9"/>
        <color theme="4" tint="-0.499984740745262"/>
        <rFont val="Calibri"/>
        <family val="2"/>
        <scheme val="minor"/>
      </rPr>
      <t>=VLOOKUP("A/C",Payee,10,FALSE)</t>
    </r>
  </si>
  <si>
    <t>GALDES AND MAMO LTD</t>
  </si>
  <si>
    <t>MT94VALL22013000000010201676016</t>
  </si>
  <si>
    <t>GM HOUSE</t>
  </si>
  <si>
    <t>VALLEY ROAD BIRKIRKARA</t>
  </si>
  <si>
    <t>Oct 2025</t>
  </si>
  <si>
    <t>(All)</t>
  </si>
  <si>
    <t>2.10.00</t>
  </si>
  <si>
    <t>* Adjusted the Macro to Reset (Blank) the CIR sheet
* Shows unlocked rows in CIR. This improves the UI, facilitating data entry</t>
  </si>
  <si>
    <t>&lt;&lt;&lt; Debtor Name &gt;&gt;&gt;</t>
  </si>
  <si>
    <t>&lt;&lt;&lt; ID &gt;&gt;&gt;</t>
  </si>
  <si>
    <t>The subscriber code given by Financial Institution. Only upper case is allowed.</t>
  </si>
  <si>
    <t>ACCREF</t>
  </si>
  <si>
    <t>COMPANY DETAILS</t>
  </si>
  <si>
    <t>TOWN</t>
  </si>
  <si>
    <t>MT99VALL12345678900012345678900</t>
  </si>
  <si>
    <t>NOTES</t>
  </si>
  <si>
    <t>Address Line 1
NO LONGER USED</t>
  </si>
  <si>
    <t>Address Line 2 (Optional)
NO LONGER 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</si>
</sst>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Thh:mm:ss"/>
    <numFmt numFmtId="165" formatCode="yyyy\-mm\-dd"/>
  </numFmts>
  <fonts count="20">
    <font>
      <sz val="11"/>
      <color theme="1"/>
      <name val="Calibri"/>
      <family val="2"/>
      <charset val="1"/>
      <scheme val="minor"/>
    </font>
    <font>
      <sz val="11"/>
      <color theme="1"/>
      <name val="Calibri"/>
      <family val="2"/>
      <scheme val="minor"/>
    </font>
    <font>
      <sz val="11"/>
      <color theme="1"/>
      <name val="Calibri"/>
      <family val="2"/>
      <scheme val="minor"/>
    </font>
    <font>
      <sz val="11"/>
      <color rgb="FFFF0000"/>
      <name val="Calibri"/>
      <family val="2"/>
      <charset val="1"/>
      <scheme val="minor"/>
    </font>
    <font>
      <b/>
      <sz val="11"/>
      <color theme="1"/>
      <name val="Calibri"/>
      <family val="2"/>
      <scheme val="minor"/>
    </font>
    <font>
      <b/>
      <i/>
      <sz val="11"/>
      <color theme="1"/>
      <name val="Calibri"/>
      <family val="2"/>
      <scheme val="minor"/>
    </font>
    <font>
      <sz val="12"/>
      <color theme="1"/>
      <name val="Calibri"/>
      <family val="2"/>
      <charset val="1"/>
      <scheme val="minor"/>
    </font>
    <font>
      <b/>
      <sz val="36"/>
      <color theme="1"/>
      <name val="Calibri"/>
      <family val="2"/>
      <scheme val="minor"/>
    </font>
    <font>
      <sz val="12"/>
      <color rgb="FFFF0000"/>
      <name val="Calibri"/>
      <family val="2"/>
      <charset val="1"/>
      <scheme val="minor"/>
    </font>
    <font>
      <i/>
      <sz val="11"/>
      <color theme="1"/>
      <name val="Calibri"/>
      <family val="2"/>
      <scheme val="minor"/>
    </font>
    <font>
      <b/>
      <sz val="28"/>
      <color theme="1"/>
      <name val="Calibri"/>
      <family val="2"/>
      <scheme val="minor"/>
    </font>
    <font>
      <b/>
      <sz val="9"/>
      <color indexed="81"/>
      <name val="Tahoma"/>
      <family val="2"/>
    </font>
    <font>
      <b/>
      <sz val="8"/>
      <color theme="1"/>
      <name val="Tahoma"/>
      <family val="2"/>
    </font>
    <font>
      <sz val="8"/>
      <name val="Tahoma"/>
      <family val="2"/>
    </font>
    <font>
      <sz val="9"/>
      <color theme="1"/>
      <name val="Calibri"/>
      <family val="2"/>
      <scheme val="minor"/>
    </font>
    <font>
      <sz val="9"/>
      <color theme="4" tint="-0.499984740745262"/>
      <name val="Calibri"/>
      <family val="2"/>
      <scheme val="minor"/>
    </font>
    <font>
      <b/>
      <sz val="9"/>
      <color theme="4" tint="-0.499984740745262"/>
      <name val="Calibri"/>
      <family val="2"/>
      <scheme val="minor"/>
    </font>
    <font>
      <sz val="9"/>
      <color theme="1"/>
      <name val="Calibri"/>
      <family val="2"/>
      <charset val="1"/>
      <scheme val="minor"/>
    </font>
    <font>
      <sz val="9"/>
      <color theme="1"/>
      <name val="Arial Unicode MS"/>
      <family val="2"/>
    </font>
    <font>
      <sz val="9"/>
      <color rgb="FFFF0000"/>
      <name val="Calibri"/>
      <family val="2"/>
      <charset val="1"/>
      <scheme val="minor"/>
    </font>
  </fonts>
  <fills count="9">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EC6C6"/>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1" tint="0.249977111117893"/>
        <bgColor indexed="64"/>
      </patternFill>
    </fill>
  </fills>
  <borders count="4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medium">
        <color indexed="64"/>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indexed="64"/>
      </left>
      <right style="thin">
        <color theme="0" tint="-0.34998626667073579"/>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medium">
        <color indexed="64"/>
      </left>
      <right style="thin">
        <color theme="0" tint="-0.34998626667073579"/>
      </right>
      <top/>
      <bottom style="medium">
        <color indexed="64"/>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bottom style="medium">
        <color indexed="64"/>
      </bottom>
      <diagonal/>
    </border>
    <border>
      <left style="thin">
        <color theme="0" tint="-0.34998626667073579"/>
      </left>
      <right style="medium">
        <color indexed="64"/>
      </right>
      <top style="medium">
        <color indexed="64"/>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medium">
        <color indexed="64"/>
      </left>
      <right style="thin">
        <color theme="0" tint="-0.34998626667073579"/>
      </right>
      <top/>
      <bottom style="thin">
        <color theme="0" tint="-0.34998626667073579"/>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theme="0" tint="-0.34998626667073579"/>
      </left>
      <right style="medium">
        <color indexed="64"/>
      </right>
      <top/>
      <bottom style="thin">
        <color theme="0" tint="-0.34998626667073579"/>
      </bottom>
      <diagonal/>
    </border>
    <border>
      <left style="thin">
        <color theme="0" tint="-0.34998626667073579"/>
      </left>
      <right style="medium">
        <color indexed="64"/>
      </right>
      <top style="thin">
        <color theme="0" tint="-0.34998626667073579"/>
      </top>
      <bottom/>
      <diagonal/>
    </border>
    <border>
      <left style="medium">
        <color indexed="64"/>
      </left>
      <right style="thin">
        <color theme="0" tint="-0.34998626667073579"/>
      </right>
      <top/>
      <bottom/>
      <diagonal/>
    </border>
    <border>
      <left style="thin">
        <color theme="0" tint="-0.34998626667073579"/>
      </left>
      <right style="thin">
        <color theme="0" tint="-0.34998626667073579"/>
      </right>
      <top/>
      <bottom/>
      <diagonal/>
    </border>
    <border>
      <left/>
      <right style="medium">
        <color indexed="64"/>
      </right>
      <top style="thin">
        <color theme="0" tint="-0.34998626667073579"/>
      </top>
      <bottom/>
      <diagonal/>
    </border>
  </borders>
  <cellStyleXfs count="2">
    <xf numFmtId="0" fontId="0" fillId="0" borderId="0"/>
    <xf numFmtId="0" fontId="2" fillId="0" borderId="0"/>
  </cellStyleXfs>
  <cellXfs count="146">
    <xf numFmtId="0" fontId="0" fillId="0" borderId="0" xfId="0"/>
    <xf numFmtId="0" fontId="0" fillId="0" borderId="0" xfId="0" applyAlignment="1">
      <alignment vertical="top" wrapText="1"/>
    </xf>
    <xf numFmtId="0" fontId="0" fillId="0" borderId="0" xfId="0" applyAlignment="1">
      <alignment vertical="top"/>
    </xf>
    <xf numFmtId="0" fontId="0" fillId="2" borderId="0" xfId="0" applyFill="1"/>
    <xf numFmtId="0" fontId="0" fillId="2" borderId="0" xfId="0" applyFill="1" applyAlignment="1">
      <alignment vertical="top" wrapText="1"/>
    </xf>
    <xf numFmtId="49" fontId="0" fillId="0" borderId="0" xfId="0" applyNumberFormat="1"/>
    <xf numFmtId="2" fontId="0" fillId="0" borderId="0" xfId="0" applyNumberFormat="1"/>
    <xf numFmtId="0" fontId="3" fillId="0" borderId="0" xfId="0" applyFont="1" applyAlignment="1">
      <alignment vertical="top" wrapText="1"/>
    </xf>
    <xf numFmtId="0" fontId="3" fillId="0" borderId="0" xfId="0" applyFont="1" applyAlignment="1">
      <alignment vertical="top"/>
    </xf>
    <xf numFmtId="0" fontId="4" fillId="0" borderId="0" xfId="0" applyFont="1"/>
    <xf numFmtId="0" fontId="4" fillId="2" borderId="0" xfId="0" applyFont="1" applyFill="1"/>
    <xf numFmtId="49" fontId="0" fillId="3" borderId="4" xfId="0" applyNumberFormat="1" applyFill="1" applyBorder="1" applyProtection="1">
      <protection locked="0"/>
    </xf>
    <xf numFmtId="49" fontId="0" fillId="3" borderId="5" xfId="0" applyNumberFormat="1" applyFill="1" applyBorder="1" applyProtection="1">
      <protection locked="0"/>
    </xf>
    <xf numFmtId="3" fontId="0" fillId="2" borderId="5" xfId="0" applyNumberFormat="1" applyFill="1" applyBorder="1"/>
    <xf numFmtId="165" fontId="0" fillId="3" borderId="5" xfId="0" applyNumberFormat="1" applyFill="1" applyBorder="1" applyProtection="1">
      <protection locked="0"/>
    </xf>
    <xf numFmtId="0" fontId="0" fillId="0" borderId="0" xfId="0" applyAlignment="1">
      <alignment wrapText="1"/>
    </xf>
    <xf numFmtId="0" fontId="4" fillId="0" borderId="0" xfId="0" applyFont="1" applyAlignment="1">
      <alignment horizontal="center" vertical="center" wrapText="1"/>
    </xf>
    <xf numFmtId="3" fontId="0" fillId="2" borderId="2" xfId="0" applyNumberFormat="1" applyFill="1" applyBorder="1"/>
    <xf numFmtId="4" fontId="0" fillId="2" borderId="2" xfId="0" applyNumberFormat="1" applyFill="1" applyBorder="1"/>
    <xf numFmtId="0" fontId="3" fillId="0" borderId="15" xfId="0" applyFont="1" applyBorder="1" applyAlignment="1">
      <alignment vertical="top" wrapText="1"/>
    </xf>
    <xf numFmtId="0" fontId="3" fillId="2" borderId="16" xfId="0" applyFont="1" applyFill="1" applyBorder="1" applyAlignment="1">
      <alignment vertical="top" wrapText="1"/>
    </xf>
    <xf numFmtId="0" fontId="3" fillId="0" borderId="16" xfId="0" applyFont="1" applyBorder="1" applyAlignment="1">
      <alignment vertical="top" wrapText="1"/>
    </xf>
    <xf numFmtId="0" fontId="3" fillId="0" borderId="17" xfId="0" applyFont="1" applyBorder="1" applyAlignment="1">
      <alignment vertical="top" wrapText="1"/>
    </xf>
    <xf numFmtId="0" fontId="0" fillId="0" borderId="18" xfId="0" applyBorder="1" applyAlignment="1">
      <alignment vertical="top" wrapText="1"/>
    </xf>
    <xf numFmtId="0" fontId="0" fillId="2" borderId="19" xfId="0" applyFill="1" applyBorder="1"/>
    <xf numFmtId="0" fontId="0" fillId="0" borderId="19" xfId="0" applyBorder="1" applyAlignment="1">
      <alignment vertical="top" wrapText="1"/>
    </xf>
    <xf numFmtId="0" fontId="3" fillId="0" borderId="19" xfId="0" applyFont="1" applyBorder="1" applyAlignment="1">
      <alignment vertical="top" wrapText="1"/>
    </xf>
    <xf numFmtId="0" fontId="0" fillId="0" borderId="20" xfId="0" applyBorder="1" applyAlignment="1">
      <alignment vertical="top" wrapText="1"/>
    </xf>
    <xf numFmtId="0" fontId="0" fillId="3" borderId="1" xfId="0" applyFill="1" applyBorder="1" applyProtection="1">
      <protection locked="0"/>
    </xf>
    <xf numFmtId="0" fontId="0" fillId="0" borderId="1" xfId="0" applyBorder="1"/>
    <xf numFmtId="0" fontId="0" fillId="0" borderId="2" xfId="0" applyBorder="1"/>
    <xf numFmtId="0" fontId="0" fillId="0" borderId="3" xfId="0" applyBorder="1"/>
    <xf numFmtId="0" fontId="0" fillId="0" borderId="7" xfId="0" applyBorder="1" applyAlignment="1">
      <alignment vertical="top"/>
    </xf>
    <xf numFmtId="0" fontId="0" fillId="0" borderId="8" xfId="0" applyBorder="1" applyAlignment="1">
      <alignment vertical="top"/>
    </xf>
    <xf numFmtId="0" fontId="0" fillId="0" borderId="10" xfId="0" applyBorder="1"/>
    <xf numFmtId="0" fontId="0" fillId="0" borderId="12" xfId="0" applyBorder="1"/>
    <xf numFmtId="0" fontId="0" fillId="0" borderId="13" xfId="0" applyBorder="1"/>
    <xf numFmtId="0" fontId="0" fillId="0" borderId="2" xfId="0" applyBorder="1" applyAlignment="1">
      <alignment vertical="top" wrapText="1"/>
    </xf>
    <xf numFmtId="0" fontId="0" fillId="0" borderId="2" xfId="0" quotePrefix="1" applyBorder="1" applyAlignment="1">
      <alignment vertical="top" wrapText="1"/>
    </xf>
    <xf numFmtId="0" fontId="0" fillId="0" borderId="3" xfId="0" quotePrefix="1" applyBorder="1"/>
    <xf numFmtId="0" fontId="0" fillId="0" borderId="0" xfId="0" quotePrefix="1" applyAlignment="1">
      <alignment vertical="top" wrapText="1"/>
    </xf>
    <xf numFmtId="0" fontId="0" fillId="0" borderId="0" xfId="0" quotePrefix="1"/>
    <xf numFmtId="0" fontId="0" fillId="0" borderId="7" xfId="0" applyBorder="1"/>
    <xf numFmtId="0" fontId="0" fillId="0" borderId="8" xfId="0" applyBorder="1"/>
    <xf numFmtId="0" fontId="0" fillId="0" borderId="9" xfId="0" applyBorder="1"/>
    <xf numFmtId="0" fontId="0" fillId="0" borderId="14" xfId="0" applyBorder="1"/>
    <xf numFmtId="14" fontId="0" fillId="0" borderId="2" xfId="0" applyNumberFormat="1" applyBorder="1"/>
    <xf numFmtId="14" fontId="0" fillId="0" borderId="3" xfId="0" applyNumberFormat="1" applyBorder="1"/>
    <xf numFmtId="0" fontId="0" fillId="0" borderId="0" xfId="0" applyProtection="1">
      <protection locked="0"/>
    </xf>
    <xf numFmtId="0" fontId="8" fillId="0" borderId="0" xfId="0" applyFont="1" applyAlignment="1">
      <alignment horizontal="center" vertical="center"/>
    </xf>
    <xf numFmtId="0" fontId="8" fillId="0" borderId="0" xfId="0" applyFont="1" applyAlignment="1" applyProtection="1">
      <alignment horizontal="center" vertical="center"/>
      <protection locked="0"/>
    </xf>
    <xf numFmtId="0" fontId="6" fillId="0" borderId="0" xfId="0" applyFont="1" applyProtection="1">
      <protection locked="0"/>
    </xf>
    <xf numFmtId="0" fontId="6" fillId="0" borderId="0" xfId="0" applyFont="1"/>
    <xf numFmtId="0" fontId="8" fillId="0" borderId="0" xfId="0" applyFont="1" applyAlignment="1" applyProtection="1">
      <alignment horizontal="center" vertical="center" wrapText="1"/>
      <protection locked="0"/>
    </xf>
    <xf numFmtId="4" fontId="0" fillId="0" borderId="0" xfId="0" applyNumberFormat="1"/>
    <xf numFmtId="0" fontId="3" fillId="0" borderId="0" xfId="0" applyFont="1"/>
    <xf numFmtId="3" fontId="0" fillId="0" borderId="0" xfId="0" applyNumberFormat="1"/>
    <xf numFmtId="0" fontId="0" fillId="0" borderId="0" xfId="0" applyAlignment="1">
      <alignment horizontal="center"/>
    </xf>
    <xf numFmtId="0" fontId="0" fillId="0" borderId="11" xfId="0" applyBorder="1"/>
    <xf numFmtId="4" fontId="0" fillId="0" borderId="13" xfId="0" applyNumberFormat="1" applyBorder="1"/>
    <xf numFmtId="0" fontId="4" fillId="0" borderId="0" xfId="0" applyFont="1" applyAlignment="1">
      <alignment horizontal="center" vertical="center"/>
    </xf>
    <xf numFmtId="0" fontId="0" fillId="0" borderId="0" xfId="0" applyAlignment="1" applyProtection="1">
      <alignment horizontal="center"/>
      <protection hidden="1"/>
    </xf>
    <xf numFmtId="49" fontId="13" fillId="0" borderId="22" xfId="1" applyNumberFormat="1" applyFont="1" applyBorder="1" applyAlignment="1">
      <alignment horizontal="center" vertical="center"/>
    </xf>
    <xf numFmtId="49" fontId="13" fillId="0" borderId="25" xfId="1" applyNumberFormat="1" applyFont="1" applyBorder="1" applyAlignment="1">
      <alignment horizontal="center" vertical="center"/>
    </xf>
    <xf numFmtId="0" fontId="2" fillId="0" borderId="30" xfId="1" applyBorder="1"/>
    <xf numFmtId="0" fontId="2" fillId="0" borderId="21" xfId="1" applyBorder="1"/>
    <xf numFmtId="0" fontId="2" fillId="0" borderId="11" xfId="1" applyBorder="1"/>
    <xf numFmtId="0" fontId="2" fillId="0" borderId="36" xfId="1" applyBorder="1"/>
    <xf numFmtId="0" fontId="12" fillId="0" borderId="23" xfId="1" applyFont="1" applyBorder="1" applyAlignment="1">
      <alignment horizontal="center"/>
    </xf>
    <xf numFmtId="49" fontId="13" fillId="0" borderId="27" xfId="1" applyNumberFormat="1" applyFont="1" applyBorder="1" applyAlignment="1">
      <alignment horizontal="center" vertical="center"/>
    </xf>
    <xf numFmtId="0" fontId="2" fillId="0" borderId="29" xfId="1" applyBorder="1"/>
    <xf numFmtId="0" fontId="12" fillId="0" borderId="31" xfId="1" applyFont="1" applyBorder="1" applyAlignment="1">
      <alignment horizontal="center"/>
    </xf>
    <xf numFmtId="0" fontId="12" fillId="0" borderId="24" xfId="1" applyFont="1" applyBorder="1" applyAlignment="1">
      <alignment horizontal="center"/>
    </xf>
    <xf numFmtId="0" fontId="2" fillId="0" borderId="37" xfId="1" applyBorder="1"/>
    <xf numFmtId="0" fontId="12" fillId="0" borderId="26" xfId="1" applyFont="1" applyBorder="1" applyAlignment="1">
      <alignment horizontal="center"/>
    </xf>
    <xf numFmtId="49" fontId="13" fillId="0" borderId="28" xfId="1" applyNumberFormat="1" applyFont="1" applyBorder="1" applyAlignment="1">
      <alignment horizontal="center" vertical="center"/>
    </xf>
    <xf numFmtId="0" fontId="2" fillId="0" borderId="14" xfId="1" applyBorder="1"/>
    <xf numFmtId="0" fontId="12" fillId="0" borderId="38" xfId="1" applyFont="1" applyBorder="1" applyAlignment="1">
      <alignment horizontal="center"/>
    </xf>
    <xf numFmtId="49" fontId="13" fillId="0" borderId="39" xfId="1" applyNumberFormat="1" applyFont="1" applyBorder="1" applyAlignment="1">
      <alignment horizontal="center" vertical="center"/>
    </xf>
    <xf numFmtId="0" fontId="2" fillId="0" borderId="40" xfId="1" applyBorder="1"/>
    <xf numFmtId="0" fontId="14" fillId="0" borderId="0" xfId="0" applyFont="1" applyAlignment="1">
      <alignment vertical="top" wrapText="1"/>
    </xf>
    <xf numFmtId="0" fontId="14" fillId="2" borderId="0" xfId="0" applyFont="1" applyFill="1" applyAlignment="1">
      <alignment vertical="top" wrapText="1"/>
    </xf>
    <xf numFmtId="0" fontId="14" fillId="0" borderId="0" xfId="0" applyFont="1" applyAlignment="1">
      <alignment vertical="top"/>
    </xf>
    <xf numFmtId="0" fontId="15" fillId="0" borderId="0" xfId="0" applyFont="1" applyAlignment="1">
      <alignment vertical="top" wrapText="1"/>
    </xf>
    <xf numFmtId="0" fontId="17" fillId="0" borderId="0" xfId="0" applyFont="1" applyAlignment="1">
      <alignment vertical="top" wrapText="1"/>
    </xf>
    <xf numFmtId="0" fontId="17" fillId="2" borderId="0" xfId="0" applyFont="1" applyFill="1" applyAlignment="1">
      <alignment vertical="top" wrapText="1"/>
    </xf>
    <xf numFmtId="0" fontId="18" fillId="0" borderId="0" xfId="0" applyFont="1" applyAlignment="1">
      <alignment vertical="center"/>
    </xf>
    <xf numFmtId="0" fontId="19" fillId="0" borderId="0" xfId="0" applyFont="1" applyAlignment="1">
      <alignment vertical="top" wrapText="1"/>
    </xf>
    <xf numFmtId="0" fontId="17" fillId="0" borderId="0" xfId="0" applyFont="1"/>
    <xf numFmtId="0" fontId="17" fillId="2" borderId="0" xfId="0" applyFont="1" applyFill="1"/>
    <xf numFmtId="0" fontId="0" fillId="0" borderId="0" xfId="0" applyAlignment="1" applyProtection="1">
      <alignment wrapText="1"/>
      <protection locked="0"/>
    </xf>
    <xf numFmtId="49" fontId="0" fillId="2" borderId="2" xfId="0" applyNumberFormat="1" applyFill="1" applyBorder="1" applyProtection="1">
      <protection locked="0"/>
    </xf>
    <xf numFmtId="49" fontId="0" fillId="2" borderId="3" xfId="0" applyNumberFormat="1" applyFill="1" applyBorder="1" applyProtection="1">
      <protection locked="0"/>
    </xf>
    <xf numFmtId="164" fontId="0" fillId="3" borderId="2" xfId="0" applyNumberFormat="1" applyFill="1" applyBorder="1" applyProtection="1">
      <protection locked="0"/>
    </xf>
    <xf numFmtId="3" fontId="0" fillId="3" borderId="5" xfId="0" applyNumberFormat="1" applyFill="1" applyBorder="1" applyProtection="1">
      <protection locked="0"/>
    </xf>
    <xf numFmtId="4" fontId="0" fillId="3" borderId="5" xfId="0" applyNumberFormat="1" applyFill="1" applyBorder="1" applyProtection="1">
      <protection locked="0"/>
    </xf>
    <xf numFmtId="49" fontId="0" fillId="3" borderId="6" xfId="0" applyNumberFormat="1" applyFill="1" applyBorder="1" applyProtection="1">
      <protection locked="0"/>
    </xf>
    <xf numFmtId="0" fontId="0" fillId="0" borderId="0" xfId="0" applyAlignment="1">
      <alignment horizontal="center" vertical="center"/>
    </xf>
    <xf numFmtId="0" fontId="0" fillId="0" borderId="0" xfId="0" applyAlignment="1" applyProtection="1">
      <alignment horizontal="center"/>
      <protection locked="0"/>
    </xf>
    <xf numFmtId="0" fontId="0" fillId="0" borderId="0" xfId="0" pivotButton="1"/>
    <xf numFmtId="0" fontId="0" fillId="0" borderId="0" xfId="0" applyAlignment="1">
      <alignment horizontal="left"/>
    </xf>
    <xf numFmtId="0" fontId="0" fillId="0" borderId="0" xfId="0" applyAlignment="1">
      <alignment horizontal="left" indent="1"/>
    </xf>
    <xf numFmtId="0" fontId="0" fillId="8" borderId="0" xfId="0" applyFill="1" applyAlignment="1">
      <alignment vertical="top" wrapText="1"/>
    </xf>
    <xf numFmtId="0" fontId="3" fillId="8" borderId="16" xfId="0" applyFont="1" applyFill="1" applyBorder="1" applyAlignment="1">
      <alignment vertical="top" wrapText="1"/>
    </xf>
    <xf numFmtId="0" fontId="0" fillId="8" borderId="19" xfId="0" applyFill="1" applyBorder="1" applyAlignment="1">
      <alignment vertical="top" wrapText="1"/>
    </xf>
    <xf numFmtId="0" fontId="0" fillId="8" borderId="0" xfId="0" applyFill="1"/>
    <xf numFmtId="49" fontId="0" fillId="8" borderId="5" xfId="0" applyNumberFormat="1" applyFill="1" applyBorder="1"/>
    <xf numFmtId="0" fontId="10" fillId="5" borderId="7" xfId="0" applyFont="1" applyFill="1" applyBorder="1" applyAlignment="1">
      <alignment horizontal="center" vertical="center" wrapText="1"/>
    </xf>
    <xf numFmtId="0" fontId="0" fillId="5" borderId="8" xfId="0" applyFill="1" applyBorder="1" applyAlignment="1">
      <alignment horizontal="center" vertical="center" wrapText="1"/>
    </xf>
    <xf numFmtId="0" fontId="0" fillId="5" borderId="9"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0" xfId="0" applyFill="1" applyAlignment="1">
      <alignment horizontal="center" vertical="center" wrapText="1"/>
    </xf>
    <xf numFmtId="0" fontId="0" fillId="5" borderId="11" xfId="0" applyFill="1" applyBorder="1" applyAlignment="1">
      <alignment horizontal="center" vertical="center" wrapText="1"/>
    </xf>
    <xf numFmtId="0" fontId="0" fillId="5" borderId="12" xfId="0" applyFill="1" applyBorder="1" applyAlignment="1">
      <alignment horizontal="center" vertical="center" wrapText="1"/>
    </xf>
    <xf numFmtId="0" fontId="0" fillId="5" borderId="13" xfId="0" applyFill="1" applyBorder="1" applyAlignment="1">
      <alignment horizontal="center" vertical="center" wrapText="1"/>
    </xf>
    <xf numFmtId="0" fontId="0" fillId="5" borderId="14" xfId="0" applyFill="1" applyBorder="1" applyAlignment="1">
      <alignment horizontal="center" vertical="center" wrapText="1"/>
    </xf>
    <xf numFmtId="0" fontId="10" fillId="6" borderId="7"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9"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0" xfId="0" applyFill="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0" fillId="6" borderId="14" xfId="0" applyFill="1" applyBorder="1" applyAlignment="1">
      <alignment horizontal="center" vertical="center" wrapText="1"/>
    </xf>
    <xf numFmtId="0" fontId="7" fillId="4" borderId="7" xfId="0" applyFont="1" applyFill="1" applyBorder="1" applyAlignment="1">
      <alignment horizontal="center" vertical="center" wrapText="1"/>
    </xf>
    <xf numFmtId="0" fontId="7" fillId="4" borderId="8" xfId="0" applyFont="1" applyFill="1" applyBorder="1" applyAlignment="1">
      <alignment horizontal="center" vertical="center" wrapText="1"/>
    </xf>
    <xf numFmtId="0" fontId="7" fillId="4" borderId="9" xfId="0" applyFont="1" applyFill="1" applyBorder="1" applyAlignment="1">
      <alignment horizontal="center" vertical="center" wrapText="1"/>
    </xf>
    <xf numFmtId="0" fontId="7" fillId="4" borderId="10" xfId="0" applyFont="1" applyFill="1" applyBorder="1" applyAlignment="1">
      <alignment horizontal="center" vertical="center" wrapText="1"/>
    </xf>
    <xf numFmtId="0" fontId="7" fillId="4" borderId="0" xfId="0" applyFont="1" applyFill="1" applyAlignment="1">
      <alignment horizontal="center" vertical="center" wrapText="1"/>
    </xf>
    <xf numFmtId="0" fontId="7" fillId="4" borderId="11" xfId="0" applyFont="1" applyFill="1" applyBorder="1" applyAlignment="1">
      <alignment horizontal="center" vertical="center" wrapText="1"/>
    </xf>
    <xf numFmtId="0" fontId="7" fillId="4" borderId="12" xfId="0" applyFont="1" applyFill="1" applyBorder="1" applyAlignment="1">
      <alignment horizontal="center" vertical="center" wrapText="1"/>
    </xf>
    <xf numFmtId="0" fontId="7" fillId="4" borderId="13" xfId="0" applyFont="1" applyFill="1" applyBorder="1" applyAlignment="1">
      <alignment horizontal="center" vertical="center" wrapText="1"/>
    </xf>
    <xf numFmtId="0" fontId="7" fillId="4" borderId="14" xfId="0" applyFont="1" applyFill="1" applyBorder="1" applyAlignment="1">
      <alignment horizontal="center" vertical="center" wrapText="1"/>
    </xf>
    <xf numFmtId="0" fontId="0" fillId="0" borderId="8" xfId="0" applyBorder="1" applyAlignment="1">
      <alignment horizontal="left" wrapText="1"/>
    </xf>
    <xf numFmtId="0" fontId="0" fillId="0" borderId="9" xfId="0" applyBorder="1" applyAlignment="1">
      <alignment horizontal="left" wrapText="1"/>
    </xf>
    <xf numFmtId="0" fontId="0" fillId="0" borderId="0" xfId="0" quotePrefix="1"/>
    <xf numFmtId="0" fontId="0" fillId="0" borderId="11" xfId="0" quotePrefix="1" applyBorder="1"/>
    <xf numFmtId="17" fontId="0" fillId="0" borderId="13" xfId="0" quotePrefix="1" applyNumberFormat="1" applyBorder="1" applyAlignment="1">
      <alignment horizontal="left"/>
    </xf>
    <xf numFmtId="17" fontId="0" fillId="0" borderId="14" xfId="0" quotePrefix="1" applyNumberFormat="1" applyBorder="1" applyAlignment="1">
      <alignment horizontal="left"/>
    </xf>
    <xf numFmtId="49" fontId="12" fillId="7" borderId="32" xfId="1" applyNumberFormat="1" applyFont="1" applyFill="1" applyBorder="1" applyAlignment="1">
      <alignment horizontal="center" vertical="center" wrapText="1"/>
    </xf>
    <xf numFmtId="49" fontId="12" fillId="7" borderId="33" xfId="1" applyNumberFormat="1" applyFont="1" applyFill="1" applyBorder="1" applyAlignment="1">
      <alignment horizontal="center" vertical="center" wrapText="1"/>
    </xf>
    <xf numFmtId="49" fontId="12" fillId="7" borderId="34" xfId="1" applyNumberFormat="1" applyFont="1" applyFill="1" applyBorder="1" applyAlignment="1">
      <alignment horizontal="center" vertical="center"/>
    </xf>
    <xf numFmtId="49" fontId="12" fillId="7" borderId="35" xfId="1" applyNumberFormat="1" applyFont="1" applyFill="1" applyBorder="1" applyAlignment="1">
      <alignment horizontal="center" vertical="center"/>
    </xf>
    <xf numFmtId="49" fontId="12" fillId="7" borderId="32" xfId="1" applyNumberFormat="1" applyFont="1" applyFill="1" applyBorder="1" applyAlignment="1">
      <alignment horizontal="center" vertical="center"/>
    </xf>
    <xf numFmtId="49" fontId="12" fillId="7" borderId="33" xfId="1" applyNumberFormat="1" applyFont="1" applyFill="1" applyBorder="1" applyAlignment="1">
      <alignment horizontal="center" vertical="center"/>
    </xf>
  </cellXfs>
  <cellStyles count="2">
    <cellStyle name="Normal" xfId="0" builtinId="0"/>
    <cellStyle name="Normal 2" xfId="1" xr:uid="{81DA2E27-A488-4FAE-B6FC-2820ACF13929}"/>
  </cellStyles>
  <dxfs count="8">
    <dxf>
      <protection locked="1"/>
    </dxf>
    <dxf>
      <protection locked="1"/>
    </dxf>
    <dxf>
      <protection locked="1"/>
    </dxf>
    <dxf>
      <protection locked="1"/>
    </dxf>
    <dxf>
      <protection locked="1"/>
    </dxf>
    <dxf>
      <protection locked="1"/>
    </dxf>
    <dxf>
      <numFmt numFmtId="4" formatCode="#,##0.00"/>
    </dxf>
    <dxf>
      <fill>
        <patternFill>
          <bgColor theme="7" tint="0.79998168889431442"/>
        </patternFill>
      </fill>
    </dxf>
  </dxfs>
  <tableStyles count="0" defaultTableStyle="TableStyleMedium2" defaultPivotStyle="PivotStyleLight16"/>
  <colors>
    <mruColors>
      <color rgb="FFFEC6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18</xdr:col>
      <xdr:colOff>226219</xdr:colOff>
      <xdr:row>2</xdr:row>
      <xdr:rowOff>500062</xdr:rowOff>
    </xdr:from>
    <xdr:to>
      <xdr:col>22</xdr:col>
      <xdr:colOff>154781</xdr:colOff>
      <xdr:row>2</xdr:row>
      <xdr:rowOff>1440656</xdr:rowOff>
    </xdr:to>
    <xdr:sp macro="[0]!Sheet3.ClearSheet" textlink="">
      <xdr:nvSpPr>
        <xdr:cNvPr id="2" name="Rectangle: Rounded Corners 1">
          <a:extLst>
            <a:ext uri="{FF2B5EF4-FFF2-40B4-BE49-F238E27FC236}">
              <a16:creationId xmlns:a16="http://schemas.microsoft.com/office/drawing/2014/main" id="{2923C0BA-9CA3-5A64-DDD4-E6EDA7D116AB}"/>
            </a:ext>
          </a:extLst>
        </xdr:cNvPr>
        <xdr:cNvSpPr/>
      </xdr:nvSpPr>
      <xdr:spPr>
        <a:xfrm>
          <a:off x="18514219" y="2214562"/>
          <a:ext cx="2357437" cy="9405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t>Reset Sheet</a:t>
          </a:r>
          <a:endParaRPr lang="aa-ET" sz="32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B" refreshedDate="45948.399349305553" createdVersion="5" refreshedVersion="8" minRefreshableVersion="3" recordCount="51" xr:uid="{00000000-000A-0000-FFFF-FFFF00000000}">
  <cacheSource type="worksheet">
    <worksheetSource ref="D1:P52" sheet="Control"/>
  </cacheSource>
  <cacheFields count="13">
    <cacheField name="Row" numFmtId="0">
      <sharedItems containsSemiMixedTypes="0" containsString="0" containsNumber="1" containsInteger="1" minValue="1" maxValue="51"/>
    </cacheField>
    <cacheField name="InstrId" numFmtId="0">
      <sharedItems/>
    </cacheField>
    <cacheField name="EndToEndId" numFmtId="0">
      <sharedItems/>
    </cacheField>
    <cacheField name="Ccy" numFmtId="0">
      <sharedItems/>
    </cacheField>
    <cacheField name="InstdAmt" numFmtId="4">
      <sharedItems/>
    </cacheField>
    <cacheField name="BIC" numFmtId="0">
      <sharedItems/>
    </cacheField>
    <cacheField name="Nm" numFmtId="0">
      <sharedItems count="46">
        <s v=""/>
        <s v="2 F COMMERCIAL LTD." u="1"/>
        <s v="AUTOCHECK LTD" u="1"/>
        <s v="AUTORAY" u="1"/>
        <s v="BJORN MIFSUD" u="1"/>
        <s v="BMS AUTOPARTS" u="1"/>
        <s v="C.M. AUTOPARTS" u="1"/>
        <s v="CARWISE LTD" u="1"/>
        <s v="CNIEQES GARAGE" u="1"/>
        <s v="COMMERCIAL CONTINENTAL 461174" u="1"/>
        <s v="COMMERCIAL MICHAEL ATTARD IMPORTS LTD." u="1"/>
        <s v="COMMERCIAL MICHAEL DEDONO SG8004" u="1"/>
        <s v="CONTINENTAL CARS" u="1"/>
        <s v="DMD AUTOPARTS" u="1"/>
        <s v="EASY PARTS &amp; SERVICES" u="1"/>
        <s v="FRANKIT" u="1"/>
        <s v="I.S.G.LTD" u="1"/>
        <s v="INDUSTRIAL MOTORS" u="1"/>
        <s v="FRANKLIN GAUCI" u="1"/>
        <s v="JOEM AUTOPARTS" u="1"/>
        <s v="JONATHAN BONNETT" u="1"/>
        <s v="M.N.D. LTD" u="1"/>
        <s v="STEVEN CIAPPARA AND PAUL CIAPPARA" u="1"/>
        <s v="MICHAEL ATTARD IMPORTS LTD AC2" u="1"/>
        <s v="MICHAEL ATTARD IMPORTS LTD AC3" u="1"/>
        <s v="MICHAEL DEBONO SG006" u="1"/>
        <s v="MUSCATS MOTORS" u="1"/>
        <s v="NAIOMI MONTEBELLO AUTOPARTS" u="1"/>
        <s v="PARTS SUPPLY LIMITED" u="1"/>
        <s v="RYMA AUTO PARTS LTD" u="1"/>
        <s v="S.J AUTOPARTS" u="1"/>
        <s v="SCHUBERG RAD." u="1"/>
        <s v="SERVICES RYMA AUTOMOTIVE LTD" u="1"/>
        <s v="TA FALZON L/ROVERS" u="1"/>
        <s v="TPG MALTA LTD" u="1"/>
        <s v="GASANZAMMIT MOTORS" u="1"/>
        <s v="CARWISE LTD." u="1"/>
        <s v="RYMA AUTOMOTIVE" u="1"/>
        <s v="MUSCATS MOTORS LTD." u="1"/>
        <s v="TPG MALTA LTD." u="1"/>
        <s v="M.N.D.LTD." u="1"/>
        <s v="ALAN BONNICI" u="1"/>
        <s v="MICHAEL DEBONO LTD." u="1"/>
        <s v="CONTINENTAL CARS LTD." u="1"/>
        <s v="FRANK'S AUTO PARTS" u="1"/>
        <e v="#REF!" u="1"/>
      </sharedItems>
    </cacheField>
    <cacheField name="PstlAdr:StrtNm" numFmtId="0">
      <sharedItems/>
    </cacheField>
    <cacheField name="PstlAdr:BldgNb" numFmtId="0">
      <sharedItems/>
    </cacheField>
    <cacheField name="IBAN" numFmtId="0">
      <sharedItems count="34">
        <s v=""/>
        <s v="MT79VALL22013000000040021526769" u="1"/>
        <s v="MT58VALL22013000000040022986900" u="1"/>
        <s v="MT68VALL22013000000040025486313" u="1"/>
        <s v="MT38VALL22013000000040024455549" u="1"/>
        <s v="MT11VALL22013000000050020143366" u="1"/>
        <s v="MT80VALL22013000000040020931656" u="1"/>
        <s v="MT34VALL22013000000016310898019" u="1"/>
        <s v="MT68MMEB44587000000058170341001" u="1"/>
        <s v="MT90MMEB44392000000039034756001" u="1"/>
        <s v="MT39VALL22013000000040017725574" u="1"/>
        <s v="MT10VALL22013000000010201982108" u="1"/>
        <s v="MT93VALL22013000000050010412984" u="1"/>
        <s v="MT79VALL22013000000040023818297" u="1"/>
        <s v="MT24VALL22013000000014900618012" u="1"/>
        <s v="MT51MMEB44543000000054157417005" u="1"/>
        <s v="MT37MMEB44439000000043001098001" u="1"/>
        <s v="MT33MMEB44613000000061376497001" u="1"/>
        <s v="MT94VALL22013000000050017637623" u="1"/>
        <s v="MT17VALL22013000000040015345493" u="1"/>
        <s v="MT07VALL22013000000040024502861" u="1"/>
        <s v="MT15APSB77013000000046299110011" u="1"/>
        <s v="MT64MMEB44439000000043001916001" u="1"/>
        <s v="MT50VALL22013000000040012237601" u="1"/>
        <s v="MT72APSB77013000000044581810024" u="1"/>
        <s v="MT56VALL22013000000040022588557" u="1"/>
        <s v="MT35APSB77002006687520001110135" u="1"/>
        <s v="MT84BNIF14502000000000546003101" u="1"/>
        <s v="MT98VALL22013000000040023152050" u="1"/>
        <s v="MT91VALL22013000000050003168575" u="1"/>
        <s v="MT52VALL22013000000040021248186" u="1"/>
        <s v="MT19APSB77013000000045324820017" u="1"/>
        <s v="MT23VALL22013000000040011285353" u="1"/>
        <e v="#REF!" u="1"/>
      </sharedItems>
    </cacheField>
    <cacheField name="Cd" numFmtId="0">
      <sharedItems/>
    </cacheField>
    <cacheField name="Ustrd" numFmtId="0">
      <sharedItems/>
    </cacheField>
    <cacheField name="Blank" numFmtId="0">
      <sharedItems count="3">
        <b v="1"/>
        <b v="0" u="1"/>
        <e v="#REF!"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n v="1"/>
    <s v=""/>
    <s v=""/>
    <s v="EUR"/>
    <s v=""/>
    <s v=""/>
    <x v="0"/>
    <s v=""/>
    <s v=""/>
    <x v="0"/>
    <s v="SUPP"/>
    <s v=""/>
    <x v="0"/>
  </r>
  <r>
    <n v="2"/>
    <s v=""/>
    <s v=""/>
    <s v="EUR"/>
    <s v=""/>
    <s v=""/>
    <x v="0"/>
    <s v=""/>
    <s v=""/>
    <x v="0"/>
    <s v="SUPP"/>
    <s v=""/>
    <x v="0"/>
  </r>
  <r>
    <n v="3"/>
    <s v=""/>
    <s v=""/>
    <s v="EUR"/>
    <s v=""/>
    <s v=""/>
    <x v="0"/>
    <s v=""/>
    <s v=""/>
    <x v="0"/>
    <s v="SUPP"/>
    <s v=""/>
    <x v="0"/>
  </r>
  <r>
    <n v="4"/>
    <s v=""/>
    <s v=""/>
    <s v="EUR"/>
    <s v=""/>
    <s v=""/>
    <x v="0"/>
    <s v=""/>
    <s v=""/>
    <x v="0"/>
    <s v="SUPP"/>
    <s v=""/>
    <x v="0"/>
  </r>
  <r>
    <n v="5"/>
    <s v=""/>
    <s v=""/>
    <s v="EUR"/>
    <s v=""/>
    <s v=""/>
    <x v="0"/>
    <s v=""/>
    <s v=""/>
    <x v="0"/>
    <s v="SUPP"/>
    <s v=""/>
    <x v="0"/>
  </r>
  <r>
    <n v="6"/>
    <s v=""/>
    <s v=""/>
    <s v="EUR"/>
    <s v=""/>
    <s v=""/>
    <x v="0"/>
    <s v=""/>
    <s v=""/>
    <x v="0"/>
    <s v="SUPP"/>
    <s v=""/>
    <x v="0"/>
  </r>
  <r>
    <n v="7"/>
    <s v=""/>
    <s v=""/>
    <s v="EUR"/>
    <s v=""/>
    <s v=""/>
    <x v="0"/>
    <s v=""/>
    <s v=""/>
    <x v="0"/>
    <s v="SUPP"/>
    <s v=""/>
    <x v="0"/>
  </r>
  <r>
    <n v="8"/>
    <s v=""/>
    <s v=""/>
    <s v="EUR"/>
    <s v=""/>
    <s v=""/>
    <x v="0"/>
    <s v=""/>
    <s v=""/>
    <x v="0"/>
    <s v="SUPP"/>
    <s v=""/>
    <x v="0"/>
  </r>
  <r>
    <n v="9"/>
    <s v=""/>
    <s v=""/>
    <s v="EUR"/>
    <s v=""/>
    <s v=""/>
    <x v="0"/>
    <s v=""/>
    <s v=""/>
    <x v="0"/>
    <s v="SUPP"/>
    <s v=""/>
    <x v="0"/>
  </r>
  <r>
    <n v="10"/>
    <s v=""/>
    <s v=""/>
    <s v="EUR"/>
    <s v=""/>
    <s v=""/>
    <x v="0"/>
    <s v=""/>
    <s v=""/>
    <x v="0"/>
    <s v="SUPP"/>
    <s v=""/>
    <x v="0"/>
  </r>
  <r>
    <n v="11"/>
    <s v=""/>
    <s v=""/>
    <s v="EUR"/>
    <s v=""/>
    <s v=""/>
    <x v="0"/>
    <s v=""/>
    <s v=""/>
    <x v="0"/>
    <s v="SUPP"/>
    <s v=""/>
    <x v="0"/>
  </r>
  <r>
    <n v="12"/>
    <s v=""/>
    <s v=""/>
    <s v="EUR"/>
    <s v=""/>
    <s v=""/>
    <x v="0"/>
    <s v=""/>
    <s v=""/>
    <x v="0"/>
    <s v="SUPP"/>
    <s v=""/>
    <x v="0"/>
  </r>
  <r>
    <n v="13"/>
    <s v=""/>
    <s v=""/>
    <s v="EUR"/>
    <s v=""/>
    <s v=""/>
    <x v="0"/>
    <s v=""/>
    <s v=""/>
    <x v="0"/>
    <s v="SUPP"/>
    <s v=""/>
    <x v="0"/>
  </r>
  <r>
    <n v="14"/>
    <s v=""/>
    <s v=""/>
    <s v="EUR"/>
    <s v=""/>
    <s v=""/>
    <x v="0"/>
    <s v=""/>
    <s v=""/>
    <x v="0"/>
    <s v="SUPP"/>
    <s v=""/>
    <x v="0"/>
  </r>
  <r>
    <n v="15"/>
    <s v=""/>
    <s v=""/>
    <s v="EUR"/>
    <s v=""/>
    <s v=""/>
    <x v="0"/>
    <s v=""/>
    <s v=""/>
    <x v="0"/>
    <s v="SUPP"/>
    <s v=""/>
    <x v="0"/>
  </r>
  <r>
    <n v="16"/>
    <s v=""/>
    <s v=""/>
    <s v="EUR"/>
    <s v=""/>
    <s v=""/>
    <x v="0"/>
    <s v=""/>
    <s v=""/>
    <x v="0"/>
    <s v="SUPP"/>
    <s v=""/>
    <x v="0"/>
  </r>
  <r>
    <n v="17"/>
    <s v=""/>
    <s v=""/>
    <s v="EUR"/>
    <s v=""/>
    <s v=""/>
    <x v="0"/>
    <s v=""/>
    <s v=""/>
    <x v="0"/>
    <s v="SUPP"/>
    <s v=""/>
    <x v="0"/>
  </r>
  <r>
    <n v="18"/>
    <s v=""/>
    <s v=""/>
    <s v="EUR"/>
    <s v=""/>
    <s v=""/>
    <x v="0"/>
    <s v=""/>
    <s v=""/>
    <x v="0"/>
    <s v="SUPP"/>
    <s v=""/>
    <x v="0"/>
  </r>
  <r>
    <n v="19"/>
    <s v=""/>
    <s v=""/>
    <s v="EUR"/>
    <s v=""/>
    <s v=""/>
    <x v="0"/>
    <s v=""/>
    <s v=""/>
    <x v="0"/>
    <s v="SUPP"/>
    <s v=""/>
    <x v="0"/>
  </r>
  <r>
    <n v="20"/>
    <s v=""/>
    <s v=""/>
    <s v="EUR"/>
    <s v=""/>
    <s v=""/>
    <x v="0"/>
    <s v=""/>
    <s v=""/>
    <x v="0"/>
    <s v="SUPP"/>
    <s v=""/>
    <x v="0"/>
  </r>
  <r>
    <n v="21"/>
    <s v=""/>
    <s v=""/>
    <s v="EUR"/>
    <s v=""/>
    <s v=""/>
    <x v="0"/>
    <s v=""/>
    <s v=""/>
    <x v="0"/>
    <s v="SUPP"/>
    <s v=""/>
    <x v="0"/>
  </r>
  <r>
    <n v="22"/>
    <s v=""/>
    <s v=""/>
    <s v="EUR"/>
    <s v=""/>
    <s v=""/>
    <x v="0"/>
    <s v=""/>
    <s v=""/>
    <x v="0"/>
    <s v="SUPP"/>
    <s v=""/>
    <x v="0"/>
  </r>
  <r>
    <n v="23"/>
    <s v=""/>
    <s v=""/>
    <s v="EUR"/>
    <s v=""/>
    <s v=""/>
    <x v="0"/>
    <s v=""/>
    <s v=""/>
    <x v="0"/>
    <s v="SUPP"/>
    <s v=""/>
    <x v="0"/>
  </r>
  <r>
    <n v="24"/>
    <s v=""/>
    <s v=""/>
    <s v="EUR"/>
    <s v=""/>
    <s v=""/>
    <x v="0"/>
    <s v=""/>
    <s v=""/>
    <x v="0"/>
    <s v="SUPP"/>
    <s v=""/>
    <x v="0"/>
  </r>
  <r>
    <n v="25"/>
    <s v=""/>
    <s v=""/>
    <s v="EUR"/>
    <s v=""/>
    <s v=""/>
    <x v="0"/>
    <s v=""/>
    <s v=""/>
    <x v="0"/>
    <s v="SUPP"/>
    <s v=""/>
    <x v="0"/>
  </r>
  <r>
    <n v="26"/>
    <s v=""/>
    <s v=""/>
    <s v="EUR"/>
    <s v=""/>
    <s v=""/>
    <x v="0"/>
    <s v=""/>
    <s v=""/>
    <x v="0"/>
    <s v="SUPP"/>
    <s v=""/>
    <x v="0"/>
  </r>
  <r>
    <n v="27"/>
    <s v=""/>
    <s v=""/>
    <s v="EUR"/>
    <s v=""/>
    <s v=""/>
    <x v="0"/>
    <s v=""/>
    <s v=""/>
    <x v="0"/>
    <s v="SUPP"/>
    <s v=""/>
    <x v="0"/>
  </r>
  <r>
    <n v="28"/>
    <s v=""/>
    <s v=""/>
    <s v="EUR"/>
    <s v=""/>
    <s v=""/>
    <x v="0"/>
    <s v=""/>
    <s v=""/>
    <x v="0"/>
    <s v="SUPP"/>
    <s v=""/>
    <x v="0"/>
  </r>
  <r>
    <n v="29"/>
    <s v=""/>
    <s v=""/>
    <s v="EUR"/>
    <s v=""/>
    <s v=""/>
    <x v="0"/>
    <s v=""/>
    <s v=""/>
    <x v="0"/>
    <s v="SUPP"/>
    <s v=""/>
    <x v="0"/>
  </r>
  <r>
    <n v="30"/>
    <s v=""/>
    <s v=""/>
    <s v="EUR"/>
    <s v=""/>
    <s v=""/>
    <x v="0"/>
    <s v=""/>
    <s v=""/>
    <x v="0"/>
    <s v="SUPP"/>
    <s v=""/>
    <x v="0"/>
  </r>
  <r>
    <n v="31"/>
    <s v=""/>
    <s v=""/>
    <s v="EUR"/>
    <s v=""/>
    <s v=""/>
    <x v="0"/>
    <s v=""/>
    <s v=""/>
    <x v="0"/>
    <s v="SUPP"/>
    <s v=""/>
    <x v="0"/>
  </r>
  <r>
    <n v="32"/>
    <s v=""/>
    <s v=""/>
    <s v="EUR"/>
    <s v=""/>
    <s v=""/>
    <x v="0"/>
    <s v=""/>
    <s v=""/>
    <x v="0"/>
    <s v="SUPP"/>
    <s v=""/>
    <x v="0"/>
  </r>
  <r>
    <n v="33"/>
    <s v=""/>
    <s v=""/>
    <s v="EUR"/>
    <s v=""/>
    <s v=""/>
    <x v="0"/>
    <s v=""/>
    <s v=""/>
    <x v="0"/>
    <s v="SUPP"/>
    <s v=""/>
    <x v="0"/>
  </r>
  <r>
    <n v="34"/>
    <s v=""/>
    <s v=""/>
    <s v="EUR"/>
    <s v=""/>
    <s v=""/>
    <x v="0"/>
    <s v=""/>
    <s v=""/>
    <x v="0"/>
    <s v="SUPP"/>
    <s v=""/>
    <x v="0"/>
  </r>
  <r>
    <n v="35"/>
    <s v=""/>
    <s v=""/>
    <s v="EUR"/>
    <s v=""/>
    <s v=""/>
    <x v="0"/>
    <s v=""/>
    <s v=""/>
    <x v="0"/>
    <s v="SUPP"/>
    <s v=""/>
    <x v="0"/>
  </r>
  <r>
    <n v="36"/>
    <s v=""/>
    <s v=""/>
    <s v="EUR"/>
    <s v=""/>
    <s v=""/>
    <x v="0"/>
    <s v=""/>
    <s v=""/>
    <x v="0"/>
    <s v="SUPP"/>
    <s v=""/>
    <x v="0"/>
  </r>
  <r>
    <n v="37"/>
    <s v=""/>
    <s v=""/>
    <s v="EUR"/>
    <s v=""/>
    <s v=""/>
    <x v="0"/>
    <s v=""/>
    <s v=""/>
    <x v="0"/>
    <s v="SUPP"/>
    <s v=""/>
    <x v="0"/>
  </r>
  <r>
    <n v="38"/>
    <s v=""/>
    <s v=""/>
    <s v="EUR"/>
    <s v=""/>
    <s v=""/>
    <x v="0"/>
    <s v=""/>
    <s v=""/>
    <x v="0"/>
    <s v="SUPP"/>
    <s v=""/>
    <x v="0"/>
  </r>
  <r>
    <n v="39"/>
    <s v=""/>
    <s v=""/>
    <s v="EUR"/>
    <s v=""/>
    <s v=""/>
    <x v="0"/>
    <s v=""/>
    <s v=""/>
    <x v="0"/>
    <s v="SUPP"/>
    <s v=""/>
    <x v="0"/>
  </r>
  <r>
    <n v="40"/>
    <s v=""/>
    <s v=""/>
    <s v="EUR"/>
    <s v=""/>
    <s v=""/>
    <x v="0"/>
    <s v=""/>
    <s v=""/>
    <x v="0"/>
    <s v="SUPP"/>
    <s v=""/>
    <x v="0"/>
  </r>
  <r>
    <n v="41"/>
    <s v=""/>
    <s v=""/>
    <s v="EUR"/>
    <s v=""/>
    <s v=""/>
    <x v="0"/>
    <s v=""/>
    <s v=""/>
    <x v="0"/>
    <s v="SUPP"/>
    <s v=""/>
    <x v="0"/>
  </r>
  <r>
    <n v="42"/>
    <s v=""/>
    <s v=""/>
    <s v="EUR"/>
    <s v=""/>
    <s v=""/>
    <x v="0"/>
    <s v=""/>
    <s v=""/>
    <x v="0"/>
    <s v="SUPP"/>
    <s v=""/>
    <x v="0"/>
  </r>
  <r>
    <n v="43"/>
    <s v=""/>
    <s v=""/>
    <s v="EUR"/>
    <s v=""/>
    <s v=""/>
    <x v="0"/>
    <s v=""/>
    <s v=""/>
    <x v="0"/>
    <s v="SUPP"/>
    <s v=""/>
    <x v="0"/>
  </r>
  <r>
    <n v="44"/>
    <s v=""/>
    <s v=""/>
    <s v="EUR"/>
    <s v=""/>
    <s v=""/>
    <x v="0"/>
    <s v=""/>
    <s v=""/>
    <x v="0"/>
    <s v="SUPP"/>
    <s v=""/>
    <x v="0"/>
  </r>
  <r>
    <n v="45"/>
    <s v=""/>
    <s v=""/>
    <s v="EUR"/>
    <s v=""/>
    <s v=""/>
    <x v="0"/>
    <s v=""/>
    <s v=""/>
    <x v="0"/>
    <s v="SUPP"/>
    <s v=""/>
    <x v="0"/>
  </r>
  <r>
    <n v="46"/>
    <s v=""/>
    <s v=""/>
    <s v="EUR"/>
    <s v=""/>
    <s v=""/>
    <x v="0"/>
    <s v=""/>
    <s v=""/>
    <x v="0"/>
    <s v="SUPP"/>
    <s v=""/>
    <x v="0"/>
  </r>
  <r>
    <n v="47"/>
    <s v=""/>
    <s v=""/>
    <s v="EUR"/>
    <s v=""/>
    <s v=""/>
    <x v="0"/>
    <s v=""/>
    <s v=""/>
    <x v="0"/>
    <s v="SUPP"/>
    <s v=""/>
    <x v="0"/>
  </r>
  <r>
    <n v="48"/>
    <s v=""/>
    <s v=""/>
    <s v="EUR"/>
    <s v=""/>
    <s v=""/>
    <x v="0"/>
    <s v=""/>
    <s v=""/>
    <x v="0"/>
    <s v="SUPP"/>
    <s v=""/>
    <x v="0"/>
  </r>
  <r>
    <n v="49"/>
    <s v=""/>
    <s v=""/>
    <s v="EUR"/>
    <s v=""/>
    <s v=""/>
    <x v="0"/>
    <s v=""/>
    <s v=""/>
    <x v="0"/>
    <s v="SUPP"/>
    <s v=""/>
    <x v="0"/>
  </r>
  <r>
    <n v="50"/>
    <s v=""/>
    <s v=""/>
    <s v="EUR"/>
    <s v=""/>
    <s v=""/>
    <x v="0"/>
    <s v=""/>
    <s v=""/>
    <x v="0"/>
    <s v="SUPP"/>
    <s v=""/>
    <x v="0"/>
  </r>
  <r>
    <n v="51"/>
    <s v=""/>
    <s v=""/>
    <s v="EUR"/>
    <s v=""/>
    <s v=""/>
    <x v="0"/>
    <s v=""/>
    <s v=""/>
    <x v="0"/>
    <s v="SUPP"/>
    <s v=""/>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0" applyNumberFormats="0" applyBorderFormats="0" applyFontFormats="0" applyPatternFormats="0" applyAlignmentFormats="0" applyWidthHeightFormats="1" dataCaption="Values" updatedVersion="8" minRefreshableVersion="3" showDrill="0" useAutoFormatting="1" itemPrintTitles="1" createdVersion="6" indent="0" outline="1" outlineData="1" multipleFieldFilters="0">
  <location ref="A10:B13" firstHeaderRow="1" firstDataRow="1" firstDataCol="1" rowPageCount="1" colPageCount="1"/>
  <pivotFields count="13">
    <pivotField showAll="0"/>
    <pivotField showAll="0"/>
    <pivotField showAll="0"/>
    <pivotField showAll="0"/>
    <pivotField dataField="1" showAll="0"/>
    <pivotField showAll="0"/>
    <pivotField axis="axisRow" showAll="0" defaultSubtotal="0">
      <items count="46">
        <item x="0"/>
        <item m="1" x="45"/>
        <item m="1" x="37"/>
        <item m="1" x="38"/>
        <item m="1" x="39"/>
        <item m="1" x="40"/>
        <item m="1" x="35"/>
        <item m="1" x="36"/>
        <item m="1" x="41"/>
        <item m="1" x="42"/>
        <item m="1" x="43"/>
        <item m="1" x="44"/>
        <item m="1" x="2"/>
        <item m="1" x="1"/>
        <item m="1" x="3"/>
        <item m="1" x="4"/>
        <item m="1" x="5"/>
        <item m="1" x="6"/>
        <item m="1" x="7"/>
        <item m="1" x="8"/>
        <item m="1" x="9"/>
        <item m="1" x="11"/>
        <item m="1" x="12"/>
        <item m="1" x="13"/>
        <item m="1" x="14"/>
        <item m="1" x="15"/>
        <item m="1" x="16"/>
        <item m="1" x="17"/>
        <item m="1" x="18"/>
        <item m="1" x="19"/>
        <item m="1" x="21"/>
        <item m="1" x="22"/>
        <item m="1" x="23"/>
        <item m="1" x="24"/>
        <item m="1" x="25"/>
        <item m="1" x="26"/>
        <item m="1" x="27"/>
        <item m="1" x="28"/>
        <item m="1" x="10"/>
        <item m="1" x="29"/>
        <item m="1" x="30"/>
        <item m="1" x="31"/>
        <item m="1" x="32"/>
        <item m="1" x="34"/>
        <item m="1" x="33"/>
        <item m="1" x="20"/>
      </items>
    </pivotField>
    <pivotField showAll="0"/>
    <pivotField showAll="0"/>
    <pivotField axis="axisRow" showAll="0">
      <items count="35">
        <item x="0"/>
        <item m="1" x="33"/>
        <item m="1" x="25"/>
        <item m="1" x="22"/>
        <item m="1" x="29"/>
        <item m="1" x="20"/>
        <item m="1" x="30"/>
        <item m="1" x="7"/>
        <item m="1" x="31"/>
        <item m="1" x="11"/>
        <item m="1" x="9"/>
        <item m="1" x="32"/>
        <item m="1" x="2"/>
        <item m="1" x="1"/>
        <item m="1" x="3"/>
        <item m="1" x="4"/>
        <item m="1" x="5"/>
        <item m="1" x="6"/>
        <item m="1" x="8"/>
        <item m="1" x="12"/>
        <item m="1" x="13"/>
        <item m="1" x="14"/>
        <item m="1" x="15"/>
        <item m="1" x="16"/>
        <item m="1" x="17"/>
        <item m="1" x="18"/>
        <item m="1" x="21"/>
        <item m="1" x="10"/>
        <item m="1" x="23"/>
        <item m="1" x="24"/>
        <item m="1" x="26"/>
        <item m="1" x="27"/>
        <item m="1" x="28"/>
        <item m="1" x="19"/>
        <item t="default"/>
      </items>
    </pivotField>
    <pivotField showAll="0"/>
    <pivotField showAll="0"/>
    <pivotField axis="axisPage" showAll="0">
      <items count="4">
        <item x="0"/>
        <item m="1" x="2"/>
        <item m="1" x="1"/>
        <item t="default"/>
      </items>
    </pivotField>
  </pivotFields>
  <rowFields count="2">
    <field x="6"/>
    <field x="9"/>
  </rowFields>
  <rowItems count="3">
    <i>
      <x/>
    </i>
    <i r="1">
      <x/>
    </i>
    <i t="grand">
      <x/>
    </i>
  </rowItems>
  <colItems count="1">
    <i/>
  </colItems>
  <pageFields count="1">
    <pageField fld="12" hier="-1"/>
  </pageFields>
  <dataFields count="1">
    <dataField name="Sum of InstdAmt" fld="4" baseField="0" baseItem="0" numFmtId="4"/>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6" type="button" dataOnly="0" labelOnly="1" outline="0" axis="axisRow" fieldPosition="0"/>
    </format>
    <format dxfId="2">
      <pivotArea dataOnly="0" labelOnly="1" fieldPosition="0">
        <references count="1">
          <reference field="6"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EC6C6"/>
  </sheetPr>
  <dimension ref="A1:H9"/>
  <sheetViews>
    <sheetView workbookViewId="0">
      <selection activeCell="F5" sqref="F5"/>
    </sheetView>
  </sheetViews>
  <sheetFormatPr defaultRowHeight="15"/>
  <cols>
    <col min="1" max="1" width="37" customWidth="1"/>
    <col min="2" max="2" width="34.28515625" customWidth="1"/>
    <col min="3" max="3" width="32" style="3" hidden="1" customWidth="1"/>
    <col min="4" max="4" width="29.28515625" style="3" hidden="1" customWidth="1"/>
    <col min="5" max="5" width="33.7109375" customWidth="1"/>
    <col min="6" max="6" width="36.5703125" customWidth="1"/>
  </cols>
  <sheetData>
    <row r="1" spans="1:8" s="9" customFormat="1">
      <c r="A1" s="9" t="s">
        <v>0</v>
      </c>
      <c r="B1" s="9" t="s">
        <v>1</v>
      </c>
      <c r="C1" s="10" t="s">
        <v>2</v>
      </c>
      <c r="D1" s="10" t="s">
        <v>4</v>
      </c>
      <c r="E1" s="9" t="s">
        <v>6</v>
      </c>
      <c r="F1" s="9" t="s">
        <v>8</v>
      </c>
      <c r="H1" s="9" t="s">
        <v>9</v>
      </c>
    </row>
    <row r="2" spans="1:8" s="2" customFormat="1" ht="180">
      <c r="A2" s="1" t="s">
        <v>95</v>
      </c>
      <c r="B2" s="1" t="s">
        <v>13</v>
      </c>
      <c r="C2" s="4" t="s">
        <v>3</v>
      </c>
      <c r="D2" s="4" t="s">
        <v>5</v>
      </c>
      <c r="E2" s="1" t="s">
        <v>7</v>
      </c>
      <c r="F2" s="1" t="s">
        <v>834</v>
      </c>
      <c r="H2" s="2" t="s">
        <v>10</v>
      </c>
    </row>
    <row r="3" spans="1:8" s="2" customFormat="1" ht="45">
      <c r="A3" s="1" t="s">
        <v>16</v>
      </c>
      <c r="B3" s="1" t="s">
        <v>15</v>
      </c>
      <c r="C3" s="4" t="s">
        <v>17</v>
      </c>
      <c r="D3" s="4" t="s">
        <v>18</v>
      </c>
      <c r="E3" s="1" t="s">
        <v>19</v>
      </c>
      <c r="F3" s="1" t="s">
        <v>70</v>
      </c>
      <c r="H3" s="2" t="s">
        <v>63</v>
      </c>
    </row>
    <row r="4" spans="1:8" s="2" customFormat="1" ht="15.75" thickBot="1">
      <c r="A4" s="2" t="s">
        <v>65</v>
      </c>
      <c r="C4" s="3"/>
      <c r="D4" s="3"/>
      <c r="E4" s="2" t="s">
        <v>69</v>
      </c>
      <c r="F4" s="2" t="s">
        <v>71</v>
      </c>
      <c r="H4" s="2" t="s">
        <v>66</v>
      </c>
    </row>
    <row r="5" spans="1:8" s="5" customFormat="1" ht="15.75" thickBot="1">
      <c r="A5" s="28"/>
      <c r="B5" s="93">
        <f ca="1">NOW()</f>
        <v>45948.406282060183</v>
      </c>
      <c r="C5" s="17">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Record'!A99,'Credit Instruction Record'!A101,'Credit Instruction Record'!A103,'Credit Instruction Record'!A105)</f>
        <v>0</v>
      </c>
      <c r="D5" s="18">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Record'!D99,'Credit Instruction Record'!D101,'Credit Instruction Record'!D103,'Credit Instruction Record'!D105)</f>
        <v>0</v>
      </c>
      <c r="E5" s="91" t="s">
        <v>832</v>
      </c>
      <c r="F5" s="92" t="s">
        <v>833</v>
      </c>
      <c r="H5" s="5" t="s">
        <v>11</v>
      </c>
    </row>
    <row r="6" spans="1:8" s="1" customFormat="1">
      <c r="A6" s="7" t="str">
        <f>IF(TRIM(A5)&lt;&gt;A5,"Spaces not allowed",IF(LEN(A5)&gt;35,"Debtor identifier must be between 1 and 35 characters in length",""))</f>
        <v/>
      </c>
      <c r="B6" s="7" t="str">
        <f ca="1">IF(OR(ISERROR(YEAR(B5)),ISERROR(MONTH(B5)),ISERROR(DAY(B5)),ISERROR(HOUR(B5)),ISERROR(MINUTE(B5)),ISERROR(SECOND(B5))),"Invalid Date Time","")</f>
        <v/>
      </c>
      <c r="C6" s="4"/>
      <c r="D6" s="4"/>
      <c r="E6" s="7" t="str">
        <f>IF(ISBLANK(E5),"Debtor name cannot be left blank","")</f>
        <v/>
      </c>
      <c r="F6" s="7" t="str">
        <f>IF(ISBLANK(F5),"Subscriber code cannot be left blank","")</f>
        <v/>
      </c>
      <c r="H6" s="1" t="s">
        <v>12</v>
      </c>
    </row>
    <row r="7" spans="1:8">
      <c r="B7" s="7"/>
    </row>
    <row r="9" spans="1:8">
      <c r="B9" s="6"/>
    </row>
  </sheetData>
  <sheetProtection algorithmName="SHA-512" hashValue="fmYQhF3aWU5ew3xdMdvJdha05onfb4fQ1U9LJOwR0XdVWaAW/PkKj+xjLvMTJXapxy3YW9QMxDW3Taz6xh/MbA==" saltValue="Zq6p9h9s4VUe/X9xls/S/w==" spinCount="100000" sheet="1" objects="1" scenarios="1" formatColumns="0" selectLockedCells="1"/>
  <dataValidations count="3">
    <dataValidation type="textLength" operator="lessThan" allowBlank="1" showInputMessage="1" showErrorMessage="1" errorTitle="Header Record: MsgId" error="The value of this field can be between 1 and 35 characters in length_x000a_" sqref="A5" xr:uid="{00000000-0002-0000-0000-000000000000}">
      <formula1>36</formula1>
    </dataValidation>
    <dataValidation type="textLength" allowBlank="1" showInputMessage="1" showErrorMessage="1" errorTitle="Header Record: Nm" error="The value must be between 1 and 70 characters in length_x000a_" sqref="E5" xr:uid="{00000000-0002-0000-0000-000001000000}">
      <formula1>1</formula1>
      <formula2>70</formula2>
    </dataValidation>
    <dataValidation type="textLength" showInputMessage="1" showErrorMessage="1" errorTitle="Header Record: Id" error="This value is provide by the bank" sqref="F5" xr:uid="{00000000-0002-0000-0000-000002000000}">
      <formula1>1</formula1>
      <formula2>12</formula2>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39997558519241921"/>
  </sheetPr>
  <dimension ref="A1:O22"/>
  <sheetViews>
    <sheetView workbookViewId="0">
      <selection activeCell="A5" sqref="A5"/>
    </sheetView>
  </sheetViews>
  <sheetFormatPr defaultRowHeight="15"/>
  <cols>
    <col min="1" max="1" width="36.28515625" customWidth="1"/>
    <col min="2" max="2" width="32" style="3" hidden="1" customWidth="1"/>
    <col min="3" max="3" width="20.7109375" customWidth="1"/>
    <col min="4" max="4" width="32" style="3" hidden="1" customWidth="1"/>
    <col min="5" max="5" width="29.28515625" style="3" hidden="1" customWidth="1"/>
    <col min="6" max="6" width="32" style="3" hidden="1" customWidth="1"/>
    <col min="7" max="7" width="22.28515625" customWidth="1"/>
    <col min="8" max="8" width="31.28515625" customWidth="1"/>
    <col min="9" max="9" width="33.140625" style="105" hidden="1" customWidth="1"/>
    <col min="10" max="10" width="19.28515625" style="105" hidden="1" customWidth="1"/>
    <col min="11" max="11" width="14" customWidth="1"/>
    <col min="12" max="12" width="11.7109375" style="3" hidden="1" customWidth="1"/>
    <col min="13" max="13" width="10.42578125" customWidth="1"/>
  </cols>
  <sheetData>
    <row r="1" spans="1:15" s="1" customFormat="1">
      <c r="A1" s="1" t="s">
        <v>14</v>
      </c>
      <c r="B1" s="3" t="s">
        <v>75</v>
      </c>
      <c r="C1" s="1" t="s">
        <v>20</v>
      </c>
      <c r="D1" s="3" t="s">
        <v>2</v>
      </c>
      <c r="E1" s="3" t="s">
        <v>4</v>
      </c>
      <c r="F1" s="3" t="s">
        <v>36</v>
      </c>
      <c r="G1" s="1" t="s">
        <v>26</v>
      </c>
      <c r="H1" s="1" t="s">
        <v>6</v>
      </c>
      <c r="I1" s="102" t="s">
        <v>29</v>
      </c>
      <c r="J1" s="102" t="s">
        <v>29</v>
      </c>
      <c r="K1" s="1" t="s">
        <v>31</v>
      </c>
      <c r="L1" s="3" t="s">
        <v>80</v>
      </c>
      <c r="M1" s="1" t="s">
        <v>33</v>
      </c>
      <c r="O1" t="s">
        <v>9</v>
      </c>
    </row>
    <row r="2" spans="1:15" s="1" customFormat="1" ht="120">
      <c r="A2" s="1" t="s">
        <v>96</v>
      </c>
      <c r="B2" s="4" t="s">
        <v>76</v>
      </c>
      <c r="C2" s="1" t="s">
        <v>21</v>
      </c>
      <c r="D2" s="4" t="s">
        <v>3</v>
      </c>
      <c r="E2" s="4" t="s">
        <v>5</v>
      </c>
      <c r="F2" s="4" t="s">
        <v>76</v>
      </c>
      <c r="G2" s="1" t="s">
        <v>27</v>
      </c>
      <c r="H2" s="1" t="s">
        <v>7</v>
      </c>
      <c r="I2" s="102" t="s">
        <v>840</v>
      </c>
      <c r="J2" s="102" t="s">
        <v>841</v>
      </c>
      <c r="K2" s="1" t="s">
        <v>32</v>
      </c>
      <c r="L2" s="4" t="s">
        <v>76</v>
      </c>
      <c r="M2" s="1" t="s">
        <v>34</v>
      </c>
      <c r="O2" s="2" t="s">
        <v>10</v>
      </c>
    </row>
    <row r="3" spans="1:15" s="1" customFormat="1" ht="75">
      <c r="A3" s="1" t="s">
        <v>72</v>
      </c>
      <c r="B3" s="4"/>
      <c r="C3" s="1" t="s">
        <v>22</v>
      </c>
      <c r="D3" s="4" t="s">
        <v>74</v>
      </c>
      <c r="E3" s="4" t="s">
        <v>18</v>
      </c>
      <c r="F3" s="4"/>
      <c r="G3" s="1" t="s">
        <v>28</v>
      </c>
      <c r="H3" s="1" t="s">
        <v>19</v>
      </c>
      <c r="I3" s="102" t="s">
        <v>121</v>
      </c>
      <c r="J3" s="102" t="s">
        <v>30</v>
      </c>
      <c r="L3" s="4"/>
      <c r="O3" s="2" t="s">
        <v>63</v>
      </c>
    </row>
    <row r="4" spans="1:15" s="1" customFormat="1">
      <c r="A4" s="1" t="s">
        <v>73</v>
      </c>
      <c r="B4" s="4"/>
      <c r="C4" s="1" t="s">
        <v>67</v>
      </c>
      <c r="D4" s="4" t="s">
        <v>68</v>
      </c>
      <c r="E4" s="4"/>
      <c r="F4" s="4"/>
      <c r="I4" s="102"/>
      <c r="J4" s="102"/>
      <c r="L4" s="4"/>
      <c r="O4" s="1" t="s">
        <v>66</v>
      </c>
    </row>
    <row r="5" spans="1:15" s="1" customFormat="1">
      <c r="A5" s="11"/>
      <c r="B5" s="94" t="s">
        <v>77</v>
      </c>
      <c r="C5" s="12" t="s">
        <v>24</v>
      </c>
      <c r="D5" s="94">
        <f>'Header Record'!C5</f>
        <v>0</v>
      </c>
      <c r="E5" s="95">
        <f>'Header Record'!D5</f>
        <v>0</v>
      </c>
      <c r="F5" s="94" t="s">
        <v>78</v>
      </c>
      <c r="G5" s="14">
        <v>45940</v>
      </c>
      <c r="H5" s="12" t="s">
        <v>824</v>
      </c>
      <c r="I5" s="106" t="s">
        <v>826</v>
      </c>
      <c r="J5" s="106" t="s">
        <v>827</v>
      </c>
      <c r="K5" s="12" t="s">
        <v>825</v>
      </c>
      <c r="L5" s="13" t="s">
        <v>81</v>
      </c>
      <c r="M5" s="96" t="s">
        <v>82</v>
      </c>
      <c r="O5" s="5" t="s">
        <v>11</v>
      </c>
    </row>
    <row r="6" spans="1:15" s="8" customFormat="1">
      <c r="A6" s="19" t="str">
        <f>IF(LEN(A5)&gt;35,"Payment Information Group Identifier must be between 1 and 35 characters long","")</f>
        <v/>
      </c>
      <c r="B6" s="20"/>
      <c r="C6" s="21" t="str">
        <f>IF(NOT(ISNUMBER(MATCH(C5,'Control Data (Hidden)'!D9:E9,0))),"Batch booking should be true or false","")</f>
        <v/>
      </c>
      <c r="D6" s="20"/>
      <c r="E6" s="20"/>
      <c r="F6" s="20"/>
      <c r="G6" s="21" t="str">
        <f>IF(ISBLANK(G5),"Cannot be left blank",IF(OR(ISERROR(YEAR(G5)),ISERROR(MONTH(G5)),ISERROR(DAY(G5))),"Required Execution date is not valid",IF(OR(WEEKDAY(G5)=1,WEEKDAY(G5)=7),"Requested execution date must be between Monday to Friday","")))</f>
        <v/>
      </c>
      <c r="H6" s="21" t="str">
        <f>IF(OR(LEN(H5)&lt;1,LEN(H5)&gt;70),"Name must be between 1 and 70 characters long","")</f>
        <v/>
      </c>
      <c r="I6" s="103" t="str">
        <f>IF(OR(LEN(I5)&lt;1,LEN(I5)&gt;70),"Address must be between 1 and 70 characters long","")</f>
        <v/>
      </c>
      <c r="J6" s="103" t="str">
        <f>IF(LEN(J5)&gt;70,"Address cannot be longer than 70 characters","")</f>
        <v/>
      </c>
      <c r="K6" s="21" t="str">
        <f>IF(OR(LEN(K5)&lt;10,LEN(K5)&gt;34),"IBAN may be up to 34 characters long","")</f>
        <v/>
      </c>
      <c r="L6" s="20"/>
      <c r="M6" s="22" t="str">
        <f>IF(AND(LEN(M5)&lt;&gt;8,LEN(M5)&lt;&gt;11),"BIC must be 8 or 11 characters long","")</f>
        <v/>
      </c>
      <c r="N6" s="7"/>
      <c r="O6" s="1" t="s">
        <v>12</v>
      </c>
    </row>
    <row r="7" spans="1:15" s="1" customFormat="1">
      <c r="A7" s="23"/>
      <c r="B7" s="24"/>
      <c r="C7" s="25"/>
      <c r="D7" s="24"/>
      <c r="E7" s="24"/>
      <c r="F7" s="24"/>
      <c r="G7" s="26" t="str">
        <f ca="1">IF(G5=TODAY(),"Files must be submitted before 11:30am to be processed on the same day. Files submitted after 2:30pm will incur additional charges","")</f>
        <v/>
      </c>
      <c r="H7" s="25"/>
      <c r="I7" s="104"/>
      <c r="J7" s="104"/>
      <c r="K7" s="25"/>
      <c r="L7" s="24"/>
      <c r="M7" s="27"/>
    </row>
    <row r="8" spans="1:15" s="1" customFormat="1">
      <c r="B8" s="3"/>
      <c r="D8" s="3"/>
      <c r="E8" s="3"/>
      <c r="F8" s="3"/>
      <c r="I8" s="102"/>
      <c r="J8" s="102"/>
      <c r="L8" s="3"/>
    </row>
    <row r="9" spans="1:15" s="1" customFormat="1">
      <c r="B9" s="3"/>
      <c r="D9" s="3"/>
      <c r="E9" s="3"/>
      <c r="F9" s="3"/>
      <c r="I9" s="102"/>
      <c r="J9" s="102"/>
      <c r="L9" s="3"/>
    </row>
    <row r="10" spans="1:15" s="1" customFormat="1">
      <c r="B10" s="3"/>
      <c r="D10" s="3"/>
      <c r="E10" s="3"/>
      <c r="F10" s="3"/>
      <c r="I10" s="102"/>
      <c r="J10" s="102"/>
      <c r="L10" s="3"/>
    </row>
    <row r="11" spans="1:15" s="1" customFormat="1">
      <c r="B11" s="3"/>
      <c r="D11" s="3"/>
      <c r="E11" s="3"/>
      <c r="F11" s="3"/>
      <c r="I11" s="102"/>
      <c r="J11" s="102"/>
      <c r="L11" s="3"/>
    </row>
    <row r="12" spans="1:15" s="1" customFormat="1">
      <c r="B12" s="3"/>
      <c r="D12" s="3"/>
      <c r="E12" s="3"/>
      <c r="F12" s="3"/>
      <c r="I12" s="102"/>
      <c r="J12" s="102"/>
      <c r="L12" s="3"/>
    </row>
    <row r="13" spans="1:15" s="1" customFormat="1">
      <c r="B13" s="3"/>
      <c r="D13" s="3"/>
      <c r="E13" s="3"/>
      <c r="F13" s="3"/>
      <c r="I13" s="102"/>
      <c r="J13" s="102"/>
      <c r="L13" s="3"/>
    </row>
    <row r="14" spans="1:15" s="1" customFormat="1">
      <c r="B14" s="3"/>
      <c r="D14" s="3"/>
      <c r="E14" s="3"/>
      <c r="F14" s="3"/>
      <c r="I14" s="102"/>
      <c r="J14" s="102"/>
      <c r="L14" s="3"/>
    </row>
    <row r="15" spans="1:15" s="1" customFormat="1">
      <c r="B15" s="3"/>
      <c r="D15" s="3"/>
      <c r="E15" s="3"/>
      <c r="F15" s="3"/>
      <c r="I15" s="102"/>
      <c r="J15" s="102"/>
      <c r="L15" s="3"/>
    </row>
    <row r="16" spans="1:15" s="1" customFormat="1">
      <c r="B16" s="3"/>
      <c r="D16" s="3"/>
      <c r="E16" s="3"/>
      <c r="F16" s="3"/>
      <c r="I16" s="102"/>
      <c r="J16" s="102"/>
      <c r="L16" s="3"/>
    </row>
    <row r="17" spans="2:12" s="1" customFormat="1">
      <c r="B17" s="3"/>
      <c r="D17" s="3"/>
      <c r="E17" s="3"/>
      <c r="F17" s="3"/>
      <c r="I17" s="102"/>
      <c r="J17" s="102"/>
      <c r="L17" s="3"/>
    </row>
    <row r="18" spans="2:12" s="1" customFormat="1">
      <c r="B18" s="3"/>
      <c r="D18" s="3"/>
      <c r="E18" s="3"/>
      <c r="F18" s="3"/>
      <c r="I18" s="102"/>
      <c r="J18" s="102"/>
      <c r="L18" s="3"/>
    </row>
    <row r="19" spans="2:12" s="1" customFormat="1">
      <c r="B19" s="3"/>
      <c r="D19" s="3"/>
      <c r="E19" s="3"/>
      <c r="F19" s="3"/>
      <c r="I19" s="102"/>
      <c r="J19" s="102"/>
      <c r="L19" s="3"/>
    </row>
    <row r="20" spans="2:12" s="1" customFormat="1">
      <c r="B20" s="3"/>
      <c r="D20" s="3"/>
      <c r="E20" s="3"/>
      <c r="F20" s="3"/>
      <c r="I20" s="102"/>
      <c r="J20" s="102"/>
      <c r="L20" s="3"/>
    </row>
    <row r="21" spans="2:12" s="1" customFormat="1">
      <c r="B21" s="3"/>
      <c r="D21" s="3"/>
      <c r="E21" s="3"/>
      <c r="F21" s="3"/>
      <c r="I21" s="102"/>
      <c r="J21" s="102"/>
      <c r="L21" s="3"/>
    </row>
    <row r="22" spans="2:12" s="1" customFormat="1">
      <c r="B22" s="3"/>
      <c r="D22" s="3"/>
      <c r="E22" s="3"/>
      <c r="F22" s="3"/>
      <c r="I22" s="102"/>
      <c r="J22" s="102"/>
      <c r="L22" s="3"/>
    </row>
  </sheetData>
  <sheetProtection algorithmName="SHA-512" hashValue="mJS58b5VtJxMgn+5Jn/1xVYYQ/hGfbVl1waiEm3L6iQ4uDXI11yJGsDEeAUnbNcrTYvtee+C1cpxEXgEGahUMg==" saltValue="MXxzz1oXqdJ1+/V/LD0x2g==" spinCount="100000" sheet="1" objects="1" scenarios="1" formatColumns="0" selectLockedCells="1"/>
  <dataValidations count="7">
    <dataValidation type="textLength" showInputMessage="1" showErrorMessage="1" errorTitle="Pay Info Rec: PmtInfId" error="Thie length of this item must be between 1 and 35 characters long_x000a_" sqref="B5 F5 L5" xr:uid="{00000000-0002-0000-0100-000000000000}">
      <formula1>1</formula1>
      <formula2>35</formula2>
    </dataValidation>
    <dataValidation type="textLength" showInputMessage="1" showErrorMessage="1" errorTitle="Pay Info Rec: Nm" error="Name must be between 1 and 70 characters long." sqref="H5" xr:uid="{00000000-0002-0000-0100-000001000000}">
      <formula1>1</formula1>
      <formula2>70</formula2>
    </dataValidation>
    <dataValidation type="textLength" operator="lessThanOrEqual" allowBlank="1" showInputMessage="1" showErrorMessage="1" errorTitle="Pay Info Rec: PstlAdr:AdrLine" error="This item cannot be longer than 70 characters" sqref="J5" xr:uid="{B24DD941-4ABC-4E6C-AEB5-A616EEE239EC}">
      <formula1>70</formula1>
    </dataValidation>
    <dataValidation type="textLength" showInputMessage="1" showErrorMessage="1" errorTitle="Pay Info Rec: IBAN" error="This must be up to 34 characters in length_x000a_" sqref="K5" xr:uid="{00000000-0002-0000-0100-000003000000}">
      <formula1>4</formula1>
      <formula2>34</formula2>
    </dataValidation>
    <dataValidation type="textLength" showInputMessage="1" showErrorMessage="1" errorTitle="Pay Info Rec: BIC" error="BIC should be either 8 or 11 characters in length" sqref="M5" xr:uid="{00000000-0002-0000-0100-000004000000}">
      <formula1>8</formula1>
      <formula2>11</formula2>
    </dataValidation>
    <dataValidation type="textLength" operator="lessThan" showInputMessage="1" showErrorMessage="1" errorTitle="Pay Info Rec: PmtInfId" error="Thie length of this item must be between 1 and 35 characters long_x000a_" sqref="A5" xr:uid="{00000000-0002-0000-0100-000005000000}">
      <formula1>36</formula1>
    </dataValidation>
    <dataValidation type="textLength" showInputMessage="1" showErrorMessage="1" errorTitle="Pay Info Rec: AdrLine" error="Address Line 1 must be between 1 and 70 characters long." sqref="I5" xr:uid="{00000000-0002-0000-0100-000006000000}">
      <formula1>1</formula1>
      <formula2>70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Pay Info Rec: BtchBookg" error="Valid entries are 'true' or 'false'" xr:uid="{00000000-0002-0000-0100-000007000000}">
          <x14:formula1>
            <xm:f>'Control Data (Hidden)'!$D$9:$E$9</xm:f>
          </x14:formula1>
          <xm:sqref>C5</xm:sqref>
        </x14:dataValidation>
        <x14:dataValidation type="date" allowBlank="1" showInputMessage="1" showErrorMessage="1" errorTitle="Pay Info Rec: ReqdExctnDt" error="The date is invalid" xr:uid="{00000000-0002-0000-0100-000008000000}">
          <x14:formula1>
            <xm:f>'Control Data (Hidden)'!B14</xm:f>
          </x14:formula1>
          <x14:formula2>
            <xm:f>'Control Data (Hidden)'!C14</xm:f>
          </x14:formula2>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39997558519241921"/>
  </sheetPr>
  <dimension ref="A1:Q107"/>
  <sheetViews>
    <sheetView tabSelected="1" zoomScaleNormal="100" workbookViewId="0">
      <pane ySplit="4" topLeftCell="A5" activePane="bottomLeft" state="frozen"/>
      <selection activeCell="A5" sqref="A5"/>
      <selection pane="bottomLeft" activeCell="A5" sqref="A5"/>
    </sheetView>
  </sheetViews>
  <sheetFormatPr defaultRowHeight="15"/>
  <cols>
    <col min="1" max="1" width="39.28515625" customWidth="1"/>
    <col min="2" max="2" width="25.28515625" customWidth="1"/>
    <col min="3" max="3" width="13.28515625" style="3" hidden="1" customWidth="1"/>
    <col min="4" max="4" width="21.28515625" customWidth="1"/>
    <col min="5" max="5" width="19.7109375" customWidth="1"/>
    <col min="6" max="6" width="32.7109375" customWidth="1"/>
    <col min="7" max="7" width="17.28515625" customWidth="1"/>
    <col min="8" max="12" width="19.28515625" customWidth="1"/>
    <col min="13" max="13" width="33.28515625" customWidth="1"/>
    <col min="14" max="14" width="20.5703125" customWidth="1"/>
    <col min="15" max="15" width="29.28515625" customWidth="1"/>
  </cols>
  <sheetData>
    <row r="1" spans="1:17" s="1" customFormat="1">
      <c r="A1" s="1" t="s">
        <v>51</v>
      </c>
      <c r="B1" s="1" t="s">
        <v>53</v>
      </c>
      <c r="C1" s="3" t="s">
        <v>80</v>
      </c>
      <c r="D1" s="1" t="s">
        <v>55</v>
      </c>
      <c r="E1" s="1" t="s">
        <v>33</v>
      </c>
      <c r="F1" s="1" t="s">
        <v>6</v>
      </c>
      <c r="G1" s="1" t="s">
        <v>128</v>
      </c>
      <c r="H1" s="1" t="s">
        <v>130</v>
      </c>
      <c r="I1" s="1" t="s">
        <v>132</v>
      </c>
      <c r="J1" s="1" t="s">
        <v>134</v>
      </c>
      <c r="K1" s="1" t="s">
        <v>136</v>
      </c>
      <c r="L1" s="1" t="s">
        <v>138</v>
      </c>
      <c r="M1" s="1" t="s">
        <v>31</v>
      </c>
      <c r="N1" s="1" t="s">
        <v>36</v>
      </c>
      <c r="O1" s="1" t="s">
        <v>60</v>
      </c>
      <c r="Q1" t="s">
        <v>9</v>
      </c>
    </row>
    <row r="2" spans="1:17" s="80" customFormat="1" ht="36">
      <c r="A2" s="80" t="s">
        <v>52</v>
      </c>
      <c r="B2" s="80" t="s">
        <v>54</v>
      </c>
      <c r="C2" s="81" t="s">
        <v>76</v>
      </c>
      <c r="D2" s="80" t="s">
        <v>56</v>
      </c>
      <c r="E2" s="80" t="s">
        <v>57</v>
      </c>
      <c r="F2" s="80" t="s">
        <v>58</v>
      </c>
      <c r="G2" s="80" t="s">
        <v>129</v>
      </c>
      <c r="H2" s="80" t="s">
        <v>131</v>
      </c>
      <c r="I2" s="80" t="s">
        <v>133</v>
      </c>
      <c r="J2" s="80" t="s">
        <v>135</v>
      </c>
      <c r="K2" s="80" t="s">
        <v>137</v>
      </c>
      <c r="L2" s="80" t="s">
        <v>139</v>
      </c>
      <c r="M2" s="80" t="s">
        <v>59</v>
      </c>
      <c r="N2" s="80" t="s">
        <v>814</v>
      </c>
      <c r="O2" s="80" t="s">
        <v>61</v>
      </c>
      <c r="Q2" s="82" t="s">
        <v>10</v>
      </c>
    </row>
    <row r="3" spans="1:17" s="80" customFormat="1" ht="156">
      <c r="A3" s="80" t="s">
        <v>16</v>
      </c>
      <c r="B3" s="80" t="s">
        <v>16</v>
      </c>
      <c r="C3" s="81"/>
      <c r="D3" s="80" t="s">
        <v>18</v>
      </c>
      <c r="E3" s="83" t="s">
        <v>815</v>
      </c>
      <c r="F3" s="80" t="s">
        <v>816</v>
      </c>
      <c r="G3" s="80" t="s">
        <v>817</v>
      </c>
      <c r="H3" s="80" t="s">
        <v>818</v>
      </c>
      <c r="I3" s="80" t="s">
        <v>819</v>
      </c>
      <c r="J3" s="80" t="s">
        <v>820</v>
      </c>
      <c r="K3" s="80" t="s">
        <v>821</v>
      </c>
      <c r="L3" s="80" t="s">
        <v>822</v>
      </c>
      <c r="M3" s="83" t="s">
        <v>823</v>
      </c>
      <c r="O3" s="80" t="s">
        <v>62</v>
      </c>
      <c r="Q3" s="82" t="s">
        <v>63</v>
      </c>
    </row>
    <row r="4" spans="1:17" s="84" customFormat="1" ht="12">
      <c r="A4" s="84" t="s">
        <v>65</v>
      </c>
      <c r="B4" s="84" t="s">
        <v>65</v>
      </c>
      <c r="C4" s="85"/>
      <c r="D4" s="86" t="s">
        <v>64</v>
      </c>
      <c r="Q4" s="84" t="s">
        <v>66</v>
      </c>
    </row>
    <row r="5" spans="1:17">
      <c r="A5" s="48"/>
      <c r="B5" s="48"/>
      <c r="C5" s="48" t="s">
        <v>81</v>
      </c>
      <c r="D5" s="48"/>
      <c r="E5" s="48"/>
      <c r="F5" s="48"/>
      <c r="G5" s="48"/>
      <c r="H5" s="48"/>
      <c r="I5" s="48"/>
      <c r="J5" s="90"/>
      <c r="K5" s="48"/>
      <c r="L5" s="48" t="s">
        <v>146</v>
      </c>
      <c r="M5" s="48"/>
      <c r="N5" s="48" t="s">
        <v>43</v>
      </c>
      <c r="O5" s="48"/>
      <c r="Q5" s="5" t="s">
        <v>11</v>
      </c>
    </row>
    <row r="6" spans="1:17" s="88" customFormat="1" ht="36">
      <c r="A6" s="87" t="str">
        <f>IF(OR(LEN(A5)&lt;1,LEN(A5)&gt;35),"Transaction Identification must be between 1 and 35 characters long","")</f>
        <v>Transaction Identification must be between 1 and 35 characters long</v>
      </c>
      <c r="B6" s="87" t="str">
        <f>IF(OR(LEN(B5)&lt;1,LEN(B5)&gt;35),"Uniqie Identification must be between 1 and 35 characters long","")</f>
        <v>Uniqie Identification must be between 1 and 35 characters long</v>
      </c>
      <c r="C6" s="89"/>
      <c r="D6" s="87" t="str">
        <f>IF(OR(D5&lt;0.01,D5&gt;9999999999999990),"Transaction Amount is not valid","")</f>
        <v>Transaction Amount is not valid</v>
      </c>
      <c r="E6" s="87" t="str">
        <f>IF(AND(LEN(E5)&lt;&gt;8,LEN(E5)&lt;&gt;11),
    "BIC must be 8 or 11 characters long",
    IF(COUNTIF('Control Data (Hidden)'!$B$279:$B$335,E5)=0,
        "Warning: Is IBAN Valid?",
        ""
    )
)</f>
        <v>BIC must be 8 or 11 characters long</v>
      </c>
      <c r="F6" s="87" t="str">
        <f>IF(OR(LEN(F5)&lt;1,LEN(F5)&gt;70),"Creditor's Name must be between 1 and 70 characters long","")</f>
        <v>Creditor's Name must be between 1 and 70 characters long</v>
      </c>
      <c r="G6" s="87" t="str">
        <f>IF(LEN(G5)&gt;70,"Address cannot be longer than 70 characters","")</f>
        <v/>
      </c>
      <c r="H6" s="87" t="str">
        <f>IF(LEN(H5)&gt;16,"Building Number cannot be longer than 16 characters","")</f>
        <v/>
      </c>
      <c r="I6" s="87" t="str">
        <f>IF(LEN(I5)&gt;35,"Building Name cannot be longer than 35 characters","")</f>
        <v/>
      </c>
      <c r="J6" s="87" t="str">
        <f>IF(LEN(J5)&gt;16,"Postal Code cannot be longer than 16 characters","")</f>
        <v/>
      </c>
      <c r="K6" s="87" t="str">
        <f>IF(OR(LEN(K5)&lt;1,LEN(K5)&gt;35),"Town Name must be between 1 and 35 characters long","")</f>
        <v>Town Name must be between 1 and 35 characters long</v>
      </c>
      <c r="L6" s="87" t="str">
        <f>IF(NOT(LEN(L5)=2),"Country Code must be 2 characters long","")</f>
        <v/>
      </c>
      <c r="M6" s="87" t="str">
        <f>IF(OR(LEN(M5)&lt;10,LEN(M5)&gt;34),"IBAN may be up to 34 characters long","")</f>
        <v>IBAN may be up to 34 characters long</v>
      </c>
      <c r="N6" s="87" t="str">
        <f>IF(ISBLANK(N5),"Code cannot be left blank","")</f>
        <v/>
      </c>
      <c r="O6" s="87" t="str">
        <f>IF(OR(LEN(O5)&lt;1,LEN(O5)&gt;140),"Transaction Details must be between 1 and 140 characters long","")</f>
        <v>Transaction Details must be between 1 and 140 characters long</v>
      </c>
      <c r="Q6" s="84" t="s">
        <v>12</v>
      </c>
    </row>
    <row r="7" spans="1:17">
      <c r="A7" s="48"/>
      <c r="B7" s="48"/>
      <c r="C7" s="48" t="s">
        <v>81</v>
      </c>
      <c r="D7" s="48"/>
      <c r="E7" s="48"/>
      <c r="F7" s="48"/>
      <c r="G7" s="48"/>
      <c r="H7" s="48"/>
      <c r="I7" s="48"/>
      <c r="J7" s="48"/>
      <c r="K7" s="48"/>
      <c r="L7" s="48" t="s">
        <v>146</v>
      </c>
      <c r="M7" s="48"/>
      <c r="N7" s="48" t="s">
        <v>43</v>
      </c>
      <c r="O7" s="48"/>
      <c r="Q7" s="5" t="s">
        <v>11</v>
      </c>
    </row>
    <row r="8" spans="1:17" s="88" customFormat="1" ht="36">
      <c r="A8" s="87" t="str">
        <f>IF(OR(LEN(A7)&lt;1,LEN(A7)&gt;35),"Transaction Identification must be between 1 and 35 characters long","")</f>
        <v>Transaction Identification must be between 1 and 35 characters long</v>
      </c>
      <c r="B8" s="87" t="str">
        <f>IF(OR(LEN(B7)&lt;1,LEN(B7)&gt;35),"Uniqie Identification must be between 1 and 35 characters long","")</f>
        <v>Uniqie Identification must be between 1 and 35 characters long</v>
      </c>
      <c r="C8" s="89"/>
      <c r="D8" s="87" t="str">
        <f>IF(OR(D7&lt;0.01,D7&gt;9999999999999990),"Transaction Amount is not valid","")</f>
        <v>Transaction Amount is not valid</v>
      </c>
      <c r="E8" s="87" t="str">
        <f>IF(AND(LEN(E7)&lt;&gt;8,LEN(E7)&lt;&gt;11),
    "BIC must be 8 or 11 characters long",
    IF(COUNTIF('Control Data (Hidden)'!$B$279:$B$335,E7)=0,
        "Warning: Is IBAN Valid?",
        ""
    )
)</f>
        <v>BIC must be 8 or 11 characters long</v>
      </c>
      <c r="F8" s="87" t="str">
        <f>IF(OR(LEN(F7)&lt;1,LEN(F7)&gt;70),"Creditor's Name must be between 1 and 70 characters long","")</f>
        <v>Creditor's Name must be between 1 and 70 characters long</v>
      </c>
      <c r="G8" s="87" t="str">
        <f>IF(LEN(G7)&gt;70,"Address cannot be longer than 70 characters","")</f>
        <v/>
      </c>
      <c r="H8" s="87" t="str">
        <f>IF(LEN(H7)&gt;16,"Building Number cannot be longer than 16 characters","")</f>
        <v/>
      </c>
      <c r="I8" s="87" t="str">
        <f>IF(LEN(I7)&gt;35,"Building Name cannot be longer than 35 characters","")</f>
        <v/>
      </c>
      <c r="J8" s="87" t="str">
        <f>IF(LEN(J7)&gt;16,"Postal Code cannot be longer than 16 characters","")</f>
        <v/>
      </c>
      <c r="K8" s="87" t="str">
        <f>IF(OR(LEN(K7)&lt;1,LEN(K7)&gt;35),"Town Name must be between 1 and 35 characters long","")</f>
        <v>Town Name must be between 1 and 35 characters long</v>
      </c>
      <c r="L8" s="87" t="str">
        <f>IF(NOT(LEN(L7)=2),"Country Code must be 2 characters long","")</f>
        <v/>
      </c>
      <c r="M8" s="87" t="str">
        <f>IF(OR(LEN(M7)&lt;10,LEN(M7)&gt;34),"IBAN may be up to 34 characters long","")</f>
        <v>IBAN may be up to 34 characters long</v>
      </c>
      <c r="N8" s="87" t="str">
        <f>IF(ISBLANK(N7),"Code cannot be left blank","")</f>
        <v/>
      </c>
      <c r="O8" s="87" t="str">
        <f>IF(OR(LEN(O7)&lt;1,LEN(O7)&gt;140),"Transaction Details must be between 1 and 140 characters long","")</f>
        <v>Transaction Details must be between 1 and 140 characters long</v>
      </c>
      <c r="Q8" s="84" t="s">
        <v>12</v>
      </c>
    </row>
    <row r="9" spans="1:17">
      <c r="A9" s="48"/>
      <c r="B9" s="48"/>
      <c r="C9" s="48" t="s">
        <v>81</v>
      </c>
      <c r="D9" s="48"/>
      <c r="E9" s="48"/>
      <c r="F9" s="48"/>
      <c r="G9" s="48"/>
      <c r="H9" s="48"/>
      <c r="I9" s="48"/>
      <c r="J9" s="48"/>
      <c r="K9" s="48"/>
      <c r="L9" s="48" t="s">
        <v>146</v>
      </c>
      <c r="M9" s="48"/>
      <c r="N9" s="48" t="s">
        <v>43</v>
      </c>
      <c r="O9" s="48"/>
      <c r="Q9" s="5" t="s">
        <v>11</v>
      </c>
    </row>
    <row r="10" spans="1:17" s="88" customFormat="1" ht="36">
      <c r="A10" s="87" t="str">
        <f>IF(OR(LEN(A9)&lt;1,LEN(A9)&gt;35),"Transaction Identification must be between 1 and 35 characters long","")</f>
        <v>Transaction Identification must be between 1 and 35 characters long</v>
      </c>
      <c r="B10" s="87" t="str">
        <f>IF(OR(LEN(B9)&lt;1,LEN(B9)&gt;35),"Uniqie Identification must be between 1 and 35 characters long","")</f>
        <v>Uniqie Identification must be between 1 and 35 characters long</v>
      </c>
      <c r="C10" s="89"/>
      <c r="D10" s="87" t="str">
        <f>IF(OR(D9&lt;0.01,D9&gt;9999999999999990),"Transaction Amount is not valid","")</f>
        <v>Transaction Amount is not valid</v>
      </c>
      <c r="E10" s="87" t="str">
        <f>IF(AND(LEN(E9)&lt;&gt;8,LEN(E9)&lt;&gt;11),
    "BIC must be 8 or 11 characters long",
    IF(COUNTIF('Control Data (Hidden)'!$B$279:$B$335,E9)=0,
        "Warning: Is IBAN Valid?",
        ""
    )
)</f>
        <v>BIC must be 8 or 11 characters long</v>
      </c>
      <c r="F10" s="87" t="str">
        <f>IF(OR(LEN(F9)&lt;1,LEN(F9)&gt;70),"Creditor's Name must be between 1 and 70 characters long","")</f>
        <v>Creditor's Name must be between 1 and 70 characters long</v>
      </c>
      <c r="G10" s="87" t="str">
        <f>IF(LEN(G9)&gt;70,"Address cannot be longer than 70 characters","")</f>
        <v/>
      </c>
      <c r="H10" s="87" t="str">
        <f>IF(LEN(H9)&gt;16,"Building Number cannot be longer than 16 characters","")</f>
        <v/>
      </c>
      <c r="I10" s="87" t="str">
        <f>IF(LEN(I9)&gt;35,"Building Name cannot be longer than 35 characters","")</f>
        <v/>
      </c>
      <c r="J10" s="87" t="str">
        <f>IF(LEN(J9)&gt;16,"Postal Code cannot be longer than 16 characters","")</f>
        <v/>
      </c>
      <c r="K10" s="87" t="str">
        <f>IF(OR(LEN(K9)&lt;1,LEN(K9)&gt;35),"Town Name must be between 1 and 35 characters long","")</f>
        <v>Town Name must be between 1 and 35 characters long</v>
      </c>
      <c r="L10" s="87" t="str">
        <f>IF(NOT(LEN(L5)=2),"Country Code must be 2 characters long","")</f>
        <v/>
      </c>
      <c r="M10" s="87" t="str">
        <f>IF(OR(LEN(M9)&lt;10,LEN(M9)&gt;34),"IBAN may be up to 34 characters long","")</f>
        <v>IBAN may be up to 34 characters long</v>
      </c>
      <c r="N10" s="87" t="str">
        <f>IF(ISBLANK(N9),"Code cannot be left blank","")</f>
        <v/>
      </c>
      <c r="O10" s="87" t="str">
        <f>IF(OR(LEN(O9)&lt;1,LEN(O9)&gt;140),"Transaction Details must be between 1 and 140 characters long","")</f>
        <v>Transaction Details must be between 1 and 140 characters long</v>
      </c>
      <c r="Q10" s="84" t="s">
        <v>12</v>
      </c>
    </row>
    <row r="11" spans="1:17">
      <c r="A11" s="48"/>
      <c r="B11" s="48"/>
      <c r="C11" s="48" t="s">
        <v>81</v>
      </c>
      <c r="D11" s="48"/>
      <c r="E11" s="48"/>
      <c r="F11" s="48"/>
      <c r="G11" s="48"/>
      <c r="H11" s="48"/>
      <c r="I11" s="48"/>
      <c r="J11" s="48"/>
      <c r="K11" s="48"/>
      <c r="L11" s="48" t="s">
        <v>146</v>
      </c>
      <c r="M11" s="48"/>
      <c r="N11" s="48" t="s">
        <v>43</v>
      </c>
      <c r="O11" s="48"/>
      <c r="Q11" s="5" t="s">
        <v>11</v>
      </c>
    </row>
    <row r="12" spans="1:17" s="88" customFormat="1" ht="36">
      <c r="A12" s="87" t="str">
        <f>IF(OR(LEN(A11)&lt;1,LEN(A11)&gt;35),"Transaction Identification must be between 1 and 35 characters long","")</f>
        <v>Transaction Identification must be between 1 and 35 characters long</v>
      </c>
      <c r="B12" s="87" t="str">
        <f>IF(OR(LEN(B11)&lt;1,LEN(B11)&gt;35),"Uniqie Identification must be between 1 and 35 characters long","")</f>
        <v>Uniqie Identification must be between 1 and 35 characters long</v>
      </c>
      <c r="C12" s="89"/>
      <c r="D12" s="87" t="str">
        <f>IF(OR(D11&lt;0.01,D11&gt;9999999999999990),"Transaction Amount is not valid","")</f>
        <v>Transaction Amount is not valid</v>
      </c>
      <c r="E12" s="87" t="str">
        <f>IF(AND(LEN(E11)&lt;&gt;8,LEN(E11)&lt;&gt;11),
    "BIC must be 8 or 11 characters long",
    IF(COUNTIF('Control Data (Hidden)'!$B$279:$B$335,E11)=0,
        "Warning: Is IBAN Valid?",
        ""
    )
)</f>
        <v>BIC must be 8 or 11 characters long</v>
      </c>
      <c r="F12" s="87" t="str">
        <f>IF(OR(LEN(F11)&lt;1,LEN(F11)&gt;70),"Creditor's Name must be between 1 and 70 characters long","")</f>
        <v>Creditor's Name must be between 1 and 70 characters long</v>
      </c>
      <c r="G12" s="87" t="str">
        <f>IF(LEN(G11)&gt;70,"Address cannot be longer than 70 characters","")</f>
        <v/>
      </c>
      <c r="H12" s="87" t="str">
        <f>IF(LEN(H11)&gt;16,"Building Number cannot be longer than 16 characters","")</f>
        <v/>
      </c>
      <c r="I12" s="87" t="str">
        <f>IF(LEN(I11)&gt;35,"Building Name cannot be longer than 35 characters","")</f>
        <v/>
      </c>
      <c r="J12" s="87" t="str">
        <f>IF(LEN(J11)&gt;16,"Postal Code cannot be longer than 16 characters","")</f>
        <v/>
      </c>
      <c r="K12" s="87" t="str">
        <f>IF(OR(LEN(K11)&lt;1,LEN(K11)&gt;35),"Town Name must be between 1 and 35 characters long","")</f>
        <v>Town Name must be between 1 and 35 characters long</v>
      </c>
      <c r="L12" s="87" t="str">
        <f>IF(NOT(LEN(L11)=2),"Country Code must be 2 characters long","")</f>
        <v/>
      </c>
      <c r="M12" s="87" t="str">
        <f>IF(OR(LEN(M11)&lt;10,LEN(M11)&gt;34),"IBAN may be up to 34 characters long","")</f>
        <v>IBAN may be up to 34 characters long</v>
      </c>
      <c r="N12" s="87" t="str">
        <f>IF(ISBLANK(N11),"Code cannot be left blank","")</f>
        <v/>
      </c>
      <c r="O12" s="87" t="str">
        <f>IF(OR(LEN(O11)&lt;1,LEN(O11)&gt;140),"Transaction Details must be between 1 and 140 characters long","")</f>
        <v>Transaction Details must be between 1 and 140 characters long</v>
      </c>
      <c r="Q12" s="84" t="s">
        <v>12</v>
      </c>
    </row>
    <row r="13" spans="1:17">
      <c r="A13" s="48"/>
      <c r="B13" s="48"/>
      <c r="C13" s="48" t="s">
        <v>81</v>
      </c>
      <c r="D13" s="48"/>
      <c r="E13" s="48"/>
      <c r="F13" s="48"/>
      <c r="G13" s="48"/>
      <c r="H13" s="48"/>
      <c r="I13" s="48"/>
      <c r="J13" s="48"/>
      <c r="K13" s="48"/>
      <c r="L13" s="48" t="s">
        <v>146</v>
      </c>
      <c r="M13" s="48"/>
      <c r="N13" s="48" t="s">
        <v>43</v>
      </c>
      <c r="O13" s="48"/>
      <c r="Q13" s="5" t="s">
        <v>11</v>
      </c>
    </row>
    <row r="14" spans="1:17" s="88" customFormat="1" ht="36">
      <c r="A14" s="87" t="str">
        <f>IF(OR(LEN(A13)&lt;1,LEN(A13)&gt;35),"Transaction Identification must be between 1 and 35 characters long","")</f>
        <v>Transaction Identification must be between 1 and 35 characters long</v>
      </c>
      <c r="B14" s="87" t="str">
        <f>IF(OR(LEN(B13)&lt;1,LEN(B13)&gt;35),"Uniqie Identification must be between 1 and 35 characters long","")</f>
        <v>Uniqie Identification must be between 1 and 35 characters long</v>
      </c>
      <c r="C14" s="89"/>
      <c r="D14" s="87" t="str">
        <f>IF(OR(D13&lt;0.01,D13&gt;9999999999999990),"Transaction Amount is not valid","")</f>
        <v>Transaction Amount is not valid</v>
      </c>
      <c r="E14" s="87" t="str">
        <f>IF(AND(LEN(E13)&lt;&gt;8,LEN(E13)&lt;&gt;11),
    "BIC must be 8 or 11 characters long",
    IF(COUNTIF('Control Data (Hidden)'!$B$279:$B$335,E13)=0,
        "Warning: Is IBAN Valid?",
        ""
    )
)</f>
        <v>BIC must be 8 or 11 characters long</v>
      </c>
      <c r="F14" s="87" t="str">
        <f>IF(OR(LEN(F13)&lt;1,LEN(F13)&gt;70),"Creditor's Name must be between 1 and 70 characters long","")</f>
        <v>Creditor's Name must be between 1 and 70 characters long</v>
      </c>
      <c r="G14" s="87" t="str">
        <f>IF(LEN(G13)&gt;70,"Address cannot be longer than 70 characters","")</f>
        <v/>
      </c>
      <c r="H14" s="87" t="str">
        <f>IF(LEN(H13)&gt;16,"Building Number cannot be longer than 16 characters","")</f>
        <v/>
      </c>
      <c r="I14" s="87" t="str">
        <f>IF(LEN(I13)&gt;35,"Building Name cannot be longer than 35 characters","")</f>
        <v/>
      </c>
      <c r="J14" s="87" t="str">
        <f>IF(LEN(J13)&gt;16,"Postal Code cannot be longer than 16 characters","")</f>
        <v/>
      </c>
      <c r="K14" s="87" t="str">
        <f>IF(OR(LEN(K13)&lt;1,LEN(K13)&gt;35),"Town Name must be between 1 and 35 characters long","")</f>
        <v>Town Name must be between 1 and 35 characters long</v>
      </c>
      <c r="L14" s="87" t="str">
        <f>IF(NOT(LEN(L13)=2),"Country Code must be 2 characters long","")</f>
        <v/>
      </c>
      <c r="M14" s="87" t="str">
        <f>IF(OR(LEN(M13)&lt;10,LEN(M13)&gt;34),"IBAN may be up to 34 characters long","")</f>
        <v>IBAN may be up to 34 characters long</v>
      </c>
      <c r="N14" s="87" t="str">
        <f>IF(ISBLANK(N13),"Code cannot be left blank","")</f>
        <v/>
      </c>
      <c r="O14" s="87" t="str">
        <f>IF(OR(LEN(O13)&lt;1,LEN(O13)&gt;140),"Transaction Details must be between 1 and 140 characters long","")</f>
        <v>Transaction Details must be between 1 and 140 characters long</v>
      </c>
      <c r="Q14" s="84" t="s">
        <v>12</v>
      </c>
    </row>
    <row r="15" spans="1:17">
      <c r="A15" s="48"/>
      <c r="B15" s="48"/>
      <c r="C15" s="48" t="s">
        <v>81</v>
      </c>
      <c r="D15" s="48"/>
      <c r="E15" s="48"/>
      <c r="F15" s="48"/>
      <c r="G15" s="48"/>
      <c r="H15" s="48"/>
      <c r="I15" s="48"/>
      <c r="J15" s="48"/>
      <c r="K15" s="48"/>
      <c r="L15" s="48" t="s">
        <v>146</v>
      </c>
      <c r="M15" s="48"/>
      <c r="N15" s="48" t="s">
        <v>43</v>
      </c>
      <c r="O15" s="48"/>
      <c r="Q15" s="5" t="s">
        <v>11</v>
      </c>
    </row>
    <row r="16" spans="1:17" s="88" customFormat="1" ht="36">
      <c r="A16" s="87" t="str">
        <f>IF(OR(LEN(A15)&lt;1,LEN(A15)&gt;35),"Transaction Identification must be between 1 and 35 characters long","")</f>
        <v>Transaction Identification must be between 1 and 35 characters long</v>
      </c>
      <c r="B16" s="87" t="str">
        <f>IF(OR(LEN(B15)&lt;1,LEN(B15)&gt;35),"Uniqie Identification must be between 1 and 35 characters long","")</f>
        <v>Uniqie Identification must be between 1 and 35 characters long</v>
      </c>
      <c r="C16" s="89"/>
      <c r="D16" s="87" t="str">
        <f>IF(OR(D15&lt;0.01,D15&gt;9999999999999990),"Transaction Amount is not valid","")</f>
        <v>Transaction Amount is not valid</v>
      </c>
      <c r="E16" s="87" t="str">
        <f>IF(AND(LEN(E15)&lt;&gt;8,LEN(E15)&lt;&gt;11),
    "BIC must be 8 or 11 characters long",
    IF(COUNTIF('Control Data (Hidden)'!$B$279:$B$335,E15)=0,
        "Warning: Is IBAN Valid?",
        ""
    )
)</f>
        <v>BIC must be 8 or 11 characters long</v>
      </c>
      <c r="F16" s="87" t="str">
        <f>IF(OR(LEN(F15)&lt;1,LEN(F15)&gt;70),"Creditor's Name must be between 1 and 70 characters long","")</f>
        <v>Creditor's Name must be between 1 and 70 characters long</v>
      </c>
      <c r="G16" s="87" t="str">
        <f>IF(LEN(G15)&gt;70,"Address cannot be longer than 70 characters","")</f>
        <v/>
      </c>
      <c r="H16" s="87" t="str">
        <f>IF(LEN(H15)&gt;16,"Building Number cannot be longer than 16 characters","")</f>
        <v/>
      </c>
      <c r="I16" s="87" t="str">
        <f>IF(LEN(I15)&gt;35,"Building Name cannot be longer than 35 characters","")</f>
        <v/>
      </c>
      <c r="J16" s="87" t="str">
        <f>IF(LEN(J15)&gt;16,"Postal Code cannot be longer than 16 characters","")</f>
        <v/>
      </c>
      <c r="K16" s="87" t="str">
        <f>IF(OR(LEN(K15)&lt;1,LEN(K15)&gt;35),"Town Name must be between 1 and 35 characters long","")</f>
        <v>Town Name must be between 1 and 35 characters long</v>
      </c>
      <c r="L16" s="87" t="str">
        <f>IF(NOT(LEN(L15)=2),"Country Code must be 2 characters long","")</f>
        <v/>
      </c>
      <c r="M16" s="87" t="str">
        <f>IF(OR(LEN(M15)&lt;10,LEN(M15)&gt;34),"IBAN may be up to 34 characters long","")</f>
        <v>IBAN may be up to 34 characters long</v>
      </c>
      <c r="N16" s="87" t="str">
        <f>IF(ISBLANK(N15),"Code cannot be left blank","")</f>
        <v/>
      </c>
      <c r="O16" s="87" t="str">
        <f>IF(OR(LEN(O15)&lt;1,LEN(O15)&gt;140),"Transaction Details must be between 1 and 140 characters long","")</f>
        <v>Transaction Details must be between 1 and 140 characters long</v>
      </c>
      <c r="Q16" s="84" t="s">
        <v>12</v>
      </c>
    </row>
    <row r="17" spans="1:17">
      <c r="A17" s="48"/>
      <c r="B17" s="48"/>
      <c r="C17" s="48" t="s">
        <v>81</v>
      </c>
      <c r="D17" s="48"/>
      <c r="E17" s="48"/>
      <c r="F17" s="48"/>
      <c r="G17" s="48"/>
      <c r="H17" s="48"/>
      <c r="I17" s="48"/>
      <c r="J17" s="48"/>
      <c r="K17" s="48"/>
      <c r="L17" s="48" t="s">
        <v>146</v>
      </c>
      <c r="M17" s="48"/>
      <c r="N17" s="48" t="s">
        <v>43</v>
      </c>
      <c r="O17" s="48"/>
      <c r="Q17" s="5" t="s">
        <v>11</v>
      </c>
    </row>
    <row r="18" spans="1:17" s="88" customFormat="1" ht="36">
      <c r="A18" s="87" t="str">
        <f>IF(OR(LEN(A17)&lt;1,LEN(A17)&gt;35),"Transaction Identification must be between 1 and 35 characters long","")</f>
        <v>Transaction Identification must be between 1 and 35 characters long</v>
      </c>
      <c r="B18" s="87" t="str">
        <f>IF(OR(LEN(B17)&lt;1,LEN(B17)&gt;35),"Uniqie Identification must be between 1 and 35 characters long","")</f>
        <v>Uniqie Identification must be between 1 and 35 characters long</v>
      </c>
      <c r="C18" s="89"/>
      <c r="D18" s="87" t="str">
        <f>IF(OR(D17&lt;0.01,D17&gt;9999999999999990),"Transaction Amount is not valid","")</f>
        <v>Transaction Amount is not valid</v>
      </c>
      <c r="E18" s="87" t="str">
        <f>IF(AND(LEN(E17)&lt;&gt;8,LEN(E17)&lt;&gt;11),
    "BIC must be 8 or 11 characters long",
    IF(COUNTIF('Control Data (Hidden)'!$B$279:$B$335,E17)=0,
        "Warning: Is IBAN Valid?",
        ""
    )
)</f>
        <v>BIC must be 8 or 11 characters long</v>
      </c>
      <c r="F18" s="87" t="str">
        <f>IF(OR(LEN(F17)&lt;1,LEN(F17)&gt;70),"Creditor's Name must be between 1 and 70 characters long","")</f>
        <v>Creditor's Name must be between 1 and 70 characters long</v>
      </c>
      <c r="G18" s="87" t="str">
        <f>IF(LEN(G17)&gt;70,"Address cannot be longer than 70 characters","")</f>
        <v/>
      </c>
      <c r="H18" s="87" t="str">
        <f>IF(LEN(H17)&gt;16,"Building Number cannot be longer than 16 characters","")</f>
        <v/>
      </c>
      <c r="I18" s="87" t="str">
        <f>IF(LEN(I17)&gt;35,"Building Name cannot be longer than 35 characters","")</f>
        <v/>
      </c>
      <c r="J18" s="87" t="str">
        <f>IF(LEN(J17)&gt;16,"Postal Code cannot be longer than 16 characters","")</f>
        <v/>
      </c>
      <c r="K18" s="87" t="str">
        <f>IF(OR(LEN(K17)&lt;1,LEN(K17)&gt;35),"Town Name must be between 1 and 35 characters long","")</f>
        <v>Town Name must be between 1 and 35 characters long</v>
      </c>
      <c r="L18" s="87" t="str">
        <f>IF(NOT(LEN(L17)=2),"Country Code must be 2 characters long","")</f>
        <v/>
      </c>
      <c r="M18" s="87" t="str">
        <f>IF(OR(LEN(M17)&lt;10,LEN(M17)&gt;34),"IBAN may be up to 34 characters long","")</f>
        <v>IBAN may be up to 34 characters long</v>
      </c>
      <c r="N18" s="87" t="str">
        <f>IF(ISBLANK(N17),"Code cannot be left blank","")</f>
        <v/>
      </c>
      <c r="O18" s="87" t="str">
        <f>IF(OR(LEN(O17)&lt;1,LEN(O17)&gt;140),"Transaction Details must be between 1 and 140 characters long","")</f>
        <v>Transaction Details must be between 1 and 140 characters long</v>
      </c>
      <c r="Q18" s="84" t="s">
        <v>12</v>
      </c>
    </row>
    <row r="19" spans="1:17">
      <c r="A19" s="48"/>
      <c r="B19" s="48"/>
      <c r="C19" s="48" t="s">
        <v>81</v>
      </c>
      <c r="D19" s="48"/>
      <c r="E19" s="48"/>
      <c r="F19" s="48"/>
      <c r="G19" s="48"/>
      <c r="H19" s="48"/>
      <c r="I19" s="48"/>
      <c r="J19" s="48"/>
      <c r="K19" s="48"/>
      <c r="L19" s="48" t="s">
        <v>146</v>
      </c>
      <c r="M19" s="48"/>
      <c r="N19" s="48" t="s">
        <v>43</v>
      </c>
      <c r="O19" s="48"/>
      <c r="Q19" s="5" t="s">
        <v>11</v>
      </c>
    </row>
    <row r="20" spans="1:17" s="88" customFormat="1" ht="36">
      <c r="A20" s="87" t="str">
        <f>IF(OR(LEN(A19)&lt;1,LEN(A19)&gt;35),"Transaction Identification must be between 1 and 35 characters long","")</f>
        <v>Transaction Identification must be between 1 and 35 characters long</v>
      </c>
      <c r="B20" s="87" t="str">
        <f>IF(OR(LEN(B19)&lt;1,LEN(B19)&gt;35),"Uniqie Identification must be between 1 and 35 characters long","")</f>
        <v>Uniqie Identification must be between 1 and 35 characters long</v>
      </c>
      <c r="C20" s="89"/>
      <c r="D20" s="87" t="str">
        <f>IF(OR(D19&lt;0.01,D19&gt;9999999999999990),"Transaction Amount is not valid","")</f>
        <v>Transaction Amount is not valid</v>
      </c>
      <c r="E20" s="87" t="str">
        <f>IF(AND(LEN(E19)&lt;&gt;8,LEN(E19)&lt;&gt;11),
    "BIC must be 8 or 11 characters long",
    IF(COUNTIF('Control Data (Hidden)'!$B$279:$B$335,E19)=0,
        "Warning: Is IBAN Valid?",
        ""
    )
)</f>
        <v>BIC must be 8 or 11 characters long</v>
      </c>
      <c r="F20" s="87" t="str">
        <f>IF(OR(LEN(F19)&lt;1,LEN(F19)&gt;70),"Creditor's Name must be between 1 and 70 characters long","")</f>
        <v>Creditor's Name must be between 1 and 70 characters long</v>
      </c>
      <c r="G20" s="87" t="str">
        <f>IF(LEN(G19)&gt;70,"Address cannot be longer than 70 characters","")</f>
        <v/>
      </c>
      <c r="H20" s="87" t="str">
        <f>IF(LEN(H19)&gt;16,"Building Number cannot be longer than 16 characters","")</f>
        <v/>
      </c>
      <c r="I20" s="87" t="str">
        <f>IF(LEN(I19)&gt;35,"Building Name cannot be longer than 35 characters","")</f>
        <v/>
      </c>
      <c r="J20" s="87" t="str">
        <f>IF(LEN(J19)&gt;16,"Postal Code cannot be longer than 16 characters","")</f>
        <v/>
      </c>
      <c r="K20" s="87" t="str">
        <f>IF(OR(LEN(K19)&lt;1,LEN(K19)&gt;35),"Town Name must be between 1 and 35 characters long","")</f>
        <v>Town Name must be between 1 and 35 characters long</v>
      </c>
      <c r="L20" s="87" t="str">
        <f>IF(NOT(LEN(L19)=2),"Country Code must be 2 characters long","")</f>
        <v/>
      </c>
      <c r="M20" s="87" t="str">
        <f>IF(OR(LEN(M19)&lt;10,LEN(M19)&gt;34),"IBAN may be up to 34 characters long","")</f>
        <v>IBAN may be up to 34 characters long</v>
      </c>
      <c r="N20" s="87" t="str">
        <f>IF(ISBLANK(N19),"Code cannot be left blank","")</f>
        <v/>
      </c>
      <c r="O20" s="87" t="str">
        <f>IF(OR(LEN(O19)&lt;1,LEN(O19)&gt;140),"Transaction Details must be between 1 and 140 characters long","")</f>
        <v>Transaction Details must be between 1 and 140 characters long</v>
      </c>
      <c r="Q20" s="84" t="s">
        <v>12</v>
      </c>
    </row>
    <row r="21" spans="1:17">
      <c r="A21" s="48"/>
      <c r="B21" s="48"/>
      <c r="C21" s="48" t="s">
        <v>81</v>
      </c>
      <c r="D21" s="48"/>
      <c r="E21" s="48"/>
      <c r="F21" s="48"/>
      <c r="G21" s="48"/>
      <c r="H21" s="48"/>
      <c r="I21" s="48"/>
      <c r="J21" s="48"/>
      <c r="K21" s="48"/>
      <c r="L21" s="48" t="s">
        <v>146</v>
      </c>
      <c r="M21" s="48"/>
      <c r="N21" s="48" t="s">
        <v>43</v>
      </c>
      <c r="O21" s="48"/>
      <c r="Q21" s="5" t="s">
        <v>11</v>
      </c>
    </row>
    <row r="22" spans="1:17" s="88" customFormat="1" ht="36">
      <c r="A22" s="87" t="str">
        <f>IF(OR(LEN(A21)&lt;1,LEN(A21)&gt;35),"Transaction Identification must be between 1 and 35 characters long","")</f>
        <v>Transaction Identification must be between 1 and 35 characters long</v>
      </c>
      <c r="B22" s="87" t="str">
        <f>IF(OR(LEN(B21)&lt;1,LEN(B21)&gt;35),"Uniqie Identification must be between 1 and 35 characters long","")</f>
        <v>Uniqie Identification must be between 1 and 35 characters long</v>
      </c>
      <c r="C22" s="89"/>
      <c r="D22" s="87" t="str">
        <f>IF(OR(D21&lt;0.01,D21&gt;9999999999999990),"Transaction Amount is not valid","")</f>
        <v>Transaction Amount is not valid</v>
      </c>
      <c r="E22" s="87" t="str">
        <f>IF(AND(LEN(E21)&lt;&gt;8,LEN(E21)&lt;&gt;11),
    "BIC must be 8 or 11 characters long",
    IF(COUNTIF('Control Data (Hidden)'!$B$279:$B$335,E21)=0,
        "Warning: Is IBAN Valid?",
        ""
    )
)</f>
        <v>BIC must be 8 or 11 characters long</v>
      </c>
      <c r="F22" s="87" t="str">
        <f>IF(OR(LEN(F21)&lt;1,LEN(F21)&gt;70),"Creditor's Name must be between 1 and 70 characters long","")</f>
        <v>Creditor's Name must be between 1 and 70 characters long</v>
      </c>
      <c r="G22" s="87" t="str">
        <f>IF(LEN(G21)&gt;70,"Address cannot be longer than 70 characters","")</f>
        <v/>
      </c>
      <c r="H22" s="87" t="str">
        <f>IF(LEN(H21)&gt;16,"Building Number cannot be longer than 16 characters","")</f>
        <v/>
      </c>
      <c r="I22" s="87" t="str">
        <f>IF(LEN(I21)&gt;35,"Building Name cannot be longer than 35 characters","")</f>
        <v/>
      </c>
      <c r="J22" s="87" t="str">
        <f>IF(LEN(J21)&gt;16,"Postal Code cannot be longer than 16 characters","")</f>
        <v/>
      </c>
      <c r="K22" s="87" t="str">
        <f>IF(OR(LEN(K21)&lt;1,LEN(K21)&gt;35),"Town Name must be between 1 and 35 characters long","")</f>
        <v>Town Name must be between 1 and 35 characters long</v>
      </c>
      <c r="L22" s="87" t="str">
        <f>IF(NOT(LEN(L21)=2),"Country Code must be 2 characters long","")</f>
        <v/>
      </c>
      <c r="M22" s="87" t="str">
        <f>IF(OR(LEN(M21)&lt;10,LEN(M21)&gt;34),"IBAN may be up to 34 characters long","")</f>
        <v>IBAN may be up to 34 characters long</v>
      </c>
      <c r="N22" s="87" t="str">
        <f>IF(ISBLANK(N21),"Code cannot be left blank","")</f>
        <v/>
      </c>
      <c r="O22" s="87" t="str">
        <f>IF(OR(LEN(O21)&lt;1,LEN(O21)&gt;140),"Transaction Details must be between 1 and 140 characters long","")</f>
        <v>Transaction Details must be between 1 and 140 characters long</v>
      </c>
      <c r="Q22" s="84" t="s">
        <v>12</v>
      </c>
    </row>
    <row r="23" spans="1:17">
      <c r="A23" s="48"/>
      <c r="B23" s="48"/>
      <c r="C23" s="48" t="s">
        <v>81</v>
      </c>
      <c r="D23" s="48"/>
      <c r="E23" s="48"/>
      <c r="F23" s="48"/>
      <c r="G23" s="48"/>
      <c r="H23" s="48"/>
      <c r="I23" s="48"/>
      <c r="J23" s="48"/>
      <c r="K23" s="48"/>
      <c r="L23" s="48" t="s">
        <v>146</v>
      </c>
      <c r="M23" s="48"/>
      <c r="N23" s="48" t="s">
        <v>43</v>
      </c>
      <c r="O23" s="48"/>
      <c r="Q23" s="5" t="s">
        <v>11</v>
      </c>
    </row>
    <row r="24" spans="1:17" s="88" customFormat="1" ht="36">
      <c r="A24" s="87" t="str">
        <f>IF(OR(LEN(A23)&lt;1,LEN(A23)&gt;35),"Transaction Identification must be between 1 and 35 characters long","")</f>
        <v>Transaction Identification must be between 1 and 35 characters long</v>
      </c>
      <c r="B24" s="87" t="str">
        <f>IF(OR(LEN(B23)&lt;1,LEN(B23)&gt;35),"Uniqie Identification must be between 1 and 35 characters long","")</f>
        <v>Uniqie Identification must be between 1 and 35 characters long</v>
      </c>
      <c r="C24" s="89"/>
      <c r="D24" s="87" t="str">
        <f>IF(OR(D23&lt;0.01,D23&gt;9999999999999990),"Transaction Amount is not valid","")</f>
        <v>Transaction Amount is not valid</v>
      </c>
      <c r="E24" s="87" t="str">
        <f>IF(AND(LEN(E23)&lt;&gt;8,LEN(E23)&lt;&gt;11),
    "BIC must be 8 or 11 characters long",
    IF(COUNTIF('Control Data (Hidden)'!$B$279:$B$335,E23)=0,
        "Warning: Is IBAN Valid?",
        ""
    )
)</f>
        <v>BIC must be 8 or 11 characters long</v>
      </c>
      <c r="F24" s="87" t="str">
        <f>IF(OR(LEN(F23)&lt;1,LEN(F23)&gt;70),"Creditor's Name must be between 1 and 70 characters long","")</f>
        <v>Creditor's Name must be between 1 and 70 characters long</v>
      </c>
      <c r="G24" s="87" t="str">
        <f>IF(LEN(G23)&gt;70,"Address cannot be longer than 70 characters","")</f>
        <v/>
      </c>
      <c r="H24" s="87" t="str">
        <f>IF(LEN(H23)&gt;16,"Building Number cannot be longer than 16 characters","")</f>
        <v/>
      </c>
      <c r="I24" s="87" t="str">
        <f>IF(LEN(I23)&gt;35,"Building Name cannot be longer than 35 characters","")</f>
        <v/>
      </c>
      <c r="J24" s="87" t="str">
        <f>IF(LEN(J23)&gt;16,"Postal Code cannot be longer than 16 characters","")</f>
        <v/>
      </c>
      <c r="K24" s="87" t="str">
        <f>IF(OR(LEN(K23)&lt;1,LEN(K23)&gt;35),"Town Name must be between 1 and 35 characters long","")</f>
        <v>Town Name must be between 1 and 35 characters long</v>
      </c>
      <c r="L24" s="87" t="str">
        <f>IF(NOT(LEN(L23)=2),"Country Code must be 2 characters long","")</f>
        <v/>
      </c>
      <c r="M24" s="87" t="str">
        <f>IF(OR(LEN(M23)&lt;10,LEN(M23)&gt;34),"IBAN may be up to 34 characters long","")</f>
        <v>IBAN may be up to 34 characters long</v>
      </c>
      <c r="N24" s="87" t="str">
        <f>IF(ISBLANK(N23),"Code cannot be left blank","")</f>
        <v/>
      </c>
      <c r="O24" s="87" t="str">
        <f>IF(OR(LEN(O23)&lt;1,LEN(O23)&gt;140),"Transaction Details must be between 1 and 140 characters long","")</f>
        <v>Transaction Details must be between 1 and 140 characters long</v>
      </c>
      <c r="Q24" s="84" t="s">
        <v>12</v>
      </c>
    </row>
    <row r="25" spans="1:17">
      <c r="A25" s="48"/>
      <c r="B25" s="48"/>
      <c r="C25" s="48" t="s">
        <v>81</v>
      </c>
      <c r="D25" s="48"/>
      <c r="E25" s="48"/>
      <c r="F25" s="48"/>
      <c r="G25" s="48"/>
      <c r="H25" s="48"/>
      <c r="I25" s="48"/>
      <c r="J25" s="48"/>
      <c r="K25" s="48"/>
      <c r="L25" s="48" t="s">
        <v>146</v>
      </c>
      <c r="M25" s="48"/>
      <c r="N25" s="48" t="s">
        <v>43</v>
      </c>
      <c r="O25" s="48"/>
      <c r="Q25" s="5" t="s">
        <v>11</v>
      </c>
    </row>
    <row r="26" spans="1:17" s="88" customFormat="1" ht="36">
      <c r="A26" s="87" t="str">
        <f>IF(OR(LEN(A25)&lt;1,LEN(A25)&gt;35),"Transaction Identification must be between 1 and 35 characters long","")</f>
        <v>Transaction Identification must be between 1 and 35 characters long</v>
      </c>
      <c r="B26" s="87" t="str">
        <f>IF(OR(LEN(B25)&lt;1,LEN(B25)&gt;35),"Uniqie Identification must be between 1 and 35 characters long","")</f>
        <v>Uniqie Identification must be between 1 and 35 characters long</v>
      </c>
      <c r="C26" s="89"/>
      <c r="D26" s="87" t="str">
        <f>IF(OR(D25&lt;0.01,D25&gt;9999999999999990),"Transaction Amount is not valid","")</f>
        <v>Transaction Amount is not valid</v>
      </c>
      <c r="E26" s="87" t="str">
        <f>IF(AND(LEN(E25)&lt;&gt;8,LEN(E25)&lt;&gt;11),
    "BIC must be 8 or 11 characters long",
    IF(COUNTIF('Control Data (Hidden)'!$B$279:$B$335,E25)=0,
        "Warning: Is IBAN Valid?",
        ""
    )
)</f>
        <v>BIC must be 8 or 11 characters long</v>
      </c>
      <c r="F26" s="87" t="str">
        <f>IF(OR(LEN(F25)&lt;1,LEN(F25)&gt;70),"Creditor's Name must be between 1 and 70 characters long","")</f>
        <v>Creditor's Name must be between 1 and 70 characters long</v>
      </c>
      <c r="G26" s="87" t="str">
        <f>IF(LEN(G25)&gt;70,"Address cannot be longer than 70 characters","")</f>
        <v/>
      </c>
      <c r="H26" s="87" t="str">
        <f>IF(LEN(H25)&gt;16,"Building Number cannot be longer than 16 characters","")</f>
        <v/>
      </c>
      <c r="I26" s="87" t="str">
        <f>IF(LEN(I25)&gt;35,"Building Name cannot be longer than 35 characters","")</f>
        <v/>
      </c>
      <c r="J26" s="87" t="str">
        <f>IF(LEN(J25)&gt;16,"Postal Code cannot be longer than 16 characters","")</f>
        <v/>
      </c>
      <c r="K26" s="87" t="str">
        <f>IF(OR(LEN(K25)&lt;1,LEN(K25)&gt;35),"Town Name must be between 1 and 35 characters long","")</f>
        <v>Town Name must be between 1 and 35 characters long</v>
      </c>
      <c r="L26" s="87" t="str">
        <f>IF(NOT(LEN(L25)=2),"Country Code must be 2 characters long","")</f>
        <v/>
      </c>
      <c r="M26" s="87" t="str">
        <f>IF(OR(LEN(M25)&lt;10,LEN(M25)&gt;34),"IBAN may be up to 34 characters long","")</f>
        <v>IBAN may be up to 34 characters long</v>
      </c>
      <c r="N26" s="87" t="str">
        <f>IF(ISBLANK(N25),"Code cannot be left blank","")</f>
        <v/>
      </c>
      <c r="O26" s="87" t="str">
        <f>IF(OR(LEN(O25)&lt;1,LEN(O25)&gt;140),"Transaction Details must be between 1 and 140 characters long","")</f>
        <v>Transaction Details must be between 1 and 140 characters long</v>
      </c>
      <c r="Q26" s="84" t="s">
        <v>12</v>
      </c>
    </row>
    <row r="27" spans="1:17">
      <c r="A27" s="48"/>
      <c r="B27" s="48"/>
      <c r="C27" s="48" t="s">
        <v>81</v>
      </c>
      <c r="D27" s="48"/>
      <c r="E27" s="48"/>
      <c r="F27" s="48"/>
      <c r="G27" s="48"/>
      <c r="H27" s="48"/>
      <c r="I27" s="48"/>
      <c r="J27" s="48"/>
      <c r="K27" s="48"/>
      <c r="L27" s="48" t="s">
        <v>146</v>
      </c>
      <c r="M27" s="48"/>
      <c r="N27" s="48" t="s">
        <v>43</v>
      </c>
      <c r="O27" s="48"/>
      <c r="Q27" s="5" t="s">
        <v>11</v>
      </c>
    </row>
    <row r="28" spans="1:17" s="88" customFormat="1" ht="36">
      <c r="A28" s="87" t="str">
        <f>IF(OR(LEN(A27)&lt;1,LEN(A27)&gt;35),"Transaction Identification must be between 1 and 35 characters long","")</f>
        <v>Transaction Identification must be between 1 and 35 characters long</v>
      </c>
      <c r="B28" s="87" t="str">
        <f>IF(OR(LEN(B27)&lt;1,LEN(B27)&gt;35),"Uniqie Identification must be between 1 and 35 characters long","")</f>
        <v>Uniqie Identification must be between 1 and 35 characters long</v>
      </c>
      <c r="C28" s="89"/>
      <c r="D28" s="87" t="str">
        <f>IF(OR(D27&lt;0.01,D27&gt;9999999999999990),"Transaction Amount is not valid","")</f>
        <v>Transaction Amount is not valid</v>
      </c>
      <c r="E28" s="87" t="str">
        <f>IF(AND(LEN(E27)&lt;&gt;8,LEN(E27)&lt;&gt;11),
    "BIC must be 8 or 11 characters long",
    IF(COUNTIF('Control Data (Hidden)'!$B$279:$B$335,E27)=0,
        "Warning: Is IBAN Valid?",
        ""
    )
)</f>
        <v>BIC must be 8 or 11 characters long</v>
      </c>
      <c r="F28" s="87" t="str">
        <f>IF(OR(LEN(F27)&lt;1,LEN(F27)&gt;70),"Creditor's Name must be between 1 and 70 characters long","")</f>
        <v>Creditor's Name must be between 1 and 70 characters long</v>
      </c>
      <c r="G28" s="87" t="str">
        <f>IF(LEN(G27)&gt;70,"Address cannot be longer than 70 characters","")</f>
        <v/>
      </c>
      <c r="H28" s="87" t="str">
        <f>IF(LEN(H27)&gt;16,"Building Number cannot be longer than 16 characters","")</f>
        <v/>
      </c>
      <c r="I28" s="87" t="str">
        <f>IF(LEN(I27)&gt;35,"Building Name cannot be longer than 35 characters","")</f>
        <v/>
      </c>
      <c r="J28" s="87" t="str">
        <f>IF(LEN(J27)&gt;16,"Postal Code cannot be longer than 16 characters","")</f>
        <v/>
      </c>
      <c r="K28" s="87" t="str">
        <f>IF(OR(LEN(K27)&lt;1,LEN(K27)&gt;35),"Town Name must be between 1 and 35 characters long","")</f>
        <v>Town Name must be between 1 and 35 characters long</v>
      </c>
      <c r="L28" s="87" t="str">
        <f>IF(NOT(LEN(L27)=2),"Country Code must be 2 characters long","")</f>
        <v/>
      </c>
      <c r="M28" s="87" t="str">
        <f>IF(OR(LEN(M27)&lt;10,LEN(M27)&gt;34),"IBAN may be up to 34 characters long","")</f>
        <v>IBAN may be up to 34 characters long</v>
      </c>
      <c r="N28" s="87" t="str">
        <f>IF(ISBLANK(N27),"Code cannot be left blank","")</f>
        <v/>
      </c>
      <c r="O28" s="87" t="str">
        <f>IF(OR(LEN(O27)&lt;1,LEN(O27)&gt;140),"Transaction Details must be between 1 and 140 characters long","")</f>
        <v>Transaction Details must be between 1 and 140 characters long</v>
      </c>
      <c r="Q28" s="84" t="s">
        <v>12</v>
      </c>
    </row>
    <row r="29" spans="1:17">
      <c r="A29" s="48"/>
      <c r="B29" s="48"/>
      <c r="C29" s="48" t="s">
        <v>81</v>
      </c>
      <c r="D29" s="48"/>
      <c r="E29" s="48"/>
      <c r="F29" s="48"/>
      <c r="G29" s="48"/>
      <c r="H29" s="48"/>
      <c r="I29" s="48"/>
      <c r="J29" s="48"/>
      <c r="K29" s="48"/>
      <c r="L29" s="48" t="s">
        <v>146</v>
      </c>
      <c r="M29" s="48"/>
      <c r="N29" s="48" t="s">
        <v>43</v>
      </c>
      <c r="O29" s="48"/>
      <c r="Q29" s="5" t="s">
        <v>11</v>
      </c>
    </row>
    <row r="30" spans="1:17" s="88" customFormat="1" ht="36">
      <c r="A30" s="87" t="str">
        <f>IF(OR(LEN(A29)&lt;1,LEN(A29)&gt;35),"Transaction Identification must be between 1 and 35 characters long","")</f>
        <v>Transaction Identification must be between 1 and 35 characters long</v>
      </c>
      <c r="B30" s="87" t="str">
        <f>IF(OR(LEN(B29)&lt;1,LEN(B29)&gt;35),"Uniqie Identification must be between 1 and 35 characters long","")</f>
        <v>Uniqie Identification must be between 1 and 35 characters long</v>
      </c>
      <c r="C30" s="89"/>
      <c r="D30" s="87" t="str">
        <f>IF(OR(D29&lt;0.01,D29&gt;9999999999999990),"Transaction Amount is not valid","")</f>
        <v>Transaction Amount is not valid</v>
      </c>
      <c r="E30" s="87" t="str">
        <f>IF(AND(LEN(E29)&lt;&gt;8,LEN(E29)&lt;&gt;11),
    "BIC must be 8 or 11 characters long",
    IF(COUNTIF('Control Data (Hidden)'!$B$279:$B$335,E29)=0,
        "Warning: Is IBAN Valid?",
        ""
    )
)</f>
        <v>BIC must be 8 or 11 characters long</v>
      </c>
      <c r="F30" s="87" t="str">
        <f>IF(OR(LEN(F29)&lt;1,LEN(F29)&gt;70),"Creditor's Name must be between 1 and 70 characters long","")</f>
        <v>Creditor's Name must be between 1 and 70 characters long</v>
      </c>
      <c r="G30" s="87" t="str">
        <f>IF(LEN(G29)&gt;70,"Address cannot be longer than 70 characters","")</f>
        <v/>
      </c>
      <c r="H30" s="87" t="str">
        <f>IF(LEN(H29)&gt;16,"Building Number cannot be longer than 16 characters","")</f>
        <v/>
      </c>
      <c r="I30" s="87" t="str">
        <f>IF(LEN(I29)&gt;35,"Building Name cannot be longer than 35 characters","")</f>
        <v/>
      </c>
      <c r="J30" s="87" t="str">
        <f>IF(LEN(J29)&gt;16,"Postal Code cannot be longer than 16 characters","")</f>
        <v/>
      </c>
      <c r="K30" s="87" t="str">
        <f>IF(OR(LEN(K29)&lt;1,LEN(K29)&gt;35),"Town Name must be between 1 and 35 characters long","")</f>
        <v>Town Name must be between 1 and 35 characters long</v>
      </c>
      <c r="L30" s="87" t="str">
        <f>IF(NOT(LEN(L29)=2),"Country Code must be 2 characters long","")</f>
        <v/>
      </c>
      <c r="M30" s="87" t="str">
        <f>IF(OR(LEN(M29)&lt;10,LEN(M29)&gt;34),"IBAN may be up to 34 characters long","")</f>
        <v>IBAN may be up to 34 characters long</v>
      </c>
      <c r="N30" s="87" t="str">
        <f>IF(ISBLANK(N29),"Code cannot be left blank","")</f>
        <v/>
      </c>
      <c r="O30" s="87" t="str">
        <f>IF(OR(LEN(O29)&lt;1,LEN(O29)&gt;140),"Transaction Details must be between 1 and 140 characters long","")</f>
        <v>Transaction Details must be between 1 and 140 characters long</v>
      </c>
      <c r="Q30" s="84" t="s">
        <v>12</v>
      </c>
    </row>
    <row r="31" spans="1:17">
      <c r="A31" s="48"/>
      <c r="B31" s="48"/>
      <c r="C31" s="48" t="s">
        <v>81</v>
      </c>
      <c r="D31" s="48"/>
      <c r="E31" s="48"/>
      <c r="F31" s="48"/>
      <c r="G31" s="48"/>
      <c r="H31" s="48"/>
      <c r="I31" s="48"/>
      <c r="J31" s="48"/>
      <c r="K31" s="48"/>
      <c r="L31" s="48" t="s">
        <v>146</v>
      </c>
      <c r="M31" s="48"/>
      <c r="N31" s="48" t="s">
        <v>43</v>
      </c>
      <c r="O31" s="48"/>
      <c r="Q31" s="5" t="s">
        <v>11</v>
      </c>
    </row>
    <row r="32" spans="1:17" s="88" customFormat="1" ht="36">
      <c r="A32" s="87" t="str">
        <f>IF(OR(LEN(A31)&lt;1,LEN(A31)&gt;35),"Transaction Identification must be between 1 and 35 characters long","")</f>
        <v>Transaction Identification must be between 1 and 35 characters long</v>
      </c>
      <c r="B32" s="87" t="str">
        <f>IF(OR(LEN(B31)&lt;1,LEN(B31)&gt;35),"Uniqie Identification must be between 1 and 35 characters long","")</f>
        <v>Uniqie Identification must be between 1 and 35 characters long</v>
      </c>
      <c r="C32" s="89"/>
      <c r="D32" s="87" t="str">
        <f>IF(OR(D31&lt;0.01,D31&gt;9999999999999990),"Transaction Amount is not valid","")</f>
        <v>Transaction Amount is not valid</v>
      </c>
      <c r="E32" s="87" t="str">
        <f>IF(AND(LEN(E31)&lt;&gt;8,LEN(E31)&lt;&gt;11),
    "BIC must be 8 or 11 characters long",
    IF(COUNTIF('Control Data (Hidden)'!$B$279:$B$335,E31)=0,
        "Warning: Is IBAN Valid?",
        ""
    )
)</f>
        <v>BIC must be 8 or 11 characters long</v>
      </c>
      <c r="F32" s="87" t="str">
        <f>IF(OR(LEN(F31)&lt;1,LEN(F31)&gt;70),"Creditor's Name must be between 1 and 70 characters long","")</f>
        <v>Creditor's Name must be between 1 and 70 characters long</v>
      </c>
      <c r="G32" s="87" t="str">
        <f>IF(LEN(G31)&gt;70,"Address cannot be longer than 70 characters","")</f>
        <v/>
      </c>
      <c r="H32" s="87" t="str">
        <f>IF(LEN(H31)&gt;16,"Building Number cannot be longer than 16 characters","")</f>
        <v/>
      </c>
      <c r="I32" s="87" t="str">
        <f>IF(LEN(I31)&gt;35,"Building Name cannot be longer than 35 characters","")</f>
        <v/>
      </c>
      <c r="J32" s="87" t="str">
        <f>IF(LEN(J31)&gt;16,"Postal Code cannot be longer than 16 characters","")</f>
        <v/>
      </c>
      <c r="K32" s="87" t="str">
        <f>IF(OR(LEN(K31)&lt;1,LEN(K31)&gt;35),"Town Name must be between 1 and 35 characters long","")</f>
        <v>Town Name must be between 1 and 35 characters long</v>
      </c>
      <c r="L32" s="87" t="str">
        <f>IF(NOT(LEN(L31)=2),"Country Code must be 2 characters long","")</f>
        <v/>
      </c>
      <c r="M32" s="87" t="str">
        <f>IF(OR(LEN(M31)&lt;10,LEN(M31)&gt;34),"IBAN may be up to 34 characters long","")</f>
        <v>IBAN may be up to 34 characters long</v>
      </c>
      <c r="N32" s="87" t="str">
        <f>IF(ISBLANK(N31),"Code cannot be left blank","")</f>
        <v/>
      </c>
      <c r="O32" s="87" t="str">
        <f>IF(OR(LEN(O31)&lt;1,LEN(O31)&gt;140),"Transaction Details must be between 1 and 140 characters long","")</f>
        <v>Transaction Details must be between 1 and 140 characters long</v>
      </c>
      <c r="Q32" s="84" t="s">
        <v>12</v>
      </c>
    </row>
    <row r="33" spans="1:17">
      <c r="A33" s="48"/>
      <c r="B33" s="48"/>
      <c r="C33" s="48" t="s">
        <v>81</v>
      </c>
      <c r="D33" s="48"/>
      <c r="E33" s="48"/>
      <c r="F33" s="48"/>
      <c r="G33" s="48"/>
      <c r="H33" s="48"/>
      <c r="I33" s="48"/>
      <c r="J33" s="48"/>
      <c r="K33" s="48"/>
      <c r="L33" s="48" t="s">
        <v>146</v>
      </c>
      <c r="M33" s="48"/>
      <c r="N33" s="48" t="s">
        <v>43</v>
      </c>
      <c r="O33" s="48"/>
      <c r="Q33" s="5" t="s">
        <v>11</v>
      </c>
    </row>
    <row r="34" spans="1:17" s="88" customFormat="1" ht="36">
      <c r="A34" s="87" t="str">
        <f>IF(OR(LEN(A33)&lt;1,LEN(A33)&gt;35),"Transaction Identification must be between 1 and 35 characters long","")</f>
        <v>Transaction Identification must be between 1 and 35 characters long</v>
      </c>
      <c r="B34" s="87" t="str">
        <f>IF(OR(LEN(B33)&lt;1,LEN(B33)&gt;35),"Uniqie Identification must be between 1 and 35 characters long","")</f>
        <v>Uniqie Identification must be between 1 and 35 characters long</v>
      </c>
      <c r="C34" s="89"/>
      <c r="D34" s="87" t="str">
        <f>IF(OR(D33&lt;0.01,D33&gt;9999999999999990),"Transaction Amount is not valid","")</f>
        <v>Transaction Amount is not valid</v>
      </c>
      <c r="E34" s="87" t="str">
        <f>IF(AND(LEN(E33)&lt;&gt;8,LEN(E33)&lt;&gt;11),
    "BIC must be 8 or 11 characters long",
    IF(COUNTIF('Control Data (Hidden)'!$B$279:$B$335,E33)=0,
        "Warning: Is IBAN Valid?",
        ""
    )
)</f>
        <v>BIC must be 8 or 11 characters long</v>
      </c>
      <c r="F34" s="87" t="str">
        <f>IF(OR(LEN(F33)&lt;1,LEN(F33)&gt;70),"Creditor's Name must be between 1 and 70 characters long","")</f>
        <v>Creditor's Name must be between 1 and 70 characters long</v>
      </c>
      <c r="G34" s="87" t="str">
        <f>IF(LEN(G33)&gt;70,"Address cannot be longer than 70 characters","")</f>
        <v/>
      </c>
      <c r="H34" s="87" t="str">
        <f>IF(LEN(H33)&gt;16,"Building Number cannot be longer than 16 characters","")</f>
        <v/>
      </c>
      <c r="I34" s="87" t="str">
        <f>IF(LEN(I33)&gt;35,"Building Name cannot be longer than 35 characters","")</f>
        <v/>
      </c>
      <c r="J34" s="87" t="str">
        <f>IF(LEN(J33)&gt;16,"Postal Code cannot be longer than 16 characters","")</f>
        <v/>
      </c>
      <c r="K34" s="87" t="str">
        <f>IF(OR(LEN(K33)&lt;1,LEN(K33)&gt;35),"Town Name must be between 1 and 35 characters long","")</f>
        <v>Town Name must be between 1 and 35 characters long</v>
      </c>
      <c r="L34" s="87" t="str">
        <f>IF(NOT(LEN(L33)=2),"Country Code must be 2 characters long","")</f>
        <v/>
      </c>
      <c r="M34" s="87" t="str">
        <f>IF(OR(LEN(M33)&lt;10,LEN(M33)&gt;34),"IBAN may be up to 34 characters long","")</f>
        <v>IBAN may be up to 34 characters long</v>
      </c>
      <c r="N34" s="87" t="str">
        <f>IF(ISBLANK(N33),"Code cannot be left blank","")</f>
        <v/>
      </c>
      <c r="O34" s="87" t="str">
        <f>IF(OR(LEN(O33)&lt;1,LEN(O33)&gt;140),"Transaction Details must be between 1 and 140 characters long","")</f>
        <v>Transaction Details must be between 1 and 140 characters long</v>
      </c>
      <c r="Q34" s="84" t="s">
        <v>12</v>
      </c>
    </row>
    <row r="35" spans="1:17">
      <c r="A35" s="48"/>
      <c r="B35" s="48"/>
      <c r="C35" s="48" t="s">
        <v>81</v>
      </c>
      <c r="D35" s="48"/>
      <c r="E35" s="48"/>
      <c r="F35" s="48"/>
      <c r="G35" s="48"/>
      <c r="H35" s="48"/>
      <c r="I35" s="48"/>
      <c r="J35" s="48"/>
      <c r="K35" s="48"/>
      <c r="L35" s="48" t="s">
        <v>146</v>
      </c>
      <c r="M35" s="48"/>
      <c r="N35" s="48" t="s">
        <v>43</v>
      </c>
      <c r="O35" s="48"/>
      <c r="Q35" s="5" t="s">
        <v>11</v>
      </c>
    </row>
    <row r="36" spans="1:17" s="88" customFormat="1" ht="36">
      <c r="A36" s="87" t="str">
        <f>IF(OR(LEN(A35)&lt;1,LEN(A35)&gt;35),"Transaction Identification must be between 1 and 35 characters long","")</f>
        <v>Transaction Identification must be between 1 and 35 characters long</v>
      </c>
      <c r="B36" s="87" t="str">
        <f>IF(OR(LEN(B35)&lt;1,LEN(B35)&gt;35),"Uniqie Identification must be between 1 and 35 characters long","")</f>
        <v>Uniqie Identification must be between 1 and 35 characters long</v>
      </c>
      <c r="C36" s="89"/>
      <c r="D36" s="87" t="str">
        <f>IF(OR(D35&lt;0.01,D35&gt;9999999999999990),"Transaction Amount is not valid","")</f>
        <v>Transaction Amount is not valid</v>
      </c>
      <c r="E36" s="87" t="str">
        <f>IF(AND(LEN(E35)&lt;&gt;8,LEN(E35)&lt;&gt;11),
    "BIC must be 8 or 11 characters long",
    IF(COUNTIF('Control Data (Hidden)'!$B$279:$B$335,E35)=0,
        "Warning: Is IBAN Valid?",
        ""
    )
)</f>
        <v>BIC must be 8 or 11 characters long</v>
      </c>
      <c r="F36" s="87" t="str">
        <f>IF(OR(LEN(F35)&lt;1,LEN(F35)&gt;70),"Creditor's Name must be between 1 and 70 characters long","")</f>
        <v>Creditor's Name must be between 1 and 70 characters long</v>
      </c>
      <c r="G36" s="87" t="str">
        <f>IF(LEN(G35)&gt;70,"Address cannot be longer than 70 characters","")</f>
        <v/>
      </c>
      <c r="H36" s="87" t="str">
        <f>IF(LEN(H35)&gt;16,"Building Number cannot be longer than 16 characters","")</f>
        <v/>
      </c>
      <c r="I36" s="87" t="str">
        <f>IF(LEN(I35)&gt;35,"Building Name cannot be longer than 35 characters","")</f>
        <v/>
      </c>
      <c r="J36" s="87" t="str">
        <f>IF(LEN(J35)&gt;16,"Postal Code cannot be longer than 16 characters","")</f>
        <v/>
      </c>
      <c r="K36" s="87" t="str">
        <f>IF(OR(LEN(K35)&lt;1,LEN(K35)&gt;35),"Town Name must be between 1 and 35 characters long","")</f>
        <v>Town Name must be between 1 and 35 characters long</v>
      </c>
      <c r="L36" s="87" t="str">
        <f>IF(NOT(LEN(L35)=2),"Country Code must be 2 characters long","")</f>
        <v/>
      </c>
      <c r="M36" s="87" t="str">
        <f>IF(OR(LEN(M35)&lt;10,LEN(M35)&gt;34),"IBAN may be up to 34 characters long","")</f>
        <v>IBAN may be up to 34 characters long</v>
      </c>
      <c r="N36" s="87" t="str">
        <f>IF(ISBLANK(N35),"Code cannot be left blank","")</f>
        <v/>
      </c>
      <c r="O36" s="87" t="str">
        <f>IF(OR(LEN(O35)&lt;1,LEN(O35)&gt;140),"Transaction Details must be between 1 and 140 characters long","")</f>
        <v>Transaction Details must be between 1 and 140 characters long</v>
      </c>
      <c r="Q36" s="84" t="s">
        <v>12</v>
      </c>
    </row>
    <row r="37" spans="1:17">
      <c r="A37" s="48"/>
      <c r="B37" s="48"/>
      <c r="C37" s="48" t="s">
        <v>81</v>
      </c>
      <c r="D37" s="48"/>
      <c r="E37" s="48"/>
      <c r="F37" s="48"/>
      <c r="G37" s="48"/>
      <c r="H37" s="48"/>
      <c r="I37" s="48"/>
      <c r="J37" s="48"/>
      <c r="K37" s="48"/>
      <c r="L37" s="48" t="s">
        <v>146</v>
      </c>
      <c r="M37" s="48"/>
      <c r="N37" s="48" t="s">
        <v>43</v>
      </c>
      <c r="O37" s="48"/>
      <c r="Q37" s="5" t="s">
        <v>11</v>
      </c>
    </row>
    <row r="38" spans="1:17" s="88" customFormat="1" ht="36">
      <c r="A38" s="87" t="str">
        <f>IF(OR(LEN(A37)&lt;1,LEN(A37)&gt;35),"Transaction Identification must be between 1 and 35 characters long","")</f>
        <v>Transaction Identification must be between 1 and 35 characters long</v>
      </c>
      <c r="B38" s="87" t="str">
        <f>IF(OR(LEN(B37)&lt;1,LEN(B37)&gt;35),"Uniqie Identification must be between 1 and 35 characters long","")</f>
        <v>Uniqie Identification must be between 1 and 35 characters long</v>
      </c>
      <c r="C38" s="89"/>
      <c r="D38" s="87" t="str">
        <f>IF(OR(D37&lt;0.01,D37&gt;9999999999999990),"Transaction Amount is not valid","")</f>
        <v>Transaction Amount is not valid</v>
      </c>
      <c r="E38" s="87" t="str">
        <f>IF(AND(LEN(E37)&lt;&gt;8,LEN(E37)&lt;&gt;11),
    "BIC must be 8 or 11 characters long",
    IF(COUNTIF('Control Data (Hidden)'!$B$279:$B$335,E37)=0,
        "Warning: Is IBAN Valid?",
        ""
    )
)</f>
        <v>BIC must be 8 or 11 characters long</v>
      </c>
      <c r="F38" s="87" t="str">
        <f>IF(OR(LEN(F37)&lt;1,LEN(F37)&gt;70),"Creditor's Name must be between 1 and 70 characters long","")</f>
        <v>Creditor's Name must be between 1 and 70 characters long</v>
      </c>
      <c r="G38" s="87" t="str">
        <f>IF(LEN(G37)&gt;70,"Address cannot be longer than 70 characters","")</f>
        <v/>
      </c>
      <c r="H38" s="87" t="str">
        <f>IF(LEN(H37)&gt;16,"Building Number cannot be longer than 16 characters","")</f>
        <v/>
      </c>
      <c r="I38" s="87" t="str">
        <f>IF(LEN(I37)&gt;35,"Building Name cannot be longer than 35 characters","")</f>
        <v/>
      </c>
      <c r="J38" s="87" t="str">
        <f>IF(LEN(J37)&gt;16,"Postal Code cannot be longer than 16 characters","")</f>
        <v/>
      </c>
      <c r="K38" s="87" t="str">
        <f>IF(OR(LEN(K37)&lt;1,LEN(K37)&gt;35),"Town Name must be between 1 and 35 characters long","")</f>
        <v>Town Name must be between 1 and 35 characters long</v>
      </c>
      <c r="L38" s="87" t="str">
        <f>IF(NOT(LEN(L37)=2),"Country Code must be 2 characters long","")</f>
        <v/>
      </c>
      <c r="M38" s="87" t="str">
        <f>IF(OR(LEN(M37)&lt;10,LEN(M37)&gt;34),"IBAN may be up to 34 characters long","")</f>
        <v>IBAN may be up to 34 characters long</v>
      </c>
      <c r="N38" s="87" t="str">
        <f>IF(ISBLANK(N37),"Code cannot be left blank","")</f>
        <v/>
      </c>
      <c r="O38" s="87" t="str">
        <f>IF(OR(LEN(O37)&lt;1,LEN(O37)&gt;140),"Transaction Details must be between 1 and 140 characters long","")</f>
        <v>Transaction Details must be between 1 and 140 characters long</v>
      </c>
      <c r="Q38" s="84" t="s">
        <v>12</v>
      </c>
    </row>
    <row r="39" spans="1:17">
      <c r="A39" s="48"/>
      <c r="B39" s="48"/>
      <c r="C39" s="48" t="s">
        <v>81</v>
      </c>
      <c r="D39" s="48"/>
      <c r="E39" s="48"/>
      <c r="F39" s="48"/>
      <c r="G39" s="48"/>
      <c r="H39" s="48"/>
      <c r="I39" s="48"/>
      <c r="J39" s="48"/>
      <c r="K39" s="48"/>
      <c r="L39" s="48" t="s">
        <v>146</v>
      </c>
      <c r="M39" s="48"/>
      <c r="N39" s="48" t="s">
        <v>43</v>
      </c>
      <c r="O39" s="48"/>
      <c r="Q39" s="5" t="s">
        <v>11</v>
      </c>
    </row>
    <row r="40" spans="1:17" s="88" customFormat="1" ht="36">
      <c r="A40" s="87" t="str">
        <f>IF(OR(LEN(A39)&lt;1,LEN(A39)&gt;35),"Transaction Identification must be between 1 and 35 characters long","")</f>
        <v>Transaction Identification must be between 1 and 35 characters long</v>
      </c>
      <c r="B40" s="87" t="str">
        <f>IF(OR(LEN(B39)&lt;1,LEN(B39)&gt;35),"Uniqie Identification must be between 1 and 35 characters long","")</f>
        <v>Uniqie Identification must be between 1 and 35 characters long</v>
      </c>
      <c r="C40" s="89"/>
      <c r="D40" s="87" t="str">
        <f>IF(OR(D39&lt;0.01,D39&gt;9999999999999990),"Transaction Amount is not valid","")</f>
        <v>Transaction Amount is not valid</v>
      </c>
      <c r="E40" s="87" t="str">
        <f>IF(AND(LEN(E39)&lt;&gt;8,LEN(E39)&lt;&gt;11),
    "BIC must be 8 or 11 characters long",
    IF(COUNTIF('Control Data (Hidden)'!$B$279:$B$335,E39)=0,
        "Warning: Is IBAN Valid?",
        ""
    )
)</f>
        <v>BIC must be 8 or 11 characters long</v>
      </c>
      <c r="F40" s="87" t="str">
        <f>IF(OR(LEN(F39)&lt;1,LEN(F39)&gt;70),"Creditor's Name must be between 1 and 70 characters long","")</f>
        <v>Creditor's Name must be between 1 and 70 characters long</v>
      </c>
      <c r="G40" s="87" t="str">
        <f>IF(LEN(G39)&gt;70,"Address cannot be longer than 70 characters","")</f>
        <v/>
      </c>
      <c r="H40" s="87" t="str">
        <f>IF(LEN(H39)&gt;16,"Building Number cannot be longer than 16 characters","")</f>
        <v/>
      </c>
      <c r="I40" s="87" t="str">
        <f>IF(LEN(I39)&gt;35,"Building Name cannot be longer than 35 characters","")</f>
        <v/>
      </c>
      <c r="J40" s="87" t="str">
        <f>IF(LEN(J39)&gt;16,"Postal Code cannot be longer than 16 characters","")</f>
        <v/>
      </c>
      <c r="K40" s="87" t="str">
        <f>IF(OR(LEN(K39)&lt;1,LEN(K39)&gt;35),"Town Name must be between 1 and 35 characters long","")</f>
        <v>Town Name must be between 1 and 35 characters long</v>
      </c>
      <c r="L40" s="87" t="str">
        <f>IF(NOT(LEN(L39)=2),"Country Code must be 2 characters long","")</f>
        <v/>
      </c>
      <c r="M40" s="87" t="str">
        <f>IF(OR(LEN(M39)&lt;10,LEN(M39)&gt;34),"IBAN may be up to 34 characters long","")</f>
        <v>IBAN may be up to 34 characters long</v>
      </c>
      <c r="N40" s="87" t="str">
        <f>IF(ISBLANK(N39),"Code cannot be left blank","")</f>
        <v/>
      </c>
      <c r="O40" s="87" t="str">
        <f>IF(OR(LEN(O39)&lt;1,LEN(O39)&gt;140),"Transaction Details must be between 1 and 140 characters long","")</f>
        <v>Transaction Details must be between 1 and 140 characters long</v>
      </c>
      <c r="Q40" s="84" t="s">
        <v>12</v>
      </c>
    </row>
    <row r="41" spans="1:17">
      <c r="A41" s="48"/>
      <c r="B41" s="48"/>
      <c r="C41" s="48" t="s">
        <v>81</v>
      </c>
      <c r="D41" s="48"/>
      <c r="E41" s="48"/>
      <c r="F41" s="48"/>
      <c r="G41" s="48"/>
      <c r="H41" s="48"/>
      <c r="I41" s="48"/>
      <c r="J41" s="48"/>
      <c r="K41" s="48"/>
      <c r="L41" s="48" t="s">
        <v>146</v>
      </c>
      <c r="M41" s="48"/>
      <c r="N41" s="48" t="s">
        <v>43</v>
      </c>
      <c r="O41" s="48"/>
      <c r="Q41" s="5" t="s">
        <v>11</v>
      </c>
    </row>
    <row r="42" spans="1:17" s="88" customFormat="1" ht="36">
      <c r="A42" s="87" t="str">
        <f>IF(OR(LEN(A41)&lt;1,LEN(A41)&gt;35),"Transaction Identification must be between 1 and 35 characters long","")</f>
        <v>Transaction Identification must be between 1 and 35 characters long</v>
      </c>
      <c r="B42" s="87" t="str">
        <f>IF(OR(LEN(B41)&lt;1,LEN(B41)&gt;35),"Uniqie Identification must be between 1 and 35 characters long","")</f>
        <v>Uniqie Identification must be between 1 and 35 characters long</v>
      </c>
      <c r="C42" s="89"/>
      <c r="D42" s="87" t="str">
        <f>IF(OR(D41&lt;0.01,D41&gt;9999999999999990),"Transaction Amount is not valid","")</f>
        <v>Transaction Amount is not valid</v>
      </c>
      <c r="E42" s="87" t="str">
        <f>IF(AND(LEN(E41)&lt;&gt;8,LEN(E41)&lt;&gt;11),
    "BIC must be 8 or 11 characters long",
    IF(COUNTIF('Control Data (Hidden)'!$B$279:$B$335,E41)=0,
        "Warning: Is IBAN Valid?",
        ""
    )
)</f>
        <v>BIC must be 8 or 11 characters long</v>
      </c>
      <c r="F42" s="87" t="str">
        <f>IF(OR(LEN(F41)&lt;1,LEN(F41)&gt;70),"Creditor's Name must be between 1 and 70 characters long","")</f>
        <v>Creditor's Name must be between 1 and 70 characters long</v>
      </c>
      <c r="G42" s="87" t="str">
        <f>IF(LEN(G41)&gt;70,"Address cannot be longer than 70 characters","")</f>
        <v/>
      </c>
      <c r="H42" s="87" t="str">
        <f>IF(LEN(H41)&gt;16,"Building Number cannot be longer than 16 characters","")</f>
        <v/>
      </c>
      <c r="I42" s="87" t="str">
        <f>IF(LEN(I41)&gt;35,"Building Name cannot be longer than 35 characters","")</f>
        <v/>
      </c>
      <c r="J42" s="87" t="str">
        <f>IF(LEN(J41)&gt;16,"Postal Code cannot be longer than 16 characters","")</f>
        <v/>
      </c>
      <c r="K42" s="87" t="str">
        <f>IF(OR(LEN(K41)&lt;1,LEN(K41)&gt;35),"Town Name must be between 1 and 35 characters long","")</f>
        <v>Town Name must be between 1 and 35 characters long</v>
      </c>
      <c r="L42" s="87" t="str">
        <f>IF(NOT(LEN(L41)=2),"Country Code must be 2 characters long","")</f>
        <v/>
      </c>
      <c r="M42" s="87" t="str">
        <f>IF(OR(LEN(M41)&lt;10,LEN(M41)&gt;34),"IBAN may be up to 34 characters long","")</f>
        <v>IBAN may be up to 34 characters long</v>
      </c>
      <c r="N42" s="87" t="str">
        <f>IF(ISBLANK(N41),"Code cannot be left blank","")</f>
        <v/>
      </c>
      <c r="O42" s="87" t="str">
        <f>IF(OR(LEN(O41)&lt;1,LEN(O41)&gt;140),"Transaction Details must be between 1 and 140 characters long","")</f>
        <v>Transaction Details must be between 1 and 140 characters long</v>
      </c>
      <c r="Q42" s="84" t="s">
        <v>12</v>
      </c>
    </row>
    <row r="43" spans="1:17">
      <c r="A43" s="48"/>
      <c r="B43" s="48"/>
      <c r="C43" s="48" t="s">
        <v>81</v>
      </c>
      <c r="D43" s="48"/>
      <c r="E43" s="48"/>
      <c r="F43" s="48"/>
      <c r="G43" s="48"/>
      <c r="H43" s="48"/>
      <c r="I43" s="48"/>
      <c r="J43" s="48"/>
      <c r="K43" s="48"/>
      <c r="L43" s="48" t="s">
        <v>146</v>
      </c>
      <c r="M43" s="48"/>
      <c r="N43" s="48" t="s">
        <v>43</v>
      </c>
      <c r="O43" s="48"/>
      <c r="Q43" s="5" t="s">
        <v>11</v>
      </c>
    </row>
    <row r="44" spans="1:17" s="88" customFormat="1" ht="36">
      <c r="A44" s="87" t="str">
        <f>IF(OR(LEN(A43)&lt;1,LEN(A43)&gt;35),"Transaction Identification must be between 1 and 35 characters long","")</f>
        <v>Transaction Identification must be between 1 and 35 characters long</v>
      </c>
      <c r="B44" s="87" t="str">
        <f>IF(OR(LEN(B43)&lt;1,LEN(B43)&gt;35),"Uniqie Identification must be between 1 and 35 characters long","")</f>
        <v>Uniqie Identification must be between 1 and 35 characters long</v>
      </c>
      <c r="C44" s="89"/>
      <c r="D44" s="87" t="str">
        <f>IF(OR(D43&lt;0.01,D43&gt;9999999999999990),"Transaction Amount is not valid","")</f>
        <v>Transaction Amount is not valid</v>
      </c>
      <c r="E44" s="87" t="str">
        <f>IF(AND(LEN(E43)&lt;&gt;8,LEN(E43)&lt;&gt;11),
    "BIC must be 8 or 11 characters long",
    IF(COUNTIF('Control Data (Hidden)'!$B$279:$B$335,E43)=0,
        "Warning: Is IBAN Valid?",
        ""
    )
)</f>
        <v>BIC must be 8 or 11 characters long</v>
      </c>
      <c r="F44" s="87" t="str">
        <f>IF(OR(LEN(F43)&lt;1,LEN(F43)&gt;70),"Creditor's Name must be between 1 and 70 characters long","")</f>
        <v>Creditor's Name must be between 1 and 70 characters long</v>
      </c>
      <c r="G44" s="87" t="str">
        <f>IF(LEN(G43)&gt;70,"Address cannot be longer than 70 characters","")</f>
        <v/>
      </c>
      <c r="H44" s="87" t="str">
        <f>IF(LEN(H43)&gt;16,"Building Number cannot be longer than 16 characters","")</f>
        <v/>
      </c>
      <c r="I44" s="87" t="str">
        <f>IF(LEN(I43)&gt;35,"Building Name cannot be longer than 35 characters","")</f>
        <v/>
      </c>
      <c r="J44" s="87" t="str">
        <f>IF(LEN(J43)&gt;16,"Postal Code cannot be longer than 16 characters","")</f>
        <v/>
      </c>
      <c r="K44" s="87" t="str">
        <f>IF(OR(LEN(K43)&lt;1,LEN(K43)&gt;35),"Town Name must be between 1 and 35 characters long","")</f>
        <v>Town Name must be between 1 and 35 characters long</v>
      </c>
      <c r="L44" s="87" t="str">
        <f>IF(NOT(LEN(L43)=2),"Country Code must be 2 characters long","")</f>
        <v/>
      </c>
      <c r="M44" s="87" t="str">
        <f>IF(OR(LEN(M43)&lt;10,LEN(M43)&gt;34),"IBAN may be up to 34 characters long","")</f>
        <v>IBAN may be up to 34 characters long</v>
      </c>
      <c r="N44" s="87" t="str">
        <f>IF(ISBLANK(N43),"Code cannot be left blank","")</f>
        <v/>
      </c>
      <c r="O44" s="87" t="str">
        <f>IF(OR(LEN(O43)&lt;1,LEN(O43)&gt;140),"Transaction Details must be between 1 and 140 characters long","")</f>
        <v>Transaction Details must be between 1 and 140 characters long</v>
      </c>
      <c r="Q44" s="84" t="s">
        <v>12</v>
      </c>
    </row>
    <row r="45" spans="1:17">
      <c r="A45" s="48"/>
      <c r="B45" s="48"/>
      <c r="C45" s="48" t="s">
        <v>81</v>
      </c>
      <c r="D45" s="48"/>
      <c r="E45" s="48"/>
      <c r="F45" s="48"/>
      <c r="G45" s="48"/>
      <c r="H45" s="48"/>
      <c r="I45" s="48"/>
      <c r="J45" s="48"/>
      <c r="K45" s="48"/>
      <c r="L45" s="48" t="s">
        <v>146</v>
      </c>
      <c r="M45" s="48"/>
      <c r="N45" s="48" t="s">
        <v>43</v>
      </c>
      <c r="O45" s="48"/>
      <c r="Q45" s="5" t="s">
        <v>11</v>
      </c>
    </row>
    <row r="46" spans="1:17" s="88" customFormat="1" ht="36">
      <c r="A46" s="87" t="str">
        <f>IF(OR(LEN(A45)&lt;1,LEN(A45)&gt;35),"Transaction Identification must be between 1 and 35 characters long","")</f>
        <v>Transaction Identification must be between 1 and 35 characters long</v>
      </c>
      <c r="B46" s="87" t="str">
        <f>IF(OR(LEN(B45)&lt;1,LEN(B45)&gt;35),"Uniqie Identification must be between 1 and 35 characters long","")</f>
        <v>Uniqie Identification must be between 1 and 35 characters long</v>
      </c>
      <c r="C46" s="89"/>
      <c r="D46" s="87" t="str">
        <f>IF(OR(D45&lt;0.01,D45&gt;9999999999999990),"Transaction Amount is not valid","")</f>
        <v>Transaction Amount is not valid</v>
      </c>
      <c r="E46" s="87" t="str">
        <f>IF(AND(LEN(E45)&lt;&gt;8,LEN(E45)&lt;&gt;11),
    "BIC must be 8 or 11 characters long",
    IF(COUNTIF('Control Data (Hidden)'!$B$279:$B$335,E45)=0,
        "Warning: Is IBAN Valid?",
        ""
    )
)</f>
        <v>BIC must be 8 or 11 characters long</v>
      </c>
      <c r="F46" s="87" t="str">
        <f>IF(OR(LEN(F45)&lt;1,LEN(F45)&gt;70),"Creditor's Name must be between 1 and 70 characters long","")</f>
        <v>Creditor's Name must be between 1 and 70 characters long</v>
      </c>
      <c r="G46" s="87" t="str">
        <f>IF(LEN(G45)&gt;70,"Address cannot be longer than 70 characters","")</f>
        <v/>
      </c>
      <c r="H46" s="87" t="str">
        <f>IF(LEN(H45)&gt;16,"Building Number cannot be longer than 16 characters","")</f>
        <v/>
      </c>
      <c r="I46" s="87" t="str">
        <f>IF(LEN(I45)&gt;35,"Building Name cannot be longer than 35 characters","")</f>
        <v/>
      </c>
      <c r="J46" s="87" t="str">
        <f>IF(LEN(J45)&gt;16,"Postal Code cannot be longer than 16 characters","")</f>
        <v/>
      </c>
      <c r="K46" s="87" t="str">
        <f>IF(OR(LEN(K45)&lt;1,LEN(K45)&gt;35),"Town Name must be between 1 and 35 characters long","")</f>
        <v>Town Name must be between 1 and 35 characters long</v>
      </c>
      <c r="L46" s="87" t="str">
        <f>IF(NOT(LEN(L45)=2),"Country Code must be 2 characters long","")</f>
        <v/>
      </c>
      <c r="M46" s="87" t="str">
        <f>IF(OR(LEN(M45)&lt;10,LEN(M45)&gt;34),"IBAN may be up to 34 characters long","")</f>
        <v>IBAN may be up to 34 characters long</v>
      </c>
      <c r="N46" s="87" t="str">
        <f>IF(ISBLANK(N45),"Code cannot be left blank","")</f>
        <v/>
      </c>
      <c r="O46" s="87" t="str">
        <f>IF(OR(LEN(O45)&lt;1,LEN(O45)&gt;140),"Transaction Details must be between 1 and 140 characters long","")</f>
        <v>Transaction Details must be between 1 and 140 characters long</v>
      </c>
      <c r="Q46" s="84" t="s">
        <v>12</v>
      </c>
    </row>
    <row r="47" spans="1:17">
      <c r="A47" s="48"/>
      <c r="B47" s="48"/>
      <c r="C47" s="48" t="s">
        <v>81</v>
      </c>
      <c r="D47" s="48"/>
      <c r="E47" s="48"/>
      <c r="F47" s="48"/>
      <c r="G47" s="48"/>
      <c r="H47" s="48"/>
      <c r="I47" s="48"/>
      <c r="J47" s="48"/>
      <c r="K47" s="48"/>
      <c r="L47" s="48" t="s">
        <v>146</v>
      </c>
      <c r="M47" s="48"/>
      <c r="N47" s="48" t="s">
        <v>43</v>
      </c>
      <c r="O47" s="48"/>
      <c r="Q47" s="5" t="s">
        <v>11</v>
      </c>
    </row>
    <row r="48" spans="1:17" s="88" customFormat="1" ht="36">
      <c r="A48" s="87" t="str">
        <f>IF(OR(LEN(A47)&lt;1,LEN(A47)&gt;35),"Transaction Identification must be between 1 and 35 characters long","")</f>
        <v>Transaction Identification must be between 1 and 35 characters long</v>
      </c>
      <c r="B48" s="87" t="str">
        <f>IF(OR(LEN(B47)&lt;1,LEN(B47)&gt;35),"Uniqie Identification must be between 1 and 35 characters long","")</f>
        <v>Uniqie Identification must be between 1 and 35 characters long</v>
      </c>
      <c r="C48" s="89"/>
      <c r="D48" s="87" t="str">
        <f>IF(OR(D47&lt;0.01,D47&gt;9999999999999990),"Transaction Amount is not valid","")</f>
        <v>Transaction Amount is not valid</v>
      </c>
      <c r="E48" s="87" t="str">
        <f>IF(AND(LEN(E47)&lt;&gt;8,LEN(E47)&lt;&gt;11),
    "BIC must be 8 or 11 characters long",
    IF(COUNTIF('Control Data (Hidden)'!$B$279:$B$335,E47)=0,
        "Warning: Is IBAN Valid?",
        ""
    )
)</f>
        <v>BIC must be 8 or 11 characters long</v>
      </c>
      <c r="F48" s="87" t="str">
        <f>IF(OR(LEN(F47)&lt;1,LEN(F47)&gt;70),"Creditor's Name must be between 1 and 70 characters long","")</f>
        <v>Creditor's Name must be between 1 and 70 characters long</v>
      </c>
      <c r="G48" s="87" t="str">
        <f>IF(LEN(G47)&gt;70,"Address cannot be longer than 70 characters","")</f>
        <v/>
      </c>
      <c r="H48" s="87" t="str">
        <f>IF(LEN(H47)&gt;16,"Building Number cannot be longer than 16 characters","")</f>
        <v/>
      </c>
      <c r="I48" s="87" t="str">
        <f>IF(LEN(I47)&gt;35,"Building Name cannot be longer than 35 characters","")</f>
        <v/>
      </c>
      <c r="J48" s="87" t="str">
        <f>IF(LEN(J47)&gt;16,"Postal Code cannot be longer than 16 characters","")</f>
        <v/>
      </c>
      <c r="K48" s="87" t="str">
        <f>IF(OR(LEN(K47)&lt;1,LEN(K47)&gt;35),"Town Name must be between 1 and 35 characters long","")</f>
        <v>Town Name must be between 1 and 35 characters long</v>
      </c>
      <c r="L48" s="87" t="str">
        <f>IF(NOT(LEN(L47)=2),"Country Code must be 2 characters long","")</f>
        <v/>
      </c>
      <c r="M48" s="87" t="str">
        <f>IF(OR(LEN(M47)&lt;10,LEN(M47)&gt;34),"IBAN may be up to 34 characters long","")</f>
        <v>IBAN may be up to 34 characters long</v>
      </c>
      <c r="N48" s="87" t="str">
        <f>IF(ISBLANK(N47),"Code cannot be left blank","")</f>
        <v/>
      </c>
      <c r="O48" s="87" t="str">
        <f>IF(OR(LEN(O47)&lt;1,LEN(O47)&gt;140),"Transaction Details must be between 1 and 140 characters long","")</f>
        <v>Transaction Details must be between 1 and 140 characters long</v>
      </c>
      <c r="Q48" s="84" t="s">
        <v>12</v>
      </c>
    </row>
    <row r="49" spans="1:17">
      <c r="A49" s="48"/>
      <c r="B49" s="48"/>
      <c r="C49" s="48" t="s">
        <v>81</v>
      </c>
      <c r="D49" s="48"/>
      <c r="E49" s="48"/>
      <c r="F49" s="48"/>
      <c r="G49" s="48"/>
      <c r="H49" s="48"/>
      <c r="I49" s="48"/>
      <c r="J49" s="48"/>
      <c r="K49" s="48"/>
      <c r="L49" s="48" t="s">
        <v>146</v>
      </c>
      <c r="M49" s="48"/>
      <c r="N49" s="48" t="s">
        <v>43</v>
      </c>
      <c r="O49" s="48"/>
      <c r="Q49" s="5" t="s">
        <v>11</v>
      </c>
    </row>
    <row r="50" spans="1:17" s="88" customFormat="1" ht="36">
      <c r="A50" s="87" t="str">
        <f>IF(OR(LEN(A49)&lt;1,LEN(A49)&gt;35),"Transaction Identification must be between 1 and 35 characters long","")</f>
        <v>Transaction Identification must be between 1 and 35 characters long</v>
      </c>
      <c r="B50" s="87" t="str">
        <f>IF(OR(LEN(B49)&lt;1,LEN(B49)&gt;35),"Uniqie Identification must be between 1 and 35 characters long","")</f>
        <v>Uniqie Identification must be between 1 and 35 characters long</v>
      </c>
      <c r="C50" s="89"/>
      <c r="D50" s="87" t="str">
        <f>IF(OR(D49&lt;0.01,D49&gt;9999999999999990),"Transaction Amount is not valid","")</f>
        <v>Transaction Amount is not valid</v>
      </c>
      <c r="E50" s="87" t="str">
        <f>IF(AND(LEN(E49)&lt;&gt;8,LEN(E49)&lt;&gt;11),
    "BIC must be 8 or 11 characters long",
    IF(COUNTIF('Control Data (Hidden)'!$B$279:$B$335,E49)=0,
        "Warning: Is IBAN Valid?",
        ""
    )
)</f>
        <v>BIC must be 8 or 11 characters long</v>
      </c>
      <c r="F50" s="87" t="str">
        <f>IF(OR(LEN(F49)&lt;1,LEN(F49)&gt;70),"Creditor's Name must be between 1 and 70 characters long","")</f>
        <v>Creditor's Name must be between 1 and 70 characters long</v>
      </c>
      <c r="G50" s="87" t="str">
        <f>IF(LEN(G49)&gt;70,"Address cannot be longer than 70 characters","")</f>
        <v/>
      </c>
      <c r="H50" s="87" t="str">
        <f>IF(LEN(H49)&gt;16,"Building Number cannot be longer than 16 characters","")</f>
        <v/>
      </c>
      <c r="I50" s="87" t="str">
        <f>IF(LEN(I49)&gt;35,"Building Name cannot be longer than 35 characters","")</f>
        <v/>
      </c>
      <c r="J50" s="87" t="str">
        <f>IF(LEN(J49)&gt;16,"Postal Code cannot be longer than 16 characters","")</f>
        <v/>
      </c>
      <c r="K50" s="87" t="str">
        <f>IF(OR(LEN(K49)&lt;1,LEN(K49)&gt;35),"Town Name must be between 1 and 35 characters long","")</f>
        <v>Town Name must be between 1 and 35 characters long</v>
      </c>
      <c r="L50" s="87" t="str">
        <f>IF(NOT(LEN(L49)=2),"Country Code must be 2 characters long","")</f>
        <v/>
      </c>
      <c r="M50" s="87" t="str">
        <f>IF(OR(LEN(M49)&lt;10,LEN(M49)&gt;34),"IBAN may be up to 34 characters long","")</f>
        <v>IBAN may be up to 34 characters long</v>
      </c>
      <c r="N50" s="87" t="str">
        <f>IF(ISBLANK(N49),"Code cannot be left blank","")</f>
        <v/>
      </c>
      <c r="O50" s="87" t="str">
        <f>IF(OR(LEN(O49)&lt;1,LEN(O49)&gt;140),"Transaction Details must be between 1 and 140 characters long","")</f>
        <v>Transaction Details must be between 1 and 140 characters long</v>
      </c>
      <c r="Q50" s="84" t="s">
        <v>12</v>
      </c>
    </row>
    <row r="51" spans="1:17">
      <c r="A51" s="48"/>
      <c r="B51" s="48"/>
      <c r="C51" s="48" t="s">
        <v>81</v>
      </c>
      <c r="D51" s="48"/>
      <c r="E51" s="48"/>
      <c r="F51" s="48"/>
      <c r="G51" s="48"/>
      <c r="H51" s="48"/>
      <c r="I51" s="48"/>
      <c r="J51" s="48"/>
      <c r="K51" s="48"/>
      <c r="L51" s="48" t="s">
        <v>146</v>
      </c>
      <c r="M51" s="48"/>
      <c r="N51" s="48" t="s">
        <v>43</v>
      </c>
      <c r="O51" s="48"/>
      <c r="Q51" s="5" t="s">
        <v>11</v>
      </c>
    </row>
    <row r="52" spans="1:17" s="88" customFormat="1" ht="36">
      <c r="A52" s="87" t="str">
        <f>IF(OR(LEN(A51)&lt;1,LEN(A51)&gt;35),"Transaction Identification must be between 1 and 35 characters long","")</f>
        <v>Transaction Identification must be between 1 and 35 characters long</v>
      </c>
      <c r="B52" s="87" t="str">
        <f>IF(OR(LEN(B51)&lt;1,LEN(B51)&gt;35),"Uniqie Identification must be between 1 and 35 characters long","")</f>
        <v>Uniqie Identification must be between 1 and 35 characters long</v>
      </c>
      <c r="C52" s="89"/>
      <c r="D52" s="87" t="str">
        <f>IF(OR(D51&lt;0.01,D51&gt;9999999999999990),"Transaction Amount is not valid","")</f>
        <v>Transaction Amount is not valid</v>
      </c>
      <c r="E52" s="87" t="str">
        <f>IF(AND(LEN(E51)&lt;&gt;8,LEN(E51)&lt;&gt;11),
    "BIC must be 8 or 11 characters long",
    IF(COUNTIF('Control Data (Hidden)'!$B$279:$B$335,E51)=0,
        "Warning: Is IBAN Valid?",
        ""
    )
)</f>
        <v>BIC must be 8 or 11 characters long</v>
      </c>
      <c r="F52" s="87" t="str">
        <f>IF(OR(LEN(F51)&lt;1,LEN(F51)&gt;70),"Creditor's Name must be between 1 and 70 characters long","")</f>
        <v>Creditor's Name must be between 1 and 70 characters long</v>
      </c>
      <c r="G52" s="87" t="str">
        <f>IF(LEN(G51)&gt;70,"Address cannot be longer than 70 characters","")</f>
        <v/>
      </c>
      <c r="H52" s="87" t="str">
        <f>IF(LEN(H51)&gt;16,"Building Number cannot be longer than 16 characters","")</f>
        <v/>
      </c>
      <c r="I52" s="87" t="str">
        <f>IF(LEN(I51)&gt;35,"Building Name cannot be longer than 35 characters","")</f>
        <v/>
      </c>
      <c r="J52" s="87" t="str">
        <f>IF(LEN(J51)&gt;16,"Postal Code cannot be longer than 16 characters","")</f>
        <v/>
      </c>
      <c r="K52" s="87" t="str">
        <f>IF(OR(LEN(K51)&lt;1,LEN(K51)&gt;35),"Town Name must be between 1 and 35 characters long","")</f>
        <v>Town Name must be between 1 and 35 characters long</v>
      </c>
      <c r="L52" s="87" t="str">
        <f>IF(NOT(LEN(L51)=2),"Country Code must be 2 characters long","")</f>
        <v/>
      </c>
      <c r="M52" s="87" t="str">
        <f>IF(OR(LEN(M51)&lt;10,LEN(M51)&gt;34),"IBAN may be up to 34 characters long","")</f>
        <v>IBAN may be up to 34 characters long</v>
      </c>
      <c r="N52" s="87" t="str">
        <f>IF(ISBLANK(N51),"Code cannot be left blank","")</f>
        <v/>
      </c>
      <c r="O52" s="87" t="str">
        <f>IF(OR(LEN(O51)&lt;1,LEN(O51)&gt;140),"Transaction Details must be between 1 and 140 characters long","")</f>
        <v>Transaction Details must be between 1 and 140 characters long</v>
      </c>
      <c r="Q52" s="84" t="s">
        <v>12</v>
      </c>
    </row>
    <row r="53" spans="1:17">
      <c r="A53" s="48"/>
      <c r="B53" s="48"/>
      <c r="C53" s="48" t="s">
        <v>81</v>
      </c>
      <c r="D53" s="48"/>
      <c r="E53" s="48"/>
      <c r="F53" s="48"/>
      <c r="G53" s="48"/>
      <c r="H53" s="48"/>
      <c r="I53" s="48"/>
      <c r="J53" s="48"/>
      <c r="K53" s="48"/>
      <c r="L53" s="48" t="s">
        <v>146</v>
      </c>
      <c r="M53" s="48"/>
      <c r="N53" s="48" t="s">
        <v>43</v>
      </c>
      <c r="O53" s="48"/>
      <c r="Q53" s="5" t="s">
        <v>11</v>
      </c>
    </row>
    <row r="54" spans="1:17" s="88" customFormat="1" ht="36">
      <c r="A54" s="87" t="str">
        <f>IF(OR(LEN(A53)&lt;1,LEN(A53)&gt;35),"Transaction Identification must be between 1 and 35 characters long","")</f>
        <v>Transaction Identification must be between 1 and 35 characters long</v>
      </c>
      <c r="B54" s="87" t="str">
        <f>IF(OR(LEN(B53)&lt;1,LEN(B53)&gt;35),"Uniqie Identification must be between 1 and 35 characters long","")</f>
        <v>Uniqie Identification must be between 1 and 35 characters long</v>
      </c>
      <c r="C54" s="89"/>
      <c r="D54" s="87" t="str">
        <f>IF(OR(D53&lt;0.01,D53&gt;9999999999999990),"Transaction Amount is not valid","")</f>
        <v>Transaction Amount is not valid</v>
      </c>
      <c r="E54" s="87" t="str">
        <f>IF(AND(LEN(E53)&lt;&gt;8,LEN(E53)&lt;&gt;11),
    "BIC must be 8 or 11 characters long",
    IF(COUNTIF('Control Data (Hidden)'!$B$279:$B$335,E53)=0,
        "Warning: Is IBAN Valid?",
        ""
    )
)</f>
        <v>BIC must be 8 or 11 characters long</v>
      </c>
      <c r="F54" s="87" t="str">
        <f>IF(OR(LEN(F53)&lt;1,LEN(F53)&gt;70),"Creditor's Name must be between 1 and 70 characters long","")</f>
        <v>Creditor's Name must be between 1 and 70 characters long</v>
      </c>
      <c r="G54" s="87" t="str">
        <f>IF(LEN(G53)&gt;70,"Address cannot be longer than 70 characters","")</f>
        <v/>
      </c>
      <c r="H54" s="87" t="str">
        <f>IF(LEN(H53)&gt;16,"Building Number cannot be longer than 16 characters","")</f>
        <v/>
      </c>
      <c r="I54" s="87" t="str">
        <f>IF(LEN(I53)&gt;35,"Building Name cannot be longer than 35 characters","")</f>
        <v/>
      </c>
      <c r="J54" s="87" t="str">
        <f>IF(LEN(J53)&gt;16,"Postal Code cannot be longer than 16 characters","")</f>
        <v/>
      </c>
      <c r="K54" s="87" t="str">
        <f>IF(OR(LEN(K53)&lt;1,LEN(K53)&gt;35),"Town Name must be between 1 and 35 characters long","")</f>
        <v>Town Name must be between 1 and 35 characters long</v>
      </c>
      <c r="L54" s="87" t="str">
        <f>IF(NOT(LEN(L53)=2),"Country Code must be 2 characters long","")</f>
        <v/>
      </c>
      <c r="M54" s="87" t="str">
        <f>IF(OR(LEN(M53)&lt;10,LEN(M53)&gt;34),"IBAN may be up to 34 characters long","")</f>
        <v>IBAN may be up to 34 characters long</v>
      </c>
      <c r="N54" s="87" t="str">
        <f>IF(ISBLANK(N53),"Code cannot be left blank","")</f>
        <v/>
      </c>
      <c r="O54" s="87" t="str">
        <f>IF(OR(LEN(O53)&lt;1,LEN(O53)&gt;140),"Transaction Details must be between 1 and 140 characters long","")</f>
        <v>Transaction Details must be between 1 and 140 characters long</v>
      </c>
      <c r="Q54" s="84" t="s">
        <v>12</v>
      </c>
    </row>
    <row r="55" spans="1:17">
      <c r="A55" s="48"/>
      <c r="B55" s="48"/>
      <c r="C55" s="48" t="s">
        <v>81</v>
      </c>
      <c r="D55" s="48"/>
      <c r="E55" s="48"/>
      <c r="F55" s="48"/>
      <c r="G55" s="48"/>
      <c r="H55" s="48"/>
      <c r="I55" s="48"/>
      <c r="J55" s="48"/>
      <c r="K55" s="48"/>
      <c r="L55" s="48" t="s">
        <v>146</v>
      </c>
      <c r="M55" s="48"/>
      <c r="N55" s="48" t="s">
        <v>43</v>
      </c>
      <c r="O55" s="48"/>
      <c r="Q55" s="5" t="s">
        <v>11</v>
      </c>
    </row>
    <row r="56" spans="1:17" s="88" customFormat="1" ht="36">
      <c r="A56" s="87" t="str">
        <f>IF(OR(LEN(A55)&lt;1,LEN(A55)&gt;35),"Transaction Identification must be between 1 and 35 characters long","")</f>
        <v>Transaction Identification must be between 1 and 35 characters long</v>
      </c>
      <c r="B56" s="87" t="str">
        <f>IF(OR(LEN(B55)&lt;1,LEN(B55)&gt;35),"Uniqie Identification must be between 1 and 35 characters long","")</f>
        <v>Uniqie Identification must be between 1 and 35 characters long</v>
      </c>
      <c r="C56" s="89"/>
      <c r="D56" s="87" t="str">
        <f>IF(OR(D55&lt;0.01,D55&gt;9999999999999990),"Transaction Amount is not valid","")</f>
        <v>Transaction Amount is not valid</v>
      </c>
      <c r="E56" s="87" t="str">
        <f>IF(AND(LEN(E55)&lt;&gt;8,LEN(E55)&lt;&gt;11),
    "BIC must be 8 or 11 characters long",
    IF(COUNTIF('Control Data (Hidden)'!$B$279:$B$335,E55)=0,
        "Warning: Is IBAN Valid?",
        ""
    )
)</f>
        <v>BIC must be 8 or 11 characters long</v>
      </c>
      <c r="F56" s="87" t="str">
        <f>IF(OR(LEN(F55)&lt;1,LEN(F55)&gt;70),"Creditor's Name must be between 1 and 70 characters long","")</f>
        <v>Creditor's Name must be between 1 and 70 characters long</v>
      </c>
      <c r="G56" s="87" t="str">
        <f>IF(LEN(G55)&gt;70,"Address cannot be longer than 70 characters","")</f>
        <v/>
      </c>
      <c r="H56" s="87" t="str">
        <f>IF(LEN(H55)&gt;16,"Building Number cannot be longer than 16 characters","")</f>
        <v/>
      </c>
      <c r="I56" s="87" t="str">
        <f>IF(LEN(I55)&gt;35,"Building Name cannot be longer than 35 characters","")</f>
        <v/>
      </c>
      <c r="J56" s="87" t="str">
        <f>IF(LEN(J55)&gt;16,"Postal Code cannot be longer than 16 characters","")</f>
        <v/>
      </c>
      <c r="K56" s="87" t="str">
        <f>IF(OR(LEN(K55)&lt;1,LEN(K55)&gt;35),"Town Name must be between 1 and 35 characters long","")</f>
        <v>Town Name must be between 1 and 35 characters long</v>
      </c>
      <c r="L56" s="87" t="str">
        <f>IF(NOT(LEN(L55)=2),"Country Code must be 2 characters long","")</f>
        <v/>
      </c>
      <c r="M56" s="87" t="str">
        <f>IF(OR(LEN(M55)&lt;10,LEN(M55)&gt;34),"IBAN may be up to 34 characters long","")</f>
        <v>IBAN may be up to 34 characters long</v>
      </c>
      <c r="N56" s="87" t="str">
        <f>IF(ISBLANK(N55),"Code cannot be left blank","")</f>
        <v/>
      </c>
      <c r="O56" s="87" t="str">
        <f>IF(OR(LEN(O55)&lt;1,LEN(O55)&gt;140),"Transaction Details must be between 1 and 140 characters long","")</f>
        <v>Transaction Details must be between 1 and 140 characters long</v>
      </c>
      <c r="Q56" s="84" t="s">
        <v>12</v>
      </c>
    </row>
    <row r="57" spans="1:17">
      <c r="A57" s="48"/>
      <c r="B57" s="48"/>
      <c r="C57" s="48" t="s">
        <v>81</v>
      </c>
      <c r="D57" s="48"/>
      <c r="E57" s="48"/>
      <c r="F57" s="48"/>
      <c r="G57" s="48"/>
      <c r="H57" s="48"/>
      <c r="I57" s="48"/>
      <c r="J57" s="48"/>
      <c r="K57" s="48"/>
      <c r="L57" s="48" t="s">
        <v>146</v>
      </c>
      <c r="M57" s="48"/>
      <c r="N57" s="48" t="s">
        <v>43</v>
      </c>
      <c r="O57" s="48"/>
      <c r="Q57" s="5" t="s">
        <v>11</v>
      </c>
    </row>
    <row r="58" spans="1:17" s="88" customFormat="1" ht="36">
      <c r="A58" s="87" t="str">
        <f>IF(OR(LEN(A57)&lt;1,LEN(A57)&gt;35),"Transaction Identification must be between 1 and 35 characters long","")</f>
        <v>Transaction Identification must be between 1 and 35 characters long</v>
      </c>
      <c r="B58" s="87" t="str">
        <f>IF(OR(LEN(B57)&lt;1,LEN(B57)&gt;35),"Uniqie Identification must be between 1 and 35 characters long","")</f>
        <v>Uniqie Identification must be between 1 and 35 characters long</v>
      </c>
      <c r="C58" s="89"/>
      <c r="D58" s="87" t="str">
        <f>IF(OR(D57&lt;0.01,D57&gt;9999999999999990),"Transaction Amount is not valid","")</f>
        <v>Transaction Amount is not valid</v>
      </c>
      <c r="E58" s="87" t="str">
        <f>IF(AND(LEN(E57)&lt;&gt;8,LEN(E57)&lt;&gt;11),
    "BIC must be 8 or 11 characters long",
    IF(COUNTIF('Control Data (Hidden)'!$B$279:$B$335,E57)=0,
        "Warning: Is IBAN Valid?",
        ""
    )
)</f>
        <v>BIC must be 8 or 11 characters long</v>
      </c>
      <c r="F58" s="87" t="str">
        <f>IF(OR(LEN(F57)&lt;1,LEN(F57)&gt;70),"Creditor's Name must be between 1 and 70 characters long","")</f>
        <v>Creditor's Name must be between 1 and 70 characters long</v>
      </c>
      <c r="G58" s="87" t="str">
        <f>IF(LEN(G57)&gt;70,"Address cannot be longer than 70 characters","")</f>
        <v/>
      </c>
      <c r="H58" s="87" t="str">
        <f>IF(LEN(H57)&gt;16,"Building Number cannot be longer than 16 characters","")</f>
        <v/>
      </c>
      <c r="I58" s="87" t="str">
        <f>IF(LEN(I57)&gt;35,"Building Name cannot be longer than 35 characters","")</f>
        <v/>
      </c>
      <c r="J58" s="87" t="str">
        <f>IF(LEN(J57)&gt;16,"Postal Code cannot be longer than 16 characters","")</f>
        <v/>
      </c>
      <c r="K58" s="87" t="str">
        <f>IF(OR(LEN(K57)&lt;1,LEN(K57)&gt;35),"Town Name must be between 1 and 35 characters long","")</f>
        <v>Town Name must be between 1 and 35 characters long</v>
      </c>
      <c r="L58" s="87" t="str">
        <f>IF(NOT(LEN(L57)=2),"Country Code must be 2 characters long","")</f>
        <v/>
      </c>
      <c r="M58" s="87" t="str">
        <f>IF(OR(LEN(M57)&lt;10,LEN(M57)&gt;34),"IBAN may be up to 34 characters long","")</f>
        <v>IBAN may be up to 34 characters long</v>
      </c>
      <c r="N58" s="87" t="str">
        <f>IF(ISBLANK(N57),"Code cannot be left blank","")</f>
        <v/>
      </c>
      <c r="O58" s="87" t="str">
        <f>IF(OR(LEN(O57)&lt;1,LEN(O57)&gt;140),"Transaction Details must be between 1 and 140 characters long","")</f>
        <v>Transaction Details must be between 1 and 140 characters long</v>
      </c>
      <c r="Q58" s="84" t="s">
        <v>12</v>
      </c>
    </row>
    <row r="59" spans="1:17">
      <c r="A59" s="48"/>
      <c r="B59" s="48"/>
      <c r="C59" s="48" t="s">
        <v>81</v>
      </c>
      <c r="D59" s="48"/>
      <c r="E59" s="48"/>
      <c r="F59" s="48"/>
      <c r="G59" s="48"/>
      <c r="H59" s="48"/>
      <c r="I59" s="48"/>
      <c r="J59" s="48"/>
      <c r="K59" s="48"/>
      <c r="L59" s="48" t="s">
        <v>146</v>
      </c>
      <c r="M59" s="48"/>
      <c r="N59" s="48" t="s">
        <v>43</v>
      </c>
      <c r="O59" s="48"/>
      <c r="Q59" s="5" t="s">
        <v>11</v>
      </c>
    </row>
    <row r="60" spans="1:17" s="88" customFormat="1" ht="36">
      <c r="A60" s="87" t="str">
        <f>IF(OR(LEN(A59)&lt;1,LEN(A59)&gt;35),"Transaction Identification must be between 1 and 35 characters long","")</f>
        <v>Transaction Identification must be between 1 and 35 characters long</v>
      </c>
      <c r="B60" s="87" t="str">
        <f>IF(OR(LEN(B59)&lt;1,LEN(B59)&gt;35),"Uniqie Identification must be between 1 and 35 characters long","")</f>
        <v>Uniqie Identification must be between 1 and 35 characters long</v>
      </c>
      <c r="C60" s="89"/>
      <c r="D60" s="87" t="str">
        <f>IF(OR(D59&lt;0.01,D59&gt;9999999999999990),"Transaction Amount is not valid","")</f>
        <v>Transaction Amount is not valid</v>
      </c>
      <c r="E60" s="87" t="str">
        <f>IF(AND(LEN(E59)&lt;&gt;8,LEN(E59)&lt;&gt;11),
    "BIC must be 8 or 11 characters long",
    IF(COUNTIF('Control Data (Hidden)'!$B$279:$B$335,E59)=0,
        "Warning: Is IBAN Valid?",
        ""
    )
)</f>
        <v>BIC must be 8 or 11 characters long</v>
      </c>
      <c r="F60" s="87" t="str">
        <f>IF(OR(LEN(F59)&lt;1,LEN(F59)&gt;70),"Creditor's Name must be between 1 and 70 characters long","")</f>
        <v>Creditor's Name must be between 1 and 70 characters long</v>
      </c>
      <c r="G60" s="87" t="str">
        <f>IF(LEN(G59)&gt;70,"Address cannot be longer than 70 characters","")</f>
        <v/>
      </c>
      <c r="H60" s="87" t="str">
        <f>IF(LEN(H59)&gt;16,"Building Number cannot be longer than 16 characters","")</f>
        <v/>
      </c>
      <c r="I60" s="87" t="str">
        <f>IF(LEN(I59)&gt;35,"Building Name cannot be longer than 35 characters","")</f>
        <v/>
      </c>
      <c r="J60" s="87" t="str">
        <f>IF(LEN(J59)&gt;16,"Postal Code cannot be longer than 16 characters","")</f>
        <v/>
      </c>
      <c r="K60" s="87" t="str">
        <f>IF(OR(LEN(K59)&lt;1,LEN(K59)&gt;35),"Town Name must be between 1 and 35 characters long","")</f>
        <v>Town Name must be between 1 and 35 characters long</v>
      </c>
      <c r="L60" s="87" t="str">
        <f>IF(NOT(LEN(L59)=2),"Country Code must be 2 characters long","")</f>
        <v/>
      </c>
      <c r="M60" s="87" t="str">
        <f>IF(OR(LEN(M59)&lt;10,LEN(M59)&gt;34),"IBAN may be up to 34 characters long","")</f>
        <v>IBAN may be up to 34 characters long</v>
      </c>
      <c r="N60" s="87" t="str">
        <f>IF(ISBLANK(N59),"Code cannot be left blank","")</f>
        <v/>
      </c>
      <c r="O60" s="87" t="str">
        <f>IF(OR(LEN(O59)&lt;1,LEN(O59)&gt;140),"Transaction Details must be between 1 and 140 characters long","")</f>
        <v>Transaction Details must be between 1 and 140 characters long</v>
      </c>
      <c r="Q60" s="84" t="s">
        <v>12</v>
      </c>
    </row>
    <row r="61" spans="1:17">
      <c r="A61" s="48"/>
      <c r="B61" s="48"/>
      <c r="C61" s="48" t="s">
        <v>81</v>
      </c>
      <c r="D61" s="48"/>
      <c r="E61" s="48"/>
      <c r="F61" s="48"/>
      <c r="G61" s="48"/>
      <c r="H61" s="48"/>
      <c r="I61" s="48"/>
      <c r="J61" s="48"/>
      <c r="K61" s="48"/>
      <c r="L61" s="48" t="s">
        <v>146</v>
      </c>
      <c r="M61" s="48"/>
      <c r="N61" s="48" t="s">
        <v>43</v>
      </c>
      <c r="O61" s="48"/>
      <c r="Q61" s="5" t="s">
        <v>11</v>
      </c>
    </row>
    <row r="62" spans="1:17" s="88" customFormat="1" ht="36">
      <c r="A62" s="87" t="str">
        <f>IF(OR(LEN(A61)&lt;1,LEN(A61)&gt;35),"Transaction Identification must be between 1 and 35 characters long","")</f>
        <v>Transaction Identification must be between 1 and 35 characters long</v>
      </c>
      <c r="B62" s="87" t="str">
        <f>IF(OR(LEN(B61)&lt;1,LEN(B61)&gt;35),"Uniqie Identification must be between 1 and 35 characters long","")</f>
        <v>Uniqie Identification must be between 1 and 35 characters long</v>
      </c>
      <c r="C62" s="89"/>
      <c r="D62" s="87" t="str">
        <f>IF(OR(D61&lt;0.01,D61&gt;9999999999999990),"Transaction Amount is not valid","")</f>
        <v>Transaction Amount is not valid</v>
      </c>
      <c r="E62" s="87" t="str">
        <f>IF(AND(LEN(E61)&lt;&gt;8,LEN(E61)&lt;&gt;11),
    "BIC must be 8 or 11 characters long",
    IF(COUNTIF('Control Data (Hidden)'!$B$279:$B$335,E61)=0,
        "Warning: Is IBAN Valid?",
        ""
    )
)</f>
        <v>BIC must be 8 or 11 characters long</v>
      </c>
      <c r="F62" s="87" t="str">
        <f>IF(OR(LEN(F61)&lt;1,LEN(F61)&gt;70),"Creditor's Name must be between 1 and 70 characters long","")</f>
        <v>Creditor's Name must be between 1 and 70 characters long</v>
      </c>
      <c r="G62" s="87" t="str">
        <f>IF(LEN(G61)&gt;70,"Address cannot be longer than 70 characters","")</f>
        <v/>
      </c>
      <c r="H62" s="87" t="str">
        <f>IF(LEN(H61)&gt;16,"Building Number cannot be longer than 16 characters","")</f>
        <v/>
      </c>
      <c r="I62" s="87" t="str">
        <f>IF(LEN(I61)&gt;35,"Building Name cannot be longer than 35 characters","")</f>
        <v/>
      </c>
      <c r="J62" s="87" t="str">
        <f>IF(LEN(J61)&gt;16,"Postal Code cannot be longer than 16 characters","")</f>
        <v/>
      </c>
      <c r="K62" s="87" t="str">
        <f>IF(OR(LEN(K61)&lt;1,LEN(K61)&gt;35),"Town Name must be between 1 and 35 characters long","")</f>
        <v>Town Name must be between 1 and 35 characters long</v>
      </c>
      <c r="L62" s="87" t="str">
        <f>IF(NOT(LEN(L61)=2),"Country Code must be 2 characters long","")</f>
        <v/>
      </c>
      <c r="M62" s="87" t="str">
        <f>IF(OR(LEN(M61)&lt;10,LEN(M61)&gt;34),"IBAN may be up to 34 characters long","")</f>
        <v>IBAN may be up to 34 characters long</v>
      </c>
      <c r="N62" s="87" t="str">
        <f>IF(ISBLANK(N61),"Code cannot be left blank","")</f>
        <v/>
      </c>
      <c r="O62" s="87" t="str">
        <f>IF(OR(LEN(O61)&lt;1,LEN(O61)&gt;140),"Transaction Details must be between 1 and 140 characters long","")</f>
        <v>Transaction Details must be between 1 and 140 characters long</v>
      </c>
      <c r="Q62" s="84" t="s">
        <v>12</v>
      </c>
    </row>
    <row r="63" spans="1:17">
      <c r="A63" s="48"/>
      <c r="B63" s="48"/>
      <c r="C63" s="48" t="s">
        <v>81</v>
      </c>
      <c r="D63" s="48"/>
      <c r="E63" s="48"/>
      <c r="F63" s="48"/>
      <c r="G63" s="48"/>
      <c r="H63" s="48"/>
      <c r="I63" s="48"/>
      <c r="J63" s="48"/>
      <c r="K63" s="48"/>
      <c r="L63" s="48" t="s">
        <v>146</v>
      </c>
      <c r="M63" s="48"/>
      <c r="N63" s="48" t="s">
        <v>43</v>
      </c>
      <c r="O63" s="48"/>
      <c r="Q63" s="5" t="s">
        <v>11</v>
      </c>
    </row>
    <row r="64" spans="1:17" s="88" customFormat="1" ht="36">
      <c r="A64" s="87" t="str">
        <f>IF(OR(LEN(A63)&lt;1,LEN(A63)&gt;35),"Transaction Identification must be between 1 and 35 characters long","")</f>
        <v>Transaction Identification must be between 1 and 35 characters long</v>
      </c>
      <c r="B64" s="87" t="str">
        <f>IF(OR(LEN(B63)&lt;1,LEN(B63)&gt;35),"Uniqie Identification must be between 1 and 35 characters long","")</f>
        <v>Uniqie Identification must be between 1 and 35 characters long</v>
      </c>
      <c r="C64" s="89"/>
      <c r="D64" s="87" t="str">
        <f>IF(OR(D63&lt;0.01,D63&gt;9999999999999990),"Transaction Amount is not valid","")</f>
        <v>Transaction Amount is not valid</v>
      </c>
      <c r="E64" s="87" t="str">
        <f>IF(AND(LEN(E63)&lt;&gt;8,LEN(E63)&lt;&gt;11),
    "BIC must be 8 or 11 characters long",
    IF(COUNTIF('Control Data (Hidden)'!$B$279:$B$335,E63)=0,
        "Warning: Is IBAN Valid?",
        ""
    )
)</f>
        <v>BIC must be 8 or 11 characters long</v>
      </c>
      <c r="F64" s="87" t="str">
        <f>IF(OR(LEN(F63)&lt;1,LEN(F63)&gt;70),"Creditor's Name must be between 1 and 70 characters long","")</f>
        <v>Creditor's Name must be between 1 and 70 characters long</v>
      </c>
      <c r="G64" s="87" t="str">
        <f>IF(LEN(G63)&gt;70,"Address cannot be longer than 70 characters","")</f>
        <v/>
      </c>
      <c r="H64" s="87" t="str">
        <f>IF(LEN(H63)&gt;16,"Building Number cannot be longer than 16 characters","")</f>
        <v/>
      </c>
      <c r="I64" s="87" t="str">
        <f>IF(LEN(I63)&gt;35,"Building Name cannot be longer than 35 characters","")</f>
        <v/>
      </c>
      <c r="J64" s="87" t="str">
        <f>IF(LEN(J63)&gt;16,"Postal Code cannot be longer than 16 characters","")</f>
        <v/>
      </c>
      <c r="K64" s="87" t="str">
        <f>IF(OR(LEN(K63)&lt;1,LEN(K63)&gt;35),"Town Name must be between 1 and 35 characters long","")</f>
        <v>Town Name must be between 1 and 35 characters long</v>
      </c>
      <c r="L64" s="87" t="str">
        <f>IF(NOT(LEN(L63)=2),"Country Code must be 2 characters long","")</f>
        <v/>
      </c>
      <c r="M64" s="87" t="str">
        <f>IF(OR(LEN(M63)&lt;10,LEN(M63)&gt;34),"IBAN may be up to 34 characters long","")</f>
        <v>IBAN may be up to 34 characters long</v>
      </c>
      <c r="N64" s="87" t="str">
        <f>IF(ISBLANK(N63),"Code cannot be left blank","")</f>
        <v/>
      </c>
      <c r="O64" s="87" t="str">
        <f>IF(OR(LEN(O63)&lt;1,LEN(O63)&gt;140),"Transaction Details must be between 1 and 140 characters long","")</f>
        <v>Transaction Details must be between 1 and 140 characters long</v>
      </c>
      <c r="Q64" s="84" t="s">
        <v>12</v>
      </c>
    </row>
    <row r="65" spans="1:17">
      <c r="A65" s="48"/>
      <c r="B65" s="48"/>
      <c r="C65" s="48" t="s">
        <v>81</v>
      </c>
      <c r="D65" s="48"/>
      <c r="E65" s="48"/>
      <c r="F65" s="48"/>
      <c r="G65" s="48"/>
      <c r="H65" s="48"/>
      <c r="I65" s="48"/>
      <c r="J65" s="48"/>
      <c r="K65" s="48"/>
      <c r="L65" s="48" t="s">
        <v>146</v>
      </c>
      <c r="M65" s="48"/>
      <c r="N65" s="48" t="s">
        <v>43</v>
      </c>
      <c r="O65" s="48"/>
      <c r="Q65" s="5" t="s">
        <v>11</v>
      </c>
    </row>
    <row r="66" spans="1:17" s="88" customFormat="1" ht="36">
      <c r="A66" s="87" t="str">
        <f>IF(OR(LEN(A65)&lt;1,LEN(A65)&gt;35),"Transaction Identification must be between 1 and 35 characters long","")</f>
        <v>Transaction Identification must be between 1 and 35 characters long</v>
      </c>
      <c r="B66" s="87" t="str">
        <f>IF(OR(LEN(B65)&lt;1,LEN(B65)&gt;35),"Uniqie Identification must be between 1 and 35 characters long","")</f>
        <v>Uniqie Identification must be between 1 and 35 characters long</v>
      </c>
      <c r="C66" s="89"/>
      <c r="D66" s="87" t="str">
        <f>IF(OR(D65&lt;0.01,D65&gt;9999999999999990),"Transaction Amount is not valid","")</f>
        <v>Transaction Amount is not valid</v>
      </c>
      <c r="E66" s="87" t="str">
        <f>IF(AND(LEN(E65)&lt;&gt;8,LEN(E65)&lt;&gt;11),
    "BIC must be 8 or 11 characters long",
    IF(COUNTIF('Control Data (Hidden)'!$B$279:$B$335,E65)=0,
        "Warning: Is IBAN Valid?",
        ""
    )
)</f>
        <v>BIC must be 8 or 11 characters long</v>
      </c>
      <c r="F66" s="87" t="str">
        <f>IF(OR(LEN(F65)&lt;1,LEN(F65)&gt;70),"Creditor's Name must be between 1 and 70 characters long","")</f>
        <v>Creditor's Name must be between 1 and 70 characters long</v>
      </c>
      <c r="G66" s="87" t="str">
        <f>IF(LEN(G65)&gt;70,"Address cannot be longer than 70 characters","")</f>
        <v/>
      </c>
      <c r="H66" s="87" t="str">
        <f>IF(LEN(H65)&gt;16,"Building Number cannot be longer than 16 characters","")</f>
        <v/>
      </c>
      <c r="I66" s="87" t="str">
        <f>IF(LEN(I65)&gt;35,"Building Name cannot be longer than 35 characters","")</f>
        <v/>
      </c>
      <c r="J66" s="87" t="str">
        <f>IF(LEN(J65)&gt;16,"Postal Code cannot be longer than 16 characters","")</f>
        <v/>
      </c>
      <c r="K66" s="87" t="str">
        <f>IF(OR(LEN(K65)&lt;1,LEN(K65)&gt;35),"Town Name must be between 1 and 35 characters long","")</f>
        <v>Town Name must be between 1 and 35 characters long</v>
      </c>
      <c r="L66" s="87" t="str">
        <f>IF(NOT(LEN(L65)=2),"Country Code must be 2 characters long","")</f>
        <v/>
      </c>
      <c r="M66" s="87" t="str">
        <f>IF(OR(LEN(M65)&lt;10,LEN(M65)&gt;34),"IBAN may be up to 34 characters long","")</f>
        <v>IBAN may be up to 34 characters long</v>
      </c>
      <c r="N66" s="87" t="str">
        <f>IF(ISBLANK(N65),"Code cannot be left blank","")</f>
        <v/>
      </c>
      <c r="O66" s="87" t="str">
        <f>IF(OR(LEN(O65)&lt;1,LEN(O65)&gt;140),"Transaction Details must be between 1 and 140 characters long","")</f>
        <v>Transaction Details must be between 1 and 140 characters long</v>
      </c>
      <c r="Q66" s="84" t="s">
        <v>12</v>
      </c>
    </row>
    <row r="67" spans="1:17">
      <c r="A67" s="48"/>
      <c r="B67" s="48"/>
      <c r="C67" s="48" t="s">
        <v>81</v>
      </c>
      <c r="D67" s="48"/>
      <c r="E67" s="48"/>
      <c r="F67" s="48"/>
      <c r="G67" s="48"/>
      <c r="H67" s="48"/>
      <c r="I67" s="48"/>
      <c r="J67" s="48"/>
      <c r="K67" s="48"/>
      <c r="L67" s="48" t="s">
        <v>146</v>
      </c>
      <c r="M67" s="48"/>
      <c r="N67" s="48" t="s">
        <v>43</v>
      </c>
      <c r="O67" s="48"/>
      <c r="Q67" s="5" t="s">
        <v>11</v>
      </c>
    </row>
    <row r="68" spans="1:17" s="88" customFormat="1" ht="36">
      <c r="A68" s="87" t="str">
        <f>IF(OR(LEN(A67)&lt;1,LEN(A67)&gt;35),"Transaction Identification must be between 1 and 35 characters long","")</f>
        <v>Transaction Identification must be between 1 and 35 characters long</v>
      </c>
      <c r="B68" s="87" t="str">
        <f>IF(OR(LEN(B67)&lt;1,LEN(B67)&gt;35),"Uniqie Identification must be between 1 and 35 characters long","")</f>
        <v>Uniqie Identification must be between 1 and 35 characters long</v>
      </c>
      <c r="C68" s="89"/>
      <c r="D68" s="87" t="str">
        <f>IF(OR(D67&lt;0.01,D67&gt;9999999999999990),"Transaction Amount is not valid","")</f>
        <v>Transaction Amount is not valid</v>
      </c>
      <c r="E68" s="87" t="str">
        <f>IF(AND(LEN(E67)&lt;&gt;8,LEN(E67)&lt;&gt;11),
    "BIC must be 8 or 11 characters long",
    IF(COUNTIF('Control Data (Hidden)'!$B$279:$B$335,E67)=0,
        "Warning: Is IBAN Valid?",
        ""
    )
)</f>
        <v>BIC must be 8 or 11 characters long</v>
      </c>
      <c r="F68" s="87" t="str">
        <f>IF(OR(LEN(F67)&lt;1,LEN(F67)&gt;70),"Creditor's Name must be between 1 and 70 characters long","")</f>
        <v>Creditor's Name must be between 1 and 70 characters long</v>
      </c>
      <c r="G68" s="87" t="str">
        <f>IF(LEN(G67)&gt;70,"Address cannot be longer than 70 characters","")</f>
        <v/>
      </c>
      <c r="H68" s="87" t="str">
        <f>IF(LEN(H67)&gt;16,"Building Number cannot be longer than 16 characters","")</f>
        <v/>
      </c>
      <c r="I68" s="87" t="str">
        <f>IF(LEN(I67)&gt;35,"Building Name cannot be longer than 35 characters","")</f>
        <v/>
      </c>
      <c r="J68" s="87" t="str">
        <f>IF(LEN(J67)&gt;16,"Postal Code cannot be longer than 16 characters","")</f>
        <v/>
      </c>
      <c r="K68" s="87" t="str">
        <f>IF(OR(LEN(K67)&lt;1,LEN(K67)&gt;35),"Town Name must be between 1 and 35 characters long","")</f>
        <v>Town Name must be between 1 and 35 characters long</v>
      </c>
      <c r="L68" s="87" t="str">
        <f>IF(NOT(LEN(L67)=2),"Country Code must be 2 characters long","")</f>
        <v/>
      </c>
      <c r="M68" s="87" t="str">
        <f>IF(OR(LEN(M67)&lt;10,LEN(M67)&gt;34),"IBAN may be up to 34 characters long","")</f>
        <v>IBAN may be up to 34 characters long</v>
      </c>
      <c r="N68" s="87" t="str">
        <f>IF(ISBLANK(N67),"Code cannot be left blank","")</f>
        <v/>
      </c>
      <c r="O68" s="87" t="str">
        <f>IF(OR(LEN(O67)&lt;1,LEN(O67)&gt;140),"Transaction Details must be between 1 and 140 characters long","")</f>
        <v>Transaction Details must be between 1 and 140 characters long</v>
      </c>
      <c r="Q68" s="84" t="s">
        <v>12</v>
      </c>
    </row>
    <row r="69" spans="1:17">
      <c r="A69" s="48"/>
      <c r="B69" s="48"/>
      <c r="C69" s="48" t="s">
        <v>81</v>
      </c>
      <c r="D69" s="48"/>
      <c r="E69" s="48"/>
      <c r="F69" s="48"/>
      <c r="G69" s="48"/>
      <c r="H69" s="48"/>
      <c r="I69" s="48"/>
      <c r="J69" s="48"/>
      <c r="K69" s="48"/>
      <c r="L69" s="48" t="s">
        <v>146</v>
      </c>
      <c r="M69" s="48"/>
      <c r="N69" s="48" t="s">
        <v>43</v>
      </c>
      <c r="O69" s="48"/>
      <c r="Q69" s="5" t="s">
        <v>11</v>
      </c>
    </row>
    <row r="70" spans="1:17" s="88" customFormat="1" ht="36">
      <c r="A70" s="87" t="str">
        <f>IF(OR(LEN(A69)&lt;1,LEN(A69)&gt;35),"Transaction Identification must be between 1 and 35 characters long","")</f>
        <v>Transaction Identification must be between 1 and 35 characters long</v>
      </c>
      <c r="B70" s="87" t="str">
        <f>IF(OR(LEN(B69)&lt;1,LEN(B69)&gt;35),"Uniqie Identification must be between 1 and 35 characters long","")</f>
        <v>Uniqie Identification must be between 1 and 35 characters long</v>
      </c>
      <c r="C70" s="89"/>
      <c r="D70" s="87" t="str">
        <f>IF(OR(D69&lt;0.01,D69&gt;9999999999999990),"Transaction Amount is not valid","")</f>
        <v>Transaction Amount is not valid</v>
      </c>
      <c r="E70" s="87" t="str">
        <f>IF(AND(LEN(E69)&lt;&gt;8,LEN(E69)&lt;&gt;11),
    "BIC must be 8 or 11 characters long",
    IF(COUNTIF('Control Data (Hidden)'!$B$279:$B$335,E69)=0,
        "Warning: Is IBAN Valid?",
        ""
    )
)</f>
        <v>BIC must be 8 or 11 characters long</v>
      </c>
      <c r="F70" s="87" t="str">
        <f>IF(OR(LEN(F69)&lt;1,LEN(F69)&gt;70),"Creditor's Name must be between 1 and 70 characters long","")</f>
        <v>Creditor's Name must be between 1 and 70 characters long</v>
      </c>
      <c r="G70" s="87" t="str">
        <f>IF(LEN(G69)&gt;70,"Address cannot be longer than 70 characters","")</f>
        <v/>
      </c>
      <c r="H70" s="87" t="str">
        <f>IF(LEN(H69)&gt;16,"Building Number cannot be longer than 16 characters","")</f>
        <v/>
      </c>
      <c r="I70" s="87" t="str">
        <f>IF(LEN(I69)&gt;35,"Building Name cannot be longer than 35 characters","")</f>
        <v/>
      </c>
      <c r="J70" s="87" t="str">
        <f>IF(LEN(J69)&gt;16,"Postal Code cannot be longer than 16 characters","")</f>
        <v/>
      </c>
      <c r="K70" s="87" t="str">
        <f>IF(OR(LEN(K69)&lt;1,LEN(K69)&gt;35),"Town Name must be between 1 and 35 characters long","")</f>
        <v>Town Name must be between 1 and 35 characters long</v>
      </c>
      <c r="L70" s="87" t="str">
        <f>IF(NOT(LEN(L69)=2),"Country Code must be 2 characters long","")</f>
        <v/>
      </c>
      <c r="M70" s="87" t="str">
        <f>IF(OR(LEN(M69)&lt;10,LEN(M69)&gt;34),"IBAN may be up to 34 characters long","")</f>
        <v>IBAN may be up to 34 characters long</v>
      </c>
      <c r="N70" s="87" t="str">
        <f>IF(ISBLANK(N69),"Code cannot be left blank","")</f>
        <v/>
      </c>
      <c r="O70" s="87" t="str">
        <f>IF(OR(LEN(O69)&lt;1,LEN(O69)&gt;140),"Transaction Details must be between 1 and 140 characters long","")</f>
        <v>Transaction Details must be between 1 and 140 characters long</v>
      </c>
      <c r="Q70" s="84" t="s">
        <v>12</v>
      </c>
    </row>
    <row r="71" spans="1:17">
      <c r="A71" s="48"/>
      <c r="B71" s="48"/>
      <c r="C71" s="48" t="s">
        <v>81</v>
      </c>
      <c r="D71" s="48"/>
      <c r="E71" s="48"/>
      <c r="F71" s="48"/>
      <c r="G71" s="48"/>
      <c r="H71" s="48"/>
      <c r="I71" s="48"/>
      <c r="J71" s="48"/>
      <c r="K71" s="48"/>
      <c r="L71" s="48" t="s">
        <v>146</v>
      </c>
      <c r="M71" s="48"/>
      <c r="N71" s="48" t="s">
        <v>43</v>
      </c>
      <c r="O71" s="48"/>
      <c r="Q71" s="5" t="s">
        <v>11</v>
      </c>
    </row>
    <row r="72" spans="1:17" s="88" customFormat="1" ht="36">
      <c r="A72" s="87" t="str">
        <f>IF(OR(LEN(A71)&lt;1,LEN(A71)&gt;35),"Transaction Identification must be between 1 and 35 characters long","")</f>
        <v>Transaction Identification must be between 1 and 35 characters long</v>
      </c>
      <c r="B72" s="87" t="str">
        <f>IF(OR(LEN(B71)&lt;1,LEN(B71)&gt;35),"Uniqie Identification must be between 1 and 35 characters long","")</f>
        <v>Uniqie Identification must be between 1 and 35 characters long</v>
      </c>
      <c r="C72" s="89"/>
      <c r="D72" s="87" t="str">
        <f>IF(OR(D71&lt;0.01,D71&gt;9999999999999990),"Transaction Amount is not valid","")</f>
        <v>Transaction Amount is not valid</v>
      </c>
      <c r="E72" s="87" t="str">
        <f>IF(AND(LEN(E71)&lt;&gt;8,LEN(E71)&lt;&gt;11),
    "BIC must be 8 or 11 characters long",
    IF(COUNTIF('Control Data (Hidden)'!$B$279:$B$335,E71)=0,
        "Warning: Is IBAN Valid?",
        ""
    )
)</f>
        <v>BIC must be 8 or 11 characters long</v>
      </c>
      <c r="F72" s="87" t="str">
        <f>IF(OR(LEN(F71)&lt;1,LEN(F71)&gt;70),"Creditor's Name must be between 1 and 70 characters long","")</f>
        <v>Creditor's Name must be between 1 and 70 characters long</v>
      </c>
      <c r="G72" s="87" t="str">
        <f>IF(LEN(G71)&gt;70,"Address cannot be longer than 70 characters","")</f>
        <v/>
      </c>
      <c r="H72" s="87" t="str">
        <f>IF(LEN(H71)&gt;16,"Building Number cannot be longer than 16 characters","")</f>
        <v/>
      </c>
      <c r="I72" s="87" t="str">
        <f>IF(LEN(I71)&gt;35,"Building Name cannot be longer than 35 characters","")</f>
        <v/>
      </c>
      <c r="J72" s="87" t="str">
        <f>IF(LEN(J71)&gt;16,"Postal Code cannot be longer than 16 characters","")</f>
        <v/>
      </c>
      <c r="K72" s="87" t="str">
        <f>IF(OR(LEN(K71)&lt;1,LEN(K71)&gt;35),"Town Name must be between 1 and 35 characters long","")</f>
        <v>Town Name must be between 1 and 35 characters long</v>
      </c>
      <c r="L72" s="87" t="str">
        <f>IF(NOT(LEN(L71)=2),"Country Code must be 2 characters long","")</f>
        <v/>
      </c>
      <c r="M72" s="87" t="str">
        <f>IF(OR(LEN(M71)&lt;10,LEN(M71)&gt;34),"IBAN may be up to 34 characters long","")</f>
        <v>IBAN may be up to 34 characters long</v>
      </c>
      <c r="N72" s="87" t="str">
        <f>IF(ISBLANK(N71),"Code cannot be left blank","")</f>
        <v/>
      </c>
      <c r="O72" s="87" t="str">
        <f>IF(OR(LEN(O71)&lt;1,LEN(O71)&gt;140),"Transaction Details must be between 1 and 140 characters long","")</f>
        <v>Transaction Details must be between 1 and 140 characters long</v>
      </c>
      <c r="Q72" s="84" t="s">
        <v>12</v>
      </c>
    </row>
    <row r="73" spans="1:17">
      <c r="A73" s="48"/>
      <c r="B73" s="48"/>
      <c r="C73" s="48" t="s">
        <v>81</v>
      </c>
      <c r="D73" s="48"/>
      <c r="E73" s="48"/>
      <c r="F73" s="48"/>
      <c r="G73" s="48"/>
      <c r="H73" s="48"/>
      <c r="I73" s="48"/>
      <c r="J73" s="48"/>
      <c r="K73" s="48"/>
      <c r="L73" s="48" t="s">
        <v>146</v>
      </c>
      <c r="M73" s="48"/>
      <c r="N73" s="48" t="s">
        <v>43</v>
      </c>
      <c r="O73" s="48"/>
      <c r="Q73" s="5" t="s">
        <v>11</v>
      </c>
    </row>
    <row r="74" spans="1:17" s="88" customFormat="1" ht="36">
      <c r="A74" s="87" t="str">
        <f>IF(OR(LEN(A73)&lt;1,LEN(A73)&gt;35),"Transaction Identification must be between 1 and 35 characters long","")</f>
        <v>Transaction Identification must be between 1 and 35 characters long</v>
      </c>
      <c r="B74" s="87" t="str">
        <f>IF(OR(LEN(B73)&lt;1,LEN(B73)&gt;35),"Uniqie Identification must be between 1 and 35 characters long","")</f>
        <v>Uniqie Identification must be between 1 and 35 characters long</v>
      </c>
      <c r="C74" s="89"/>
      <c r="D74" s="87" t="str">
        <f>IF(OR(D73&lt;0.01,D73&gt;9999999999999990),"Transaction Amount is not valid","")</f>
        <v>Transaction Amount is not valid</v>
      </c>
      <c r="E74" s="87" t="str">
        <f>IF(AND(LEN(E73)&lt;&gt;8,LEN(E73)&lt;&gt;11),
    "BIC must be 8 or 11 characters long",
    IF(COUNTIF('Control Data (Hidden)'!$B$279:$B$335,E73)=0,
        "Warning: Is IBAN Valid?",
        ""
    )
)</f>
        <v>BIC must be 8 or 11 characters long</v>
      </c>
      <c r="F74" s="87" t="str">
        <f>IF(OR(LEN(F73)&lt;1,LEN(F73)&gt;70),"Creditor's Name must be between 1 and 70 characters long","")</f>
        <v>Creditor's Name must be between 1 and 70 characters long</v>
      </c>
      <c r="G74" s="87" t="str">
        <f>IF(LEN(G73)&gt;70,"Address cannot be longer than 70 characters","")</f>
        <v/>
      </c>
      <c r="H74" s="87" t="str">
        <f>IF(LEN(H73)&gt;16,"Building Number cannot be longer than 16 characters","")</f>
        <v/>
      </c>
      <c r="I74" s="87" t="str">
        <f>IF(LEN(I73)&gt;35,"Building Name cannot be longer than 35 characters","")</f>
        <v/>
      </c>
      <c r="J74" s="87" t="str">
        <f>IF(LEN(J73)&gt;16,"Postal Code cannot be longer than 16 characters","")</f>
        <v/>
      </c>
      <c r="K74" s="87" t="str">
        <f>IF(OR(LEN(K73)&lt;1,LEN(K73)&gt;35),"Town Name must be between 1 and 35 characters long","")</f>
        <v>Town Name must be between 1 and 35 characters long</v>
      </c>
      <c r="L74" s="87" t="str">
        <f>IF(NOT(LEN(L73)=2),"Country Code must be 2 characters long","")</f>
        <v/>
      </c>
      <c r="M74" s="87" t="str">
        <f>IF(OR(LEN(M73)&lt;10,LEN(M73)&gt;34),"IBAN may be up to 34 characters long","")</f>
        <v>IBAN may be up to 34 characters long</v>
      </c>
      <c r="N74" s="87" t="str">
        <f>IF(ISBLANK(N73),"Code cannot be left blank","")</f>
        <v/>
      </c>
      <c r="O74" s="87" t="str">
        <f>IF(OR(LEN(O73)&lt;1,LEN(O73)&gt;140),"Transaction Details must be between 1 and 140 characters long","")</f>
        <v>Transaction Details must be between 1 and 140 characters long</v>
      </c>
      <c r="Q74" s="84" t="s">
        <v>12</v>
      </c>
    </row>
    <row r="75" spans="1:17">
      <c r="A75" s="48"/>
      <c r="B75" s="48"/>
      <c r="C75" s="48" t="s">
        <v>81</v>
      </c>
      <c r="D75" s="48"/>
      <c r="E75" s="48"/>
      <c r="F75" s="48"/>
      <c r="G75" s="48"/>
      <c r="H75" s="48"/>
      <c r="I75" s="48"/>
      <c r="J75" s="48"/>
      <c r="K75" s="48"/>
      <c r="L75" s="48" t="s">
        <v>146</v>
      </c>
      <c r="M75" s="48"/>
      <c r="N75" s="48" t="s">
        <v>43</v>
      </c>
      <c r="O75" s="48"/>
      <c r="Q75" s="5" t="s">
        <v>11</v>
      </c>
    </row>
    <row r="76" spans="1:17" s="88" customFormat="1" ht="36">
      <c r="A76" s="87" t="str">
        <f>IF(OR(LEN(A75)&lt;1,LEN(A75)&gt;35),"Transaction Identification must be between 1 and 35 characters long","")</f>
        <v>Transaction Identification must be between 1 and 35 characters long</v>
      </c>
      <c r="B76" s="87" t="str">
        <f>IF(OR(LEN(B75)&lt;1,LEN(B75)&gt;35),"Uniqie Identification must be between 1 and 35 characters long","")</f>
        <v>Uniqie Identification must be between 1 and 35 characters long</v>
      </c>
      <c r="C76" s="89"/>
      <c r="D76" s="87" t="str">
        <f>IF(OR(D75&lt;0.01,D75&gt;9999999999999990),"Transaction Amount is not valid","")</f>
        <v>Transaction Amount is not valid</v>
      </c>
      <c r="E76" s="87" t="str">
        <f>IF(AND(LEN(E75)&lt;&gt;8,LEN(E75)&lt;&gt;11),
    "BIC must be 8 or 11 characters long",
    IF(COUNTIF('Control Data (Hidden)'!$B$279:$B$335,E75)=0,
        "Warning: Is IBAN Valid?",
        ""
    )
)</f>
        <v>BIC must be 8 or 11 characters long</v>
      </c>
      <c r="F76" s="87" t="str">
        <f>IF(OR(LEN(F75)&lt;1,LEN(F75)&gt;70),"Creditor's Name must be between 1 and 70 characters long","")</f>
        <v>Creditor's Name must be between 1 and 70 characters long</v>
      </c>
      <c r="G76" s="87" t="str">
        <f>IF(LEN(G75)&gt;70,"Address cannot be longer than 70 characters","")</f>
        <v/>
      </c>
      <c r="H76" s="87" t="str">
        <f>IF(LEN(H75)&gt;16,"Building Number cannot be longer than 16 characters","")</f>
        <v/>
      </c>
      <c r="I76" s="87" t="str">
        <f>IF(LEN(I75)&gt;35,"Building Name cannot be longer than 35 characters","")</f>
        <v/>
      </c>
      <c r="J76" s="87" t="str">
        <f>IF(LEN(J75)&gt;16,"Postal Code cannot be longer than 16 characters","")</f>
        <v/>
      </c>
      <c r="K76" s="87" t="str">
        <f>IF(OR(LEN(K75)&lt;1,LEN(K75)&gt;35),"Town Name must be between 1 and 35 characters long","")</f>
        <v>Town Name must be between 1 and 35 characters long</v>
      </c>
      <c r="L76" s="87" t="str">
        <f>IF(NOT(LEN(L75)=2),"Country Code must be 2 characters long","")</f>
        <v/>
      </c>
      <c r="M76" s="87" t="str">
        <f>IF(OR(LEN(M75)&lt;10,LEN(M75)&gt;34),"IBAN may be up to 34 characters long","")</f>
        <v>IBAN may be up to 34 characters long</v>
      </c>
      <c r="N76" s="87" t="str">
        <f>IF(ISBLANK(N75),"Code cannot be left blank","")</f>
        <v/>
      </c>
      <c r="O76" s="87" t="str">
        <f>IF(OR(LEN(O75)&lt;1,LEN(O75)&gt;140),"Transaction Details must be between 1 and 140 characters long","")</f>
        <v>Transaction Details must be between 1 and 140 characters long</v>
      </c>
      <c r="Q76" s="84" t="s">
        <v>12</v>
      </c>
    </row>
    <row r="77" spans="1:17">
      <c r="A77" s="48"/>
      <c r="B77" s="48"/>
      <c r="C77" s="48" t="s">
        <v>81</v>
      </c>
      <c r="D77" s="48"/>
      <c r="E77" s="48"/>
      <c r="F77" s="48"/>
      <c r="G77" s="48"/>
      <c r="H77" s="48"/>
      <c r="I77" s="48"/>
      <c r="J77" s="48"/>
      <c r="K77" s="48"/>
      <c r="L77" s="48" t="s">
        <v>146</v>
      </c>
      <c r="M77" s="48"/>
      <c r="N77" s="48" t="s">
        <v>43</v>
      </c>
      <c r="O77" s="48"/>
      <c r="Q77" s="5" t="s">
        <v>11</v>
      </c>
    </row>
    <row r="78" spans="1:17" s="88" customFormat="1" ht="36">
      <c r="A78" s="87" t="str">
        <f>IF(OR(LEN(A77)&lt;1,LEN(A77)&gt;35),"Transaction Identification must be between 1 and 35 characters long","")</f>
        <v>Transaction Identification must be between 1 and 35 characters long</v>
      </c>
      <c r="B78" s="87" t="str">
        <f>IF(OR(LEN(B77)&lt;1,LEN(B77)&gt;35),"Uniqie Identification must be between 1 and 35 characters long","")</f>
        <v>Uniqie Identification must be between 1 and 35 characters long</v>
      </c>
      <c r="C78" s="89"/>
      <c r="D78" s="87" t="str">
        <f>IF(OR(D77&lt;0.01,D77&gt;9999999999999990),"Transaction Amount is not valid","")</f>
        <v>Transaction Amount is not valid</v>
      </c>
      <c r="E78" s="87" t="str">
        <f>IF(AND(LEN(E77)&lt;&gt;8,LEN(E77)&lt;&gt;11),
    "BIC must be 8 or 11 characters long",
    IF(COUNTIF('Control Data (Hidden)'!$B$279:$B$335,E77)=0,
        "Warning: Is IBAN Valid?",
        ""
    )
)</f>
        <v>BIC must be 8 or 11 characters long</v>
      </c>
      <c r="F78" s="87" t="str">
        <f>IF(OR(LEN(F77)&lt;1,LEN(F77)&gt;70),"Creditor's Name must be between 1 and 70 characters long","")</f>
        <v>Creditor's Name must be between 1 and 70 characters long</v>
      </c>
      <c r="G78" s="87" t="str">
        <f>IF(LEN(G77)&gt;70,"Address cannot be longer than 70 characters","")</f>
        <v/>
      </c>
      <c r="H78" s="87" t="str">
        <f>IF(LEN(H77)&gt;16,"Building Number cannot be longer than 16 characters","")</f>
        <v/>
      </c>
      <c r="I78" s="87" t="str">
        <f>IF(LEN(I77)&gt;35,"Building Name cannot be longer than 35 characters","")</f>
        <v/>
      </c>
      <c r="J78" s="87" t="str">
        <f>IF(LEN(J77)&gt;16,"Postal Code cannot be longer than 16 characters","")</f>
        <v/>
      </c>
      <c r="K78" s="87" t="str">
        <f>IF(OR(LEN(K77)&lt;1,LEN(K77)&gt;35),"Town Name must be between 1 and 35 characters long","")</f>
        <v>Town Name must be between 1 and 35 characters long</v>
      </c>
      <c r="L78" s="87" t="str">
        <f>IF(NOT(LEN(L77)=2),"Country Code must be 2 characters long","")</f>
        <v/>
      </c>
      <c r="M78" s="87" t="str">
        <f>IF(OR(LEN(M77)&lt;10,LEN(M77)&gt;34),"IBAN may be up to 34 characters long","")</f>
        <v>IBAN may be up to 34 characters long</v>
      </c>
      <c r="N78" s="87" t="str">
        <f>IF(ISBLANK(N77),"Code cannot be left blank","")</f>
        <v/>
      </c>
      <c r="O78" s="87" t="str">
        <f>IF(OR(LEN(O77)&lt;1,LEN(O77)&gt;140),"Transaction Details must be between 1 and 140 characters long","")</f>
        <v>Transaction Details must be between 1 and 140 characters long</v>
      </c>
      <c r="Q78" s="84" t="s">
        <v>12</v>
      </c>
    </row>
    <row r="79" spans="1:17">
      <c r="A79" s="48"/>
      <c r="B79" s="48"/>
      <c r="C79" s="48" t="s">
        <v>81</v>
      </c>
      <c r="D79" s="48"/>
      <c r="E79" s="48"/>
      <c r="F79" s="48"/>
      <c r="G79" s="48"/>
      <c r="H79" s="48"/>
      <c r="I79" s="48"/>
      <c r="J79" s="48"/>
      <c r="K79" s="48"/>
      <c r="L79" s="48" t="s">
        <v>146</v>
      </c>
      <c r="M79" s="48"/>
      <c r="N79" s="48" t="s">
        <v>43</v>
      </c>
      <c r="O79" s="48"/>
      <c r="Q79" s="5" t="s">
        <v>11</v>
      </c>
    </row>
    <row r="80" spans="1:17" s="88" customFormat="1" ht="36">
      <c r="A80" s="87" t="str">
        <f>IF(OR(LEN(A79)&lt;1,LEN(A79)&gt;35),"Transaction Identification must be between 1 and 35 characters long","")</f>
        <v>Transaction Identification must be between 1 and 35 characters long</v>
      </c>
      <c r="B80" s="87" t="str">
        <f>IF(OR(LEN(B79)&lt;1,LEN(B79)&gt;35),"Uniqie Identification must be between 1 and 35 characters long","")</f>
        <v>Uniqie Identification must be between 1 and 35 characters long</v>
      </c>
      <c r="C80" s="89"/>
      <c r="D80" s="87" t="str">
        <f>IF(OR(D79&lt;0.01,D79&gt;9999999999999990),"Transaction Amount is not valid","")</f>
        <v>Transaction Amount is not valid</v>
      </c>
      <c r="E80" s="87" t="str">
        <f>IF(AND(LEN(E79)&lt;&gt;8,LEN(E79)&lt;&gt;11),
    "BIC must be 8 or 11 characters long",
    IF(COUNTIF('Control Data (Hidden)'!$B$279:$B$335,E79)=0,
        "Warning: Is IBAN Valid?",
        ""
    )
)</f>
        <v>BIC must be 8 or 11 characters long</v>
      </c>
      <c r="F80" s="87" t="str">
        <f>IF(OR(LEN(F79)&lt;1,LEN(F79)&gt;70),"Creditor's Name must be between 1 and 70 characters long","")</f>
        <v>Creditor's Name must be between 1 and 70 characters long</v>
      </c>
      <c r="G80" s="87" t="str">
        <f>IF(LEN(G79)&gt;70,"Address cannot be longer than 70 characters","")</f>
        <v/>
      </c>
      <c r="H80" s="87" t="str">
        <f>IF(LEN(H79)&gt;16,"Building Number cannot be longer than 16 characters","")</f>
        <v/>
      </c>
      <c r="I80" s="87" t="str">
        <f>IF(LEN(I79)&gt;35,"Building Name cannot be longer than 35 characters","")</f>
        <v/>
      </c>
      <c r="J80" s="87" t="str">
        <f>IF(LEN(J79)&gt;16,"Postal Code cannot be longer than 16 characters","")</f>
        <v/>
      </c>
      <c r="K80" s="87" t="str">
        <f>IF(OR(LEN(K79)&lt;1,LEN(K79)&gt;35),"Town Name must be between 1 and 35 characters long","")</f>
        <v>Town Name must be between 1 and 35 characters long</v>
      </c>
      <c r="L80" s="87" t="str">
        <f>IF(NOT(LEN(L79)=2),"Country Code must be 2 characters long","")</f>
        <v/>
      </c>
      <c r="M80" s="87" t="str">
        <f>IF(OR(LEN(M79)&lt;10,LEN(M79)&gt;34),"IBAN may be up to 34 characters long","")</f>
        <v>IBAN may be up to 34 characters long</v>
      </c>
      <c r="N80" s="87" t="str">
        <f>IF(ISBLANK(N79),"Code cannot be left blank","")</f>
        <v/>
      </c>
      <c r="O80" s="87" t="str">
        <f>IF(OR(LEN(O79)&lt;1,LEN(O79)&gt;140),"Transaction Details must be between 1 and 140 characters long","")</f>
        <v>Transaction Details must be between 1 and 140 characters long</v>
      </c>
      <c r="Q80" s="84" t="s">
        <v>12</v>
      </c>
    </row>
    <row r="81" spans="1:17">
      <c r="A81" s="48"/>
      <c r="B81" s="48"/>
      <c r="C81" s="48" t="s">
        <v>81</v>
      </c>
      <c r="D81" s="48"/>
      <c r="E81" s="48"/>
      <c r="F81" s="48"/>
      <c r="G81" s="48"/>
      <c r="H81" s="48"/>
      <c r="I81" s="48"/>
      <c r="J81" s="48"/>
      <c r="K81" s="48"/>
      <c r="L81" s="48" t="s">
        <v>146</v>
      </c>
      <c r="M81" s="48"/>
      <c r="N81" s="48" t="s">
        <v>43</v>
      </c>
      <c r="O81" s="48"/>
      <c r="Q81" s="5" t="s">
        <v>11</v>
      </c>
    </row>
    <row r="82" spans="1:17" s="88" customFormat="1" ht="36">
      <c r="A82" s="87" t="str">
        <f>IF(OR(LEN(A81)&lt;1,LEN(A81)&gt;35),"Transaction Identification must be between 1 and 35 characters long","")</f>
        <v>Transaction Identification must be between 1 and 35 characters long</v>
      </c>
      <c r="B82" s="87" t="str">
        <f>IF(OR(LEN(B81)&lt;1,LEN(B81)&gt;35),"Uniqie Identification must be between 1 and 35 characters long","")</f>
        <v>Uniqie Identification must be between 1 and 35 characters long</v>
      </c>
      <c r="C82" s="89"/>
      <c r="D82" s="87" t="str">
        <f>IF(OR(D81&lt;0.01,D81&gt;9999999999999990),"Transaction Amount is not valid","")</f>
        <v>Transaction Amount is not valid</v>
      </c>
      <c r="E82" s="87" t="str">
        <f>IF(AND(LEN(E81)&lt;&gt;8,LEN(E81)&lt;&gt;11),
    "BIC must be 8 or 11 characters long",
    IF(COUNTIF('Control Data (Hidden)'!$B$279:$B$335,E81)=0,
        "Warning: Is IBAN Valid?",
        ""
    )
)</f>
        <v>BIC must be 8 or 11 characters long</v>
      </c>
      <c r="F82" s="87" t="str">
        <f>IF(OR(LEN(F81)&lt;1,LEN(F81)&gt;70),"Creditor's Name must be between 1 and 70 characters long","")</f>
        <v>Creditor's Name must be between 1 and 70 characters long</v>
      </c>
      <c r="G82" s="87" t="str">
        <f>IF(LEN(G81)&gt;70,"Address cannot be longer than 70 characters","")</f>
        <v/>
      </c>
      <c r="H82" s="87" t="str">
        <f>IF(LEN(H81)&gt;16,"Building Number cannot be longer than 16 characters","")</f>
        <v/>
      </c>
      <c r="I82" s="87" t="str">
        <f>IF(LEN(I81)&gt;35,"Building Name cannot be longer than 35 characters","")</f>
        <v/>
      </c>
      <c r="J82" s="87" t="str">
        <f>IF(LEN(J81)&gt;16,"Postal Code cannot be longer than 16 characters","")</f>
        <v/>
      </c>
      <c r="K82" s="87" t="str">
        <f>IF(OR(LEN(K81)&lt;1,LEN(K81)&gt;35),"Town Name must be between 1 and 35 characters long","")</f>
        <v>Town Name must be between 1 and 35 characters long</v>
      </c>
      <c r="L82" s="87" t="str">
        <f>IF(NOT(LEN(L81)=2),"Country Code must be 2 characters long","")</f>
        <v/>
      </c>
      <c r="M82" s="87" t="str">
        <f>IF(OR(LEN(M81)&lt;10,LEN(M81)&gt;34),"IBAN may be up to 34 characters long","")</f>
        <v>IBAN may be up to 34 characters long</v>
      </c>
      <c r="N82" s="87" t="str">
        <f>IF(ISBLANK(N81),"Code cannot be left blank","")</f>
        <v/>
      </c>
      <c r="O82" s="87" t="str">
        <f>IF(OR(LEN(O81)&lt;1,LEN(O81)&gt;140),"Transaction Details must be between 1 and 140 characters long","")</f>
        <v>Transaction Details must be between 1 and 140 characters long</v>
      </c>
      <c r="Q82" s="84" t="s">
        <v>12</v>
      </c>
    </row>
    <row r="83" spans="1:17">
      <c r="A83" s="48"/>
      <c r="B83" s="48"/>
      <c r="C83" s="48" t="s">
        <v>81</v>
      </c>
      <c r="D83" s="48"/>
      <c r="E83" s="48"/>
      <c r="F83" s="48"/>
      <c r="G83" s="48"/>
      <c r="H83" s="48"/>
      <c r="I83" s="48"/>
      <c r="J83" s="48"/>
      <c r="K83" s="48"/>
      <c r="L83" s="48" t="s">
        <v>146</v>
      </c>
      <c r="M83" s="48"/>
      <c r="N83" s="48" t="s">
        <v>43</v>
      </c>
      <c r="O83" s="48"/>
      <c r="Q83" s="5" t="s">
        <v>11</v>
      </c>
    </row>
    <row r="84" spans="1:17" s="88" customFormat="1" ht="36">
      <c r="A84" s="87" t="str">
        <f>IF(OR(LEN(A83)&lt;1,LEN(A83)&gt;35),"Transaction Identification must be between 1 and 35 characters long","")</f>
        <v>Transaction Identification must be between 1 and 35 characters long</v>
      </c>
      <c r="B84" s="87" t="str">
        <f>IF(OR(LEN(B83)&lt;1,LEN(B83)&gt;35),"Uniqie Identification must be between 1 and 35 characters long","")</f>
        <v>Uniqie Identification must be between 1 and 35 characters long</v>
      </c>
      <c r="C84" s="89"/>
      <c r="D84" s="87" t="str">
        <f>IF(OR(D83&lt;0.01,D83&gt;9999999999999990),"Transaction Amount is not valid","")</f>
        <v>Transaction Amount is not valid</v>
      </c>
      <c r="E84" s="87" t="str">
        <f>IF(AND(LEN(E83)&lt;&gt;8,LEN(E83)&lt;&gt;11),
    "BIC must be 8 or 11 characters long",
    IF(COUNTIF('Control Data (Hidden)'!$B$279:$B$335,E83)=0,
        "Warning: Is IBAN Valid?",
        ""
    )
)</f>
        <v>BIC must be 8 or 11 characters long</v>
      </c>
      <c r="F84" s="87" t="str">
        <f>IF(OR(LEN(F83)&lt;1,LEN(F83)&gt;70),"Creditor's Name must be between 1 and 70 characters long","")</f>
        <v>Creditor's Name must be between 1 and 70 characters long</v>
      </c>
      <c r="G84" s="87" t="str">
        <f>IF(LEN(G83)&gt;70,"Address cannot be longer than 70 characters","")</f>
        <v/>
      </c>
      <c r="H84" s="87" t="str">
        <f>IF(LEN(H83)&gt;16,"Building Number cannot be longer than 16 characters","")</f>
        <v/>
      </c>
      <c r="I84" s="87" t="str">
        <f>IF(LEN(I83)&gt;35,"Building Name cannot be longer than 35 characters","")</f>
        <v/>
      </c>
      <c r="J84" s="87" t="str">
        <f>IF(LEN(J83)&gt;16,"Postal Code cannot be longer than 16 characters","")</f>
        <v/>
      </c>
      <c r="K84" s="87" t="str">
        <f>IF(OR(LEN(K83)&lt;1,LEN(K83)&gt;35),"Town Name must be between 1 and 35 characters long","")</f>
        <v>Town Name must be between 1 and 35 characters long</v>
      </c>
      <c r="L84" s="87" t="str">
        <f>IF(NOT(LEN(L83)=2),"Country Code must be 2 characters long","")</f>
        <v/>
      </c>
      <c r="M84" s="87" t="str">
        <f>IF(OR(LEN(M83)&lt;10,LEN(M83)&gt;34),"IBAN may be up to 34 characters long","")</f>
        <v>IBAN may be up to 34 characters long</v>
      </c>
      <c r="N84" s="87" t="str">
        <f>IF(ISBLANK(N83),"Code cannot be left blank","")</f>
        <v/>
      </c>
      <c r="O84" s="87" t="str">
        <f>IF(OR(LEN(O83)&lt;1,LEN(O83)&gt;140),"Transaction Details must be between 1 and 140 characters long","")</f>
        <v>Transaction Details must be between 1 and 140 characters long</v>
      </c>
      <c r="Q84" s="84" t="s">
        <v>12</v>
      </c>
    </row>
    <row r="85" spans="1:17">
      <c r="A85" s="48"/>
      <c r="B85" s="48"/>
      <c r="C85" s="48" t="s">
        <v>81</v>
      </c>
      <c r="D85" s="48"/>
      <c r="E85" s="48"/>
      <c r="F85" s="48"/>
      <c r="G85" s="48"/>
      <c r="H85" s="48"/>
      <c r="I85" s="48"/>
      <c r="J85" s="48"/>
      <c r="K85" s="48"/>
      <c r="L85" s="48" t="s">
        <v>146</v>
      </c>
      <c r="M85" s="48"/>
      <c r="N85" s="48" t="s">
        <v>43</v>
      </c>
      <c r="O85" s="48"/>
      <c r="Q85" s="5" t="s">
        <v>11</v>
      </c>
    </row>
    <row r="86" spans="1:17" s="88" customFormat="1" ht="36">
      <c r="A86" s="87" t="str">
        <f>IF(OR(LEN(A85)&lt;1,LEN(A85)&gt;35),"Transaction Identification must be between 1 and 35 characters long","")</f>
        <v>Transaction Identification must be between 1 and 35 characters long</v>
      </c>
      <c r="B86" s="87" t="str">
        <f>IF(OR(LEN(B85)&lt;1,LEN(B85)&gt;35),"Uniqie Identification must be between 1 and 35 characters long","")</f>
        <v>Uniqie Identification must be between 1 and 35 characters long</v>
      </c>
      <c r="C86" s="89"/>
      <c r="D86" s="87" t="str">
        <f>IF(OR(D85&lt;0.01,D85&gt;9999999999999990),"Transaction Amount is not valid","")</f>
        <v>Transaction Amount is not valid</v>
      </c>
      <c r="E86" s="87" t="str">
        <f>IF(AND(LEN(E85)&lt;&gt;8,LEN(E85)&lt;&gt;11),
    "BIC must be 8 or 11 characters long",
    IF(COUNTIF('Control Data (Hidden)'!$B$279:$B$335,E85)=0,
        "Warning: Is IBAN Valid?",
        ""
    )
)</f>
        <v>BIC must be 8 or 11 characters long</v>
      </c>
      <c r="F86" s="87" t="str">
        <f>IF(OR(LEN(F85)&lt;1,LEN(F85)&gt;70),"Creditor's Name must be between 1 and 70 characters long","")</f>
        <v>Creditor's Name must be between 1 and 70 characters long</v>
      </c>
      <c r="G86" s="87" t="str">
        <f>IF(LEN(G85)&gt;70,"Address cannot be longer than 70 characters","")</f>
        <v/>
      </c>
      <c r="H86" s="87" t="str">
        <f>IF(LEN(H85)&gt;16,"Building Number cannot be longer than 16 characters","")</f>
        <v/>
      </c>
      <c r="I86" s="87" t="str">
        <f>IF(LEN(I85)&gt;35,"Building Name cannot be longer than 35 characters","")</f>
        <v/>
      </c>
      <c r="J86" s="87" t="str">
        <f>IF(LEN(J85)&gt;16,"Postal Code cannot be longer than 16 characters","")</f>
        <v/>
      </c>
      <c r="K86" s="87" t="str">
        <f>IF(OR(LEN(K85)&lt;1,LEN(K85)&gt;35),"Town Name must be between 1 and 35 characters long","")</f>
        <v>Town Name must be between 1 and 35 characters long</v>
      </c>
      <c r="L86" s="87" t="str">
        <f>IF(NOT(LEN(L85)=2),"Country Code must be 2 characters long","")</f>
        <v/>
      </c>
      <c r="M86" s="87" t="str">
        <f>IF(OR(LEN(M85)&lt;10,LEN(M85)&gt;34),"IBAN may be up to 34 characters long","")</f>
        <v>IBAN may be up to 34 characters long</v>
      </c>
      <c r="N86" s="87" t="str">
        <f>IF(ISBLANK(N85),"Code cannot be left blank","")</f>
        <v/>
      </c>
      <c r="O86" s="87" t="str">
        <f>IF(OR(LEN(O85)&lt;1,LEN(O85)&gt;140),"Transaction Details must be between 1 and 140 characters long","")</f>
        <v>Transaction Details must be between 1 and 140 characters long</v>
      </c>
      <c r="Q86" s="84" t="s">
        <v>12</v>
      </c>
    </row>
    <row r="87" spans="1:17">
      <c r="A87" s="48"/>
      <c r="B87" s="48"/>
      <c r="C87" s="48" t="s">
        <v>81</v>
      </c>
      <c r="D87" s="48"/>
      <c r="E87" s="48"/>
      <c r="F87" s="48"/>
      <c r="G87" s="48"/>
      <c r="H87" s="48"/>
      <c r="I87" s="48"/>
      <c r="J87" s="48"/>
      <c r="K87" s="48"/>
      <c r="L87" s="48" t="s">
        <v>146</v>
      </c>
      <c r="M87" s="48"/>
      <c r="N87" s="48" t="s">
        <v>43</v>
      </c>
      <c r="O87" s="48"/>
      <c r="Q87" s="5" t="s">
        <v>11</v>
      </c>
    </row>
    <row r="88" spans="1:17" s="88" customFormat="1" ht="36">
      <c r="A88" s="87" t="str">
        <f>IF(OR(LEN(A87)&lt;1,LEN(A87)&gt;35),"Transaction Identification must be between 1 and 35 characters long","")</f>
        <v>Transaction Identification must be between 1 and 35 characters long</v>
      </c>
      <c r="B88" s="87" t="str">
        <f>IF(OR(LEN(B87)&lt;1,LEN(B87)&gt;35),"Uniqie Identification must be between 1 and 35 characters long","")</f>
        <v>Uniqie Identification must be between 1 and 35 characters long</v>
      </c>
      <c r="C88" s="89"/>
      <c r="D88" s="87" t="str">
        <f>IF(OR(D87&lt;0.01,D87&gt;9999999999999990),"Transaction Amount is not valid","")</f>
        <v>Transaction Amount is not valid</v>
      </c>
      <c r="E88" s="87" t="str">
        <f>IF(AND(LEN(E87)&lt;&gt;8,LEN(E87)&lt;&gt;11),
    "BIC must be 8 or 11 characters long",
    IF(COUNTIF('Control Data (Hidden)'!$B$279:$B$335,E87)=0,
        "Warning: Is IBAN Valid?",
        ""
    )
)</f>
        <v>BIC must be 8 or 11 characters long</v>
      </c>
      <c r="F88" s="87" t="str">
        <f>IF(OR(LEN(F87)&lt;1,LEN(F87)&gt;70),"Creditor's Name must be between 1 and 70 characters long","")</f>
        <v>Creditor's Name must be between 1 and 70 characters long</v>
      </c>
      <c r="G88" s="87" t="str">
        <f>IF(LEN(G87)&gt;70,"Address cannot be longer than 70 characters","")</f>
        <v/>
      </c>
      <c r="H88" s="87" t="str">
        <f>IF(LEN(H87)&gt;16,"Building Number cannot be longer than 16 characters","")</f>
        <v/>
      </c>
      <c r="I88" s="87" t="str">
        <f>IF(LEN(I87)&gt;35,"Building Name cannot be longer than 35 characters","")</f>
        <v/>
      </c>
      <c r="J88" s="87" t="str">
        <f>IF(LEN(J87)&gt;16,"Postal Code cannot be longer than 16 characters","")</f>
        <v/>
      </c>
      <c r="K88" s="87" t="str">
        <f>IF(OR(LEN(K87)&lt;1,LEN(K87)&gt;35),"Town Name must be between 1 and 35 characters long","")</f>
        <v>Town Name must be between 1 and 35 characters long</v>
      </c>
      <c r="L88" s="87" t="str">
        <f>IF(NOT(LEN(L87)=2),"Country Code must be 2 characters long","")</f>
        <v/>
      </c>
      <c r="M88" s="87" t="str">
        <f>IF(OR(LEN(M87)&lt;10,LEN(M87)&gt;34),"IBAN may be up to 34 characters long","")</f>
        <v>IBAN may be up to 34 characters long</v>
      </c>
      <c r="N88" s="87" t="str">
        <f>IF(ISBLANK(N87),"Code cannot be left blank","")</f>
        <v/>
      </c>
      <c r="O88" s="87" t="str">
        <f>IF(OR(LEN(O87)&lt;1,LEN(O87)&gt;140),"Transaction Details must be between 1 and 140 characters long","")</f>
        <v>Transaction Details must be between 1 and 140 characters long</v>
      </c>
      <c r="Q88" s="84" t="s">
        <v>12</v>
      </c>
    </row>
    <row r="89" spans="1:17">
      <c r="A89" s="48"/>
      <c r="B89" s="48"/>
      <c r="C89" s="48" t="s">
        <v>81</v>
      </c>
      <c r="D89" s="48"/>
      <c r="E89" s="48"/>
      <c r="F89" s="48"/>
      <c r="G89" s="48"/>
      <c r="H89" s="48"/>
      <c r="I89" s="48"/>
      <c r="J89" s="48"/>
      <c r="K89" s="48"/>
      <c r="L89" s="48" t="s">
        <v>146</v>
      </c>
      <c r="M89" s="48"/>
      <c r="N89" s="48" t="s">
        <v>43</v>
      </c>
      <c r="O89" s="48"/>
      <c r="Q89" s="5" t="s">
        <v>11</v>
      </c>
    </row>
    <row r="90" spans="1:17" s="88" customFormat="1" ht="36">
      <c r="A90" s="87" t="str">
        <f>IF(OR(LEN(A89)&lt;1,LEN(A89)&gt;35),"Transaction Identification must be between 1 and 35 characters long","")</f>
        <v>Transaction Identification must be between 1 and 35 characters long</v>
      </c>
      <c r="B90" s="87" t="str">
        <f>IF(OR(LEN(B89)&lt;1,LEN(B89)&gt;35),"Uniqie Identification must be between 1 and 35 characters long","")</f>
        <v>Uniqie Identification must be between 1 and 35 characters long</v>
      </c>
      <c r="C90" s="89"/>
      <c r="D90" s="87" t="str">
        <f>IF(OR(D89&lt;0.01,D89&gt;9999999999999990),"Transaction Amount is not valid","")</f>
        <v>Transaction Amount is not valid</v>
      </c>
      <c r="E90" s="87" t="str">
        <f>IF(AND(LEN(E89)&lt;&gt;8,LEN(E89)&lt;&gt;11),
    "BIC must be 8 or 11 characters long",
    IF(COUNTIF('Control Data (Hidden)'!$B$279:$B$335,E89)=0,
        "Warning: Is IBAN Valid?",
        ""
    )
)</f>
        <v>BIC must be 8 or 11 characters long</v>
      </c>
      <c r="F90" s="87" t="str">
        <f>IF(OR(LEN(F89)&lt;1,LEN(F89)&gt;70),"Creditor's Name must be between 1 and 70 characters long","")</f>
        <v>Creditor's Name must be between 1 and 70 characters long</v>
      </c>
      <c r="G90" s="87" t="str">
        <f>IF(LEN(G89)&gt;70,"Address cannot be longer than 70 characters","")</f>
        <v/>
      </c>
      <c r="H90" s="87" t="str">
        <f>IF(LEN(H89)&gt;16,"Building Number cannot be longer than 16 characters","")</f>
        <v/>
      </c>
      <c r="I90" s="87" t="str">
        <f>IF(LEN(I89)&gt;35,"Building Name cannot be longer than 35 characters","")</f>
        <v/>
      </c>
      <c r="J90" s="87" t="str">
        <f>IF(LEN(J89)&gt;16,"Postal Code cannot be longer than 16 characters","")</f>
        <v/>
      </c>
      <c r="K90" s="87" t="str">
        <f>IF(OR(LEN(K89)&lt;1,LEN(K89)&gt;35),"Town Name must be between 1 and 35 characters long","")</f>
        <v>Town Name must be between 1 and 35 characters long</v>
      </c>
      <c r="L90" s="87" t="str">
        <f>IF(NOT(LEN(L89)=2),"Country Code must be 2 characters long","")</f>
        <v/>
      </c>
      <c r="M90" s="87" t="str">
        <f>IF(OR(LEN(M89)&lt;10,LEN(M89)&gt;34),"IBAN may be up to 34 characters long","")</f>
        <v>IBAN may be up to 34 characters long</v>
      </c>
      <c r="N90" s="87" t="str">
        <f>IF(ISBLANK(N89),"Code cannot be left blank","")</f>
        <v/>
      </c>
      <c r="O90" s="87" t="str">
        <f>IF(OR(LEN(O89)&lt;1,LEN(O89)&gt;140),"Transaction Details must be between 1 and 140 characters long","")</f>
        <v>Transaction Details must be between 1 and 140 characters long</v>
      </c>
      <c r="Q90" s="84" t="s">
        <v>12</v>
      </c>
    </row>
    <row r="91" spans="1:17">
      <c r="A91" s="48"/>
      <c r="B91" s="48"/>
      <c r="C91" s="48" t="s">
        <v>81</v>
      </c>
      <c r="D91" s="48"/>
      <c r="E91" s="48"/>
      <c r="F91" s="48"/>
      <c r="G91" s="48"/>
      <c r="H91" s="48"/>
      <c r="I91" s="48"/>
      <c r="J91" s="48"/>
      <c r="K91" s="48"/>
      <c r="L91" s="48" t="s">
        <v>146</v>
      </c>
      <c r="M91" s="48"/>
      <c r="N91" s="48" t="s">
        <v>43</v>
      </c>
      <c r="O91" s="48"/>
      <c r="Q91" s="5" t="s">
        <v>11</v>
      </c>
    </row>
    <row r="92" spans="1:17" s="88" customFormat="1" ht="36">
      <c r="A92" s="87" t="str">
        <f>IF(OR(LEN(A91)&lt;1,LEN(A91)&gt;35),"Transaction Identification must be between 1 and 35 characters long","")</f>
        <v>Transaction Identification must be between 1 and 35 characters long</v>
      </c>
      <c r="B92" s="87" t="str">
        <f>IF(OR(LEN(B91)&lt;1,LEN(B91)&gt;35),"Uniqie Identification must be between 1 and 35 characters long","")</f>
        <v>Uniqie Identification must be between 1 and 35 characters long</v>
      </c>
      <c r="C92" s="89"/>
      <c r="D92" s="87" t="str">
        <f>IF(OR(D91&lt;0.01,D91&gt;9999999999999990),"Transaction Amount is not valid","")</f>
        <v>Transaction Amount is not valid</v>
      </c>
      <c r="E92" s="87" t="str">
        <f>IF(AND(LEN(E91)&lt;&gt;8,LEN(E91)&lt;&gt;11),
    "BIC must be 8 or 11 characters long",
    IF(COUNTIF('Control Data (Hidden)'!$B$279:$B$335,E91)=0,
        "Warning: Is IBAN Valid?",
        ""
    )
)</f>
        <v>BIC must be 8 or 11 characters long</v>
      </c>
      <c r="F92" s="87" t="str">
        <f>IF(OR(LEN(F91)&lt;1,LEN(F91)&gt;70),"Creditor's Name must be between 1 and 70 characters long","")</f>
        <v>Creditor's Name must be between 1 and 70 characters long</v>
      </c>
      <c r="G92" s="87" t="str">
        <f>IF(LEN(G91)&gt;70,"Address cannot be longer than 70 characters","")</f>
        <v/>
      </c>
      <c r="H92" s="87" t="str">
        <f>IF(LEN(H91)&gt;16,"Building Number cannot be longer than 16 characters","")</f>
        <v/>
      </c>
      <c r="I92" s="87" t="str">
        <f>IF(LEN(I91)&gt;35,"Building Name cannot be longer than 35 characters","")</f>
        <v/>
      </c>
      <c r="J92" s="87" t="str">
        <f>IF(LEN(J91)&gt;16,"Postal Code cannot be longer than 16 characters","")</f>
        <v/>
      </c>
      <c r="K92" s="87" t="str">
        <f>IF(OR(LEN(K91)&lt;1,LEN(K91)&gt;35),"Town Name must be between 1 and 35 characters long","")</f>
        <v>Town Name must be between 1 and 35 characters long</v>
      </c>
      <c r="L92" s="87" t="str">
        <f>IF(NOT(LEN(L91)=2),"Country Code must be 2 characters long","")</f>
        <v/>
      </c>
      <c r="M92" s="87" t="str">
        <f>IF(OR(LEN(M91)&lt;10,LEN(M91)&gt;34),"IBAN may be up to 34 characters long","")</f>
        <v>IBAN may be up to 34 characters long</v>
      </c>
      <c r="N92" s="87" t="str">
        <f>IF(ISBLANK(N91),"Code cannot be left blank","")</f>
        <v/>
      </c>
      <c r="O92" s="87" t="str">
        <f>IF(OR(LEN(O91)&lt;1,LEN(O91)&gt;140),"Transaction Details must be between 1 and 140 characters long","")</f>
        <v>Transaction Details must be between 1 and 140 characters long</v>
      </c>
      <c r="Q92" s="84" t="s">
        <v>12</v>
      </c>
    </row>
    <row r="93" spans="1:17">
      <c r="A93" s="48"/>
      <c r="B93" s="48"/>
      <c r="C93" s="48" t="s">
        <v>81</v>
      </c>
      <c r="D93" s="48"/>
      <c r="E93" s="48"/>
      <c r="F93" s="48"/>
      <c r="G93" s="48"/>
      <c r="H93" s="48"/>
      <c r="I93" s="48"/>
      <c r="J93" s="48"/>
      <c r="K93" s="48"/>
      <c r="L93" s="48" t="s">
        <v>146</v>
      </c>
      <c r="M93" s="48"/>
      <c r="N93" s="48" t="s">
        <v>43</v>
      </c>
      <c r="O93" s="48"/>
      <c r="Q93" s="5" t="s">
        <v>11</v>
      </c>
    </row>
    <row r="94" spans="1:17" s="88" customFormat="1" ht="36">
      <c r="A94" s="87" t="str">
        <f>IF(OR(LEN(A93)&lt;1,LEN(A93)&gt;35),"Transaction Identification must be between 1 and 35 characters long","")</f>
        <v>Transaction Identification must be between 1 and 35 characters long</v>
      </c>
      <c r="B94" s="87" t="str">
        <f>IF(OR(LEN(B93)&lt;1,LEN(B93)&gt;35),"Uniqie Identification must be between 1 and 35 characters long","")</f>
        <v>Uniqie Identification must be between 1 and 35 characters long</v>
      </c>
      <c r="C94" s="89"/>
      <c r="D94" s="87" t="str">
        <f>IF(OR(D93&lt;0.01,D93&gt;9999999999999990),"Transaction Amount is not valid","")</f>
        <v>Transaction Amount is not valid</v>
      </c>
      <c r="E94" s="87" t="str">
        <f>IF(AND(LEN(E93)&lt;&gt;8,LEN(E93)&lt;&gt;11),
    "BIC must be 8 or 11 characters long",
    IF(COUNTIF('Control Data (Hidden)'!$B$279:$B$335,E93)=0,
        "Warning: Is IBAN Valid?",
        ""
    )
)</f>
        <v>BIC must be 8 or 11 characters long</v>
      </c>
      <c r="F94" s="87" t="str">
        <f>IF(OR(LEN(F93)&lt;1,LEN(F93)&gt;70),"Creditor's Name must be between 1 and 70 characters long","")</f>
        <v>Creditor's Name must be between 1 and 70 characters long</v>
      </c>
      <c r="G94" s="87" t="str">
        <f>IF(LEN(G93)&gt;70,"Address cannot be longer than 70 characters","")</f>
        <v/>
      </c>
      <c r="H94" s="87" t="str">
        <f>IF(LEN(H93)&gt;16,"Building Number cannot be longer than 16 characters","")</f>
        <v/>
      </c>
      <c r="I94" s="87" t="str">
        <f>IF(LEN(I93)&gt;35,"Building Name cannot be longer than 35 characters","")</f>
        <v/>
      </c>
      <c r="J94" s="87" t="str">
        <f>IF(LEN(J93)&gt;16,"Postal Code cannot be longer than 16 characters","")</f>
        <v/>
      </c>
      <c r="K94" s="87" t="str">
        <f>IF(OR(LEN(K93)&lt;1,LEN(K93)&gt;35),"Town Name must be between 1 and 35 characters long","")</f>
        <v>Town Name must be between 1 and 35 characters long</v>
      </c>
      <c r="L94" s="87" t="str">
        <f>IF(NOT(LEN(L93)=2),"Country Code must be 2 characters long","")</f>
        <v/>
      </c>
      <c r="M94" s="87" t="str">
        <f>IF(OR(LEN(M93)&lt;10,LEN(M93)&gt;34),"IBAN may be up to 34 characters long","")</f>
        <v>IBAN may be up to 34 characters long</v>
      </c>
      <c r="N94" s="87" t="str">
        <f>IF(ISBLANK(N93),"Code cannot be left blank","")</f>
        <v/>
      </c>
      <c r="O94" s="87" t="str">
        <f>IF(OR(LEN(O93)&lt;1,LEN(O93)&gt;140),"Transaction Details must be between 1 and 140 characters long","")</f>
        <v>Transaction Details must be between 1 and 140 characters long</v>
      </c>
      <c r="Q94" s="84" t="s">
        <v>12</v>
      </c>
    </row>
    <row r="95" spans="1:17">
      <c r="A95" s="48"/>
      <c r="B95" s="48"/>
      <c r="C95" s="48" t="s">
        <v>81</v>
      </c>
      <c r="D95" s="48"/>
      <c r="E95" s="48"/>
      <c r="F95" s="48"/>
      <c r="G95" s="48"/>
      <c r="H95" s="48"/>
      <c r="I95" s="48"/>
      <c r="J95" s="48"/>
      <c r="K95" s="48"/>
      <c r="L95" s="48" t="s">
        <v>146</v>
      </c>
      <c r="M95" s="48"/>
      <c r="N95" s="48" t="s">
        <v>43</v>
      </c>
      <c r="O95" s="48"/>
      <c r="Q95" s="5" t="s">
        <v>11</v>
      </c>
    </row>
    <row r="96" spans="1:17" s="88" customFormat="1" ht="36">
      <c r="A96" s="87" t="str">
        <f>IF(OR(LEN(A95)&lt;1,LEN(A95)&gt;35),"Transaction Identification must be between 1 and 35 characters long","")</f>
        <v>Transaction Identification must be between 1 and 35 characters long</v>
      </c>
      <c r="B96" s="87" t="str">
        <f>IF(OR(LEN(B95)&lt;1,LEN(B95)&gt;35),"Uniqie Identification must be between 1 and 35 characters long","")</f>
        <v>Uniqie Identification must be between 1 and 35 characters long</v>
      </c>
      <c r="C96" s="89"/>
      <c r="D96" s="87" t="str">
        <f>IF(OR(D95&lt;0.01,D95&gt;9999999999999990),"Transaction Amount is not valid","")</f>
        <v>Transaction Amount is not valid</v>
      </c>
      <c r="E96" s="87" t="str">
        <f>IF(AND(LEN(E95)&lt;&gt;8,LEN(E95)&lt;&gt;11),
    "BIC must be 8 or 11 characters long",
    IF(COUNTIF('Control Data (Hidden)'!$B$279:$B$335,E95)=0,
        "Warning: Is IBAN Valid?",
        ""
    )
)</f>
        <v>BIC must be 8 or 11 characters long</v>
      </c>
      <c r="F96" s="87" t="str">
        <f>IF(OR(LEN(F95)&lt;1,LEN(F95)&gt;70),"Creditor's Name must be between 1 and 70 characters long","")</f>
        <v>Creditor's Name must be between 1 and 70 characters long</v>
      </c>
      <c r="G96" s="87" t="str">
        <f>IF(LEN(G95)&gt;70,"Address cannot be longer than 70 characters","")</f>
        <v/>
      </c>
      <c r="H96" s="87" t="str">
        <f>IF(LEN(H95)&gt;16,"Building Number cannot be longer than 16 characters","")</f>
        <v/>
      </c>
      <c r="I96" s="87" t="str">
        <f>IF(LEN(I95)&gt;35,"Building Name cannot be longer than 35 characters","")</f>
        <v/>
      </c>
      <c r="J96" s="87" t="str">
        <f>IF(LEN(J95)&gt;16,"Postal Code cannot be longer than 16 characters","")</f>
        <v/>
      </c>
      <c r="K96" s="87" t="str">
        <f>IF(OR(LEN(K95)&lt;1,LEN(K95)&gt;35),"Town Name must be between 1 and 35 characters long","")</f>
        <v>Town Name must be between 1 and 35 characters long</v>
      </c>
      <c r="L96" s="87" t="str">
        <f>IF(NOT(LEN(L95)=2),"Country Code must be 2 characters long","")</f>
        <v/>
      </c>
      <c r="M96" s="87" t="str">
        <f>IF(OR(LEN(M95)&lt;10,LEN(M95)&gt;34),"IBAN may be up to 34 characters long","")</f>
        <v>IBAN may be up to 34 characters long</v>
      </c>
      <c r="N96" s="87" t="str">
        <f>IF(ISBLANK(N95),"Code cannot be left blank","")</f>
        <v/>
      </c>
      <c r="O96" s="87" t="str">
        <f>IF(OR(LEN(O95)&lt;1,LEN(O95)&gt;140),"Transaction Details must be between 1 and 140 characters long","")</f>
        <v>Transaction Details must be between 1 and 140 characters long</v>
      </c>
      <c r="Q96" s="84" t="s">
        <v>12</v>
      </c>
    </row>
    <row r="97" spans="1:17">
      <c r="A97" s="48"/>
      <c r="B97" s="48"/>
      <c r="C97" s="48" t="s">
        <v>81</v>
      </c>
      <c r="D97" s="48"/>
      <c r="E97" s="48"/>
      <c r="F97" s="48"/>
      <c r="G97" s="48"/>
      <c r="H97" s="48"/>
      <c r="I97" s="48"/>
      <c r="J97" s="48"/>
      <c r="K97" s="48"/>
      <c r="L97" s="48" t="s">
        <v>146</v>
      </c>
      <c r="M97" s="48"/>
      <c r="N97" s="48" t="s">
        <v>43</v>
      </c>
      <c r="O97" s="48"/>
      <c r="Q97" s="5" t="s">
        <v>11</v>
      </c>
    </row>
    <row r="98" spans="1:17" s="88" customFormat="1" ht="36">
      <c r="A98" s="87" t="str">
        <f>IF(OR(LEN(A97)&lt;1,LEN(A97)&gt;35),"Transaction Identification must be between 1 and 35 characters long","")</f>
        <v>Transaction Identification must be between 1 and 35 characters long</v>
      </c>
      <c r="B98" s="87" t="str">
        <f>IF(OR(LEN(B97)&lt;1,LEN(B97)&gt;35),"Uniqie Identification must be between 1 and 35 characters long","")</f>
        <v>Uniqie Identification must be between 1 and 35 characters long</v>
      </c>
      <c r="C98" s="89"/>
      <c r="D98" s="87" t="str">
        <f>IF(OR(D97&lt;0.01,D97&gt;9999999999999990),"Transaction Amount is not valid","")</f>
        <v>Transaction Amount is not valid</v>
      </c>
      <c r="E98" s="87" t="str">
        <f>IF(AND(LEN(E97)&lt;&gt;8,LEN(E97)&lt;&gt;11),
    "BIC must be 8 or 11 characters long",
    IF(COUNTIF('Control Data (Hidden)'!$B$279:$B$335,E97)=0,
        "Warning: Is IBAN Valid?",
        ""
    )
)</f>
        <v>BIC must be 8 or 11 characters long</v>
      </c>
      <c r="F98" s="87" t="str">
        <f>IF(OR(LEN(F97)&lt;1,LEN(F97)&gt;70),"Creditor's Name must be between 1 and 70 characters long","")</f>
        <v>Creditor's Name must be between 1 and 70 characters long</v>
      </c>
      <c r="G98" s="87" t="str">
        <f>IF(LEN(G97)&gt;70,"Address cannot be longer than 70 characters","")</f>
        <v/>
      </c>
      <c r="H98" s="87" t="str">
        <f>IF(LEN(H97)&gt;16,"Building Number cannot be longer than 16 characters","")</f>
        <v/>
      </c>
      <c r="I98" s="87" t="str">
        <f>IF(LEN(I97)&gt;35,"Building Name cannot be longer than 35 characters","")</f>
        <v/>
      </c>
      <c r="J98" s="87" t="str">
        <f>IF(LEN(J97)&gt;16,"Postal Code cannot be longer than 16 characters","")</f>
        <v/>
      </c>
      <c r="K98" s="87" t="str">
        <f>IF(OR(LEN(K97)&lt;1,LEN(K97)&gt;35),"Town Name must be between 1 and 35 characters long","")</f>
        <v>Town Name must be between 1 and 35 characters long</v>
      </c>
      <c r="L98" s="87" t="str">
        <f>IF(NOT(LEN(L97)=2),"Country Code must be 2 characters long","")</f>
        <v/>
      </c>
      <c r="M98" s="87" t="str">
        <f>IF(OR(LEN(M97)&lt;10,LEN(M97)&gt;34),"IBAN may be up to 34 characters long","")</f>
        <v>IBAN may be up to 34 characters long</v>
      </c>
      <c r="N98" s="87" t="str">
        <f>IF(ISBLANK(N97),"Code cannot be left blank","")</f>
        <v/>
      </c>
      <c r="O98" s="87" t="str">
        <f>IF(OR(LEN(O97)&lt;1,LEN(O97)&gt;140),"Transaction Details must be between 1 and 140 characters long","")</f>
        <v>Transaction Details must be between 1 and 140 characters long</v>
      </c>
      <c r="Q98" s="84" t="s">
        <v>12</v>
      </c>
    </row>
    <row r="99" spans="1:17">
      <c r="A99" s="48"/>
      <c r="B99" s="48"/>
      <c r="C99" s="48" t="s">
        <v>81</v>
      </c>
      <c r="D99" s="48"/>
      <c r="E99" s="48"/>
      <c r="F99" s="48"/>
      <c r="G99" s="48"/>
      <c r="H99" s="48"/>
      <c r="I99" s="48"/>
      <c r="J99" s="48"/>
      <c r="K99" s="48"/>
      <c r="L99" s="48" t="s">
        <v>146</v>
      </c>
      <c r="M99" s="48"/>
      <c r="N99" s="48" t="s">
        <v>43</v>
      </c>
      <c r="O99" s="48"/>
      <c r="Q99" s="5" t="s">
        <v>11</v>
      </c>
    </row>
    <row r="100" spans="1:17" s="88" customFormat="1" ht="36">
      <c r="A100" s="87" t="str">
        <f>IF(OR(LEN(A99)&lt;1,LEN(A99)&gt;35),"Transaction Identification must be between 1 and 35 characters long","")</f>
        <v>Transaction Identification must be between 1 and 35 characters long</v>
      </c>
      <c r="B100" s="87" t="str">
        <f>IF(OR(LEN(B99)&lt;1,LEN(B99)&gt;35),"Uniqie Identification must be between 1 and 35 characters long","")</f>
        <v>Uniqie Identification must be between 1 and 35 characters long</v>
      </c>
      <c r="C100" s="89"/>
      <c r="D100" s="87" t="str">
        <f>IF(OR(D99&lt;0.01,D99&gt;9999999999999990),"Transaction Amount is not valid","")</f>
        <v>Transaction Amount is not valid</v>
      </c>
      <c r="E100" s="87" t="str">
        <f>IF(AND(LEN(E99)&lt;&gt;8,LEN(E99)&lt;&gt;11),
    "BIC must be 8 or 11 characters long",
    IF(COUNTIF('Control Data (Hidden)'!$B$279:$B$335,E99)=0,
        "Warning: Is IBAN Valid?",
        ""
    )
)</f>
        <v>BIC must be 8 or 11 characters long</v>
      </c>
      <c r="F100" s="87" t="str">
        <f>IF(OR(LEN(F99)&lt;1,LEN(F99)&gt;70),"Creditor's Name must be between 1 and 70 characters long","")</f>
        <v>Creditor's Name must be between 1 and 70 characters long</v>
      </c>
      <c r="G100" s="87" t="str">
        <f>IF(LEN(G99)&gt;70,"Address cannot be longer than 70 characters","")</f>
        <v/>
      </c>
      <c r="H100" s="87" t="str">
        <f>IF(LEN(H99)&gt;16,"Building Number cannot be longer than 16 characters","")</f>
        <v/>
      </c>
      <c r="I100" s="87" t="str">
        <f>IF(LEN(I99)&gt;35,"Building Name cannot be longer than 35 characters","")</f>
        <v/>
      </c>
      <c r="J100" s="87" t="str">
        <f>IF(LEN(J99)&gt;16,"Postal Code cannot be longer than 16 characters","")</f>
        <v/>
      </c>
      <c r="K100" s="87" t="str">
        <f>IF(OR(LEN(K99)&lt;1,LEN(K99)&gt;35),"Town Name must be between 1 and 35 characters long","")</f>
        <v>Town Name must be between 1 and 35 characters long</v>
      </c>
      <c r="L100" s="87" t="str">
        <f>IF(NOT(LEN(L99)=2),"Country Code must be 2 characters long","")</f>
        <v/>
      </c>
      <c r="M100" s="87" t="str">
        <f>IF(OR(LEN(M99)&lt;10,LEN(M99)&gt;34),"IBAN may be up to 34 characters long","")</f>
        <v>IBAN may be up to 34 characters long</v>
      </c>
      <c r="N100" s="87" t="str">
        <f>IF(ISBLANK(N99),"Code cannot be left blank","")</f>
        <v/>
      </c>
      <c r="O100" s="87" t="str">
        <f>IF(OR(LEN(O99)&lt;1,LEN(O99)&gt;140),"Transaction Details must be between 1 and 140 characters long","")</f>
        <v>Transaction Details must be between 1 and 140 characters long</v>
      </c>
      <c r="Q100" s="84" t="s">
        <v>12</v>
      </c>
    </row>
    <row r="101" spans="1:17">
      <c r="A101" s="48"/>
      <c r="B101" s="48"/>
      <c r="C101" s="48" t="s">
        <v>81</v>
      </c>
      <c r="D101" s="48"/>
      <c r="E101" s="48"/>
      <c r="F101" s="48"/>
      <c r="G101" s="48"/>
      <c r="H101" s="48"/>
      <c r="I101" s="48"/>
      <c r="J101" s="48"/>
      <c r="K101" s="48"/>
      <c r="L101" s="48" t="s">
        <v>146</v>
      </c>
      <c r="M101" s="48"/>
      <c r="N101" s="48" t="s">
        <v>43</v>
      </c>
      <c r="O101" s="48"/>
      <c r="Q101" s="5" t="s">
        <v>11</v>
      </c>
    </row>
    <row r="102" spans="1:17" s="88" customFormat="1" ht="36">
      <c r="A102" s="87" t="str">
        <f>IF(OR(LEN(A101)&lt;1,LEN(A101)&gt;35),"Transaction Identification must be between 1 and 35 characters long","")</f>
        <v>Transaction Identification must be between 1 and 35 characters long</v>
      </c>
      <c r="B102" s="87" t="str">
        <f>IF(OR(LEN(B101)&lt;1,LEN(B101)&gt;35),"Uniqie Identification must be between 1 and 35 characters long","")</f>
        <v>Uniqie Identification must be between 1 and 35 characters long</v>
      </c>
      <c r="C102" s="89"/>
      <c r="D102" s="87" t="str">
        <f>IF(OR(D101&lt;0.01,D101&gt;9999999999999990),"Transaction Amount is not valid","")</f>
        <v>Transaction Amount is not valid</v>
      </c>
      <c r="E102" s="87" t="str">
        <f>IF(AND(LEN(E101)&lt;&gt;8,LEN(E101)&lt;&gt;11),
    "BIC must be 8 or 11 characters long",
    IF(COUNTIF('Control Data (Hidden)'!$B$279:$B$335,E101)=0,
        "Warning: Is IBAN Valid?",
        ""
    )
)</f>
        <v>BIC must be 8 or 11 characters long</v>
      </c>
      <c r="F102" s="87" t="str">
        <f>IF(OR(LEN(F101)&lt;1,LEN(F101)&gt;70),"Creditor's Name must be between 1 and 70 characters long","")</f>
        <v>Creditor's Name must be between 1 and 70 characters long</v>
      </c>
      <c r="G102" s="87" t="str">
        <f>IF(LEN(G101)&gt;70,"Address cannot be longer than 70 characters","")</f>
        <v/>
      </c>
      <c r="H102" s="87" t="str">
        <f>IF(LEN(H101)&gt;16,"Building Number cannot be longer than 16 characters","")</f>
        <v/>
      </c>
      <c r="I102" s="87" t="str">
        <f>IF(LEN(I101)&gt;35,"Building Name cannot be longer than 35 characters","")</f>
        <v/>
      </c>
      <c r="J102" s="87" t="str">
        <f>IF(LEN(J101)&gt;16,"Postal Code cannot be longer than 16 characters","")</f>
        <v/>
      </c>
      <c r="K102" s="87" t="str">
        <f>IF(OR(LEN(K101)&lt;1,LEN(K101)&gt;35),"Town Name must be between 1 and 35 characters long","")</f>
        <v>Town Name must be between 1 and 35 characters long</v>
      </c>
      <c r="L102" s="87" t="str">
        <f>IF(NOT(LEN(L101)=2),"Country Code must be 2 characters long","")</f>
        <v/>
      </c>
      <c r="M102" s="87" t="str">
        <f>IF(OR(LEN(M101)&lt;10,LEN(M101)&gt;34),"IBAN may be up to 34 characters long","")</f>
        <v>IBAN may be up to 34 characters long</v>
      </c>
      <c r="N102" s="87" t="str">
        <f>IF(ISBLANK(N101),"Code cannot be left blank","")</f>
        <v/>
      </c>
      <c r="O102" s="87" t="str">
        <f>IF(OR(LEN(O101)&lt;1,LEN(O101)&gt;140),"Transaction Details must be between 1 and 140 characters long","")</f>
        <v>Transaction Details must be between 1 and 140 characters long</v>
      </c>
      <c r="Q102" s="84" t="s">
        <v>12</v>
      </c>
    </row>
    <row r="103" spans="1:17">
      <c r="A103" s="48"/>
      <c r="B103" s="48"/>
      <c r="C103" s="48" t="s">
        <v>81</v>
      </c>
      <c r="D103" s="48"/>
      <c r="E103" s="48"/>
      <c r="F103" s="48"/>
      <c r="G103" s="48"/>
      <c r="H103" s="48"/>
      <c r="I103" s="48"/>
      <c r="J103" s="48"/>
      <c r="K103" s="48"/>
      <c r="L103" s="48" t="s">
        <v>146</v>
      </c>
      <c r="M103" s="48"/>
      <c r="N103" s="48" t="s">
        <v>43</v>
      </c>
      <c r="O103" s="48"/>
      <c r="Q103" s="5" t="s">
        <v>11</v>
      </c>
    </row>
    <row r="104" spans="1:17" s="88" customFormat="1" ht="36">
      <c r="A104" s="87" t="str">
        <f>IF(OR(LEN(A103)&lt;1,LEN(A103)&gt;35),"Transaction Identification must be between 1 and 35 characters long","")</f>
        <v>Transaction Identification must be between 1 and 35 characters long</v>
      </c>
      <c r="B104" s="87" t="str">
        <f>IF(OR(LEN(B103)&lt;1,LEN(B103)&gt;35),"Uniqie Identification must be between 1 and 35 characters long","")</f>
        <v>Uniqie Identification must be between 1 and 35 characters long</v>
      </c>
      <c r="C104" s="89"/>
      <c r="D104" s="87" t="str">
        <f>IF(OR(D103&lt;0.01,D103&gt;9999999999999990),"Transaction Amount is not valid","")</f>
        <v>Transaction Amount is not valid</v>
      </c>
      <c r="E104" s="87" t="str">
        <f>IF(AND(LEN(E103)&lt;&gt;8,LEN(E103)&lt;&gt;11),
    "BIC must be 8 or 11 characters long",
    IF(COUNTIF('Control Data (Hidden)'!$B$279:$B$335,E103)=0,
        "Warning: Is IBAN Valid?",
        ""
    )
)</f>
        <v>BIC must be 8 or 11 characters long</v>
      </c>
      <c r="F104" s="87" t="str">
        <f>IF(OR(LEN(F103)&lt;1,LEN(F103)&gt;70),"Creditor's Name must be between 1 and 70 characters long","")</f>
        <v>Creditor's Name must be between 1 and 70 characters long</v>
      </c>
      <c r="G104" s="87" t="str">
        <f>IF(LEN(G103)&gt;70,"Address cannot be longer than 70 characters","")</f>
        <v/>
      </c>
      <c r="H104" s="87" t="str">
        <f>IF(LEN(H103)&gt;16,"Building Number cannot be longer than 16 characters","")</f>
        <v/>
      </c>
      <c r="I104" s="87" t="str">
        <f>IF(LEN(I103)&gt;35,"Building Name cannot be longer than 35 characters","")</f>
        <v/>
      </c>
      <c r="J104" s="87" t="str">
        <f>IF(LEN(J103)&gt;16,"Postal Code cannot be longer than 16 characters","")</f>
        <v/>
      </c>
      <c r="K104" s="87" t="str">
        <f>IF(OR(LEN(K103)&lt;1,LEN(K103)&gt;35),"Town Name must be between 1 and 35 characters long","")</f>
        <v>Town Name must be between 1 and 35 characters long</v>
      </c>
      <c r="L104" s="87" t="str">
        <f>IF(NOT(LEN(L103)=2),"Country Code must be 2 characters long","")</f>
        <v/>
      </c>
      <c r="M104" s="87" t="str">
        <f>IF(OR(LEN(M103)&lt;10,LEN(M103)&gt;34),"IBAN may be up to 34 characters long","")</f>
        <v>IBAN may be up to 34 characters long</v>
      </c>
      <c r="N104" s="87" t="str">
        <f>IF(ISBLANK(N103),"Code cannot be left blank","")</f>
        <v/>
      </c>
      <c r="O104" s="87" t="str">
        <f>IF(OR(LEN(O103)&lt;1,LEN(O103)&gt;140),"Transaction Details must be between 1 and 140 characters long","")</f>
        <v>Transaction Details must be between 1 and 140 characters long</v>
      </c>
      <c r="Q104" s="84" t="s">
        <v>12</v>
      </c>
    </row>
    <row r="105" spans="1:17">
      <c r="A105" s="48"/>
      <c r="B105" s="48"/>
      <c r="C105" s="48" t="s">
        <v>81</v>
      </c>
      <c r="D105" s="48"/>
      <c r="E105" s="48"/>
      <c r="F105" s="48"/>
      <c r="G105" s="48"/>
      <c r="H105" s="48"/>
      <c r="I105" s="48"/>
      <c r="J105" s="48"/>
      <c r="K105" s="48"/>
      <c r="L105" s="48" t="s">
        <v>146</v>
      </c>
      <c r="M105" s="48"/>
      <c r="N105" s="48" t="s">
        <v>43</v>
      </c>
      <c r="O105" s="48"/>
      <c r="Q105" s="5" t="s">
        <v>11</v>
      </c>
    </row>
    <row r="106" spans="1:17" s="88" customFormat="1" ht="36">
      <c r="A106" s="87" t="str">
        <f>IF(OR(LEN(A105)&lt;1,LEN(A105)&gt;35),"Transaction Identification must be between 1 and 35 characters long","")</f>
        <v>Transaction Identification must be between 1 and 35 characters long</v>
      </c>
      <c r="B106" s="87" t="str">
        <f>IF(OR(LEN(B105)&lt;1,LEN(B105)&gt;35),"Uniqie Identification must be between 1 and 35 characters long","")</f>
        <v>Uniqie Identification must be between 1 and 35 characters long</v>
      </c>
      <c r="C106" s="89"/>
      <c r="D106" s="87" t="str">
        <f>IF(OR(D105&lt;0.01,D105&gt;9999999999999990),"Transaction Amount is not valid","")</f>
        <v>Transaction Amount is not valid</v>
      </c>
      <c r="E106" s="87" t="str">
        <f>IF(AND(LEN(E105)&lt;&gt;8,LEN(E105)&lt;&gt;11),
    "BIC must be 8 or 11 characters long",
    IF(COUNTIF('Control Data (Hidden)'!$B$279:$B$335,E105)=0,
        "Warning: Is IBAN Valid?",
        ""
    )
)</f>
        <v>BIC must be 8 or 11 characters long</v>
      </c>
      <c r="F106" s="87" t="str">
        <f>IF(OR(LEN(F105)&lt;1,LEN(F105)&gt;70),"Creditor's Name must be between 1 and 70 characters long","")</f>
        <v>Creditor's Name must be between 1 and 70 characters long</v>
      </c>
      <c r="G106" s="87" t="str">
        <f>IF(LEN(G105)&gt;70,"Address cannot be longer than 70 characters","")</f>
        <v/>
      </c>
      <c r="H106" s="87" t="str">
        <f>IF(LEN(H105)&gt;16,"Building Number cannot be longer than 16 characters","")</f>
        <v/>
      </c>
      <c r="I106" s="87" t="str">
        <f>IF(LEN(I105)&gt;35,"Building Name cannot be longer than 35 characters","")</f>
        <v/>
      </c>
      <c r="J106" s="87" t="str">
        <f>IF(LEN(J105)&gt;16,"Postal Code cannot be longer than 16 characters","")</f>
        <v/>
      </c>
      <c r="K106" s="87" t="str">
        <f>IF(OR(LEN(K105)&lt;1,LEN(K105)&gt;35),"Town Name must be between 1 and 35 characters long","")</f>
        <v>Town Name must be between 1 and 35 characters long</v>
      </c>
      <c r="L106" s="87" t="str">
        <f>IF(NOT(LEN(L105)=2),"Country Code must be 2 characters long","")</f>
        <v/>
      </c>
      <c r="M106" s="87" t="str">
        <f>IF(OR(LEN(M105)&lt;10,LEN(M105)&gt;34),"IBAN may be up to 34 characters long","")</f>
        <v>IBAN may be up to 34 characters long</v>
      </c>
      <c r="N106" s="87" t="str">
        <f>IF(ISBLANK(N105),"Code cannot be left blank","")</f>
        <v/>
      </c>
      <c r="O106" s="87" t="str">
        <f>IF(OR(LEN(O105)&lt;1,LEN(O105)&gt;140),"Transaction Details must be between 1 and 140 characters long","")</f>
        <v>Transaction Details must be between 1 and 140 characters long</v>
      </c>
      <c r="Q106" s="84" t="s">
        <v>12</v>
      </c>
    </row>
    <row r="107" spans="1:17">
      <c r="L107" s="48"/>
    </row>
  </sheetData>
  <sheetProtection algorithmName="SHA-512" hashValue="I51RHndVCBC04lj5aJ/c6YhZuwtBSjtQvu+U+F+LSeqXizdCvGYHjUIeFl6m+MPtdW9fl+H2wq1vaHm6r7NYew==" saltValue="To5UZsbxneBQYNts1FFZqQ==" spinCount="100000" sheet="1" formatColumns="0" selectLockedCells="1"/>
  <conditionalFormatting sqref="A5:O106">
    <cfRule type="expression" dxfId="7" priority="1">
      <formula>CELL("Protect",A5)=0</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showInputMessage="1" showErrorMessage="1" errorTitle="CIR: Cd" error="Choose a code from the list" xr:uid="{00000000-0002-0000-0200-000000000000}">
          <x14:formula1>
            <xm:f>'Control Data (Hidden)'!$D$11:$J$11</xm:f>
          </x14:formula1>
          <xm:sqref>N5 N7 N9 N11 N13 N15 N17 N19 N21 N23 N25 N27 N29 N31 N33 N35 N37 N39 N41 N43 N45 N47 N49 N51 N53 N55 N57 N59 N61 N63 N65 N67 N69 N71 N73 N75 N77 N79 N81 N83 N85 N87 N89 N91 N93 N95 N97 N99 N101 N103 N105</xm:sqref>
        </x14:dataValidation>
        <x14:dataValidation type="list" allowBlank="1" showInputMessage="1" showErrorMessage="1" xr:uid="{93A43788-A06D-4932-A72F-FDEFB4FDB15A}">
          <x14:formula1>
            <xm:f>'Control Data (Hidden)'!$B$23:$B$271</xm:f>
          </x14:formula1>
          <xm:sqref>L7 L5 L11 L13 L15 L17 L19 L21 L23 L25 L27 L29 L31 L33 L35 L37 L39 L41 L43 L45 L47 L49 L51 L53 L55 L57 L59 L61 L63 L65 L67 L69 L71 L73 L75 L77 L79 L81 L83 L85 L87 L89 L91 L93 L95 L97 L99 L101 L103 L105 L9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39997558519241921"/>
  </sheetPr>
  <dimension ref="A1:X52"/>
  <sheetViews>
    <sheetView workbookViewId="0">
      <selection activeCell="A7" sqref="A7"/>
    </sheetView>
  </sheetViews>
  <sheetFormatPr defaultRowHeight="15"/>
  <cols>
    <col min="1" max="1" width="13.140625" bestFit="1" customWidth="1"/>
    <col min="2" max="2" width="15.85546875" bestFit="1" customWidth="1"/>
    <col min="3" max="3" width="2.85546875" customWidth="1"/>
    <col min="15" max="15" width="12" bestFit="1" customWidth="1"/>
    <col min="17" max="17" width="2.28515625" customWidth="1"/>
  </cols>
  <sheetData>
    <row r="1" spans="1:24" ht="15.75" thickBot="1">
      <c r="A1" s="60" t="s">
        <v>85</v>
      </c>
      <c r="B1" s="16" t="s">
        <v>92</v>
      </c>
      <c r="D1" s="42" t="s">
        <v>100</v>
      </c>
      <c r="E1" s="43" t="str">
        <f>'Credit Instruction Record'!A1</f>
        <v>InstrId</v>
      </c>
      <c r="F1" s="43" t="str">
        <f>'Credit Instruction Record'!B1</f>
        <v>EndToEndId</v>
      </c>
      <c r="G1" s="43" t="str">
        <f>'Credit Instruction Record'!C1</f>
        <v>Ccy</v>
      </c>
      <c r="H1" s="43" t="str">
        <f>'Credit Instruction Record'!D1</f>
        <v>InstdAmt</v>
      </c>
      <c r="I1" s="43" t="str">
        <f>'Credit Instruction Record'!E1</f>
        <v>BIC</v>
      </c>
      <c r="J1" s="43" t="str">
        <f>'Credit Instruction Record'!F1</f>
        <v>Nm</v>
      </c>
      <c r="K1" s="43" t="str">
        <f>'Credit Instruction Record'!G1</f>
        <v>PstlAdr:StrtNm</v>
      </c>
      <c r="L1" s="43" t="str">
        <f>'Credit Instruction Record'!H1</f>
        <v>PstlAdr:BldgNb</v>
      </c>
      <c r="M1" s="43" t="str">
        <f>'Credit Instruction Record'!M1</f>
        <v>IBAN</v>
      </c>
      <c r="N1" s="43" t="str">
        <f>'Credit Instruction Record'!N1</f>
        <v>Cd</v>
      </c>
      <c r="O1" s="43" t="str">
        <f>'Credit Instruction Record'!O1</f>
        <v>Ustrd</v>
      </c>
      <c r="P1" s="44" t="s">
        <v>112</v>
      </c>
    </row>
    <row r="2" spans="1:24">
      <c r="A2" s="61" t="str">
        <f>'Control Data (Hidden)'!C1</f>
        <v>2.10.00</v>
      </c>
      <c r="B2" t="str">
        <f ca="1">CONCATENATE("BOV_",TEXT(NOW(),"YYYY-MM-DD-HHmmSS"),"000_",'Header Record'!F5)</f>
        <v>BOV_2025-10-18-094503000_&lt;&lt;&lt; ID &gt;&gt;&gt;</v>
      </c>
      <c r="D2" s="34">
        <v>1</v>
      </c>
      <c r="E2" t="str">
        <f>IF(ISBLANK('Credit Instruction Record'!A5),"",'Credit Instruction Record'!A5)</f>
        <v/>
      </c>
      <c r="F2" t="str">
        <f>IF(ISBLANK('Credit Instruction Record'!B5),"",'Credit Instruction Record'!B5)</f>
        <v/>
      </c>
      <c r="G2" t="str">
        <f>IF(ISBLANK('Credit Instruction Record'!C5),"",'Credit Instruction Record'!C5)</f>
        <v>EUR</v>
      </c>
      <c r="H2" s="54" t="str">
        <f>IF(ISBLANK('Credit Instruction Record'!D5),"",'Credit Instruction Record'!D5)</f>
        <v/>
      </c>
      <c r="I2" t="str">
        <f>IF(ISBLANK('Credit Instruction Record'!E5),"",'Credit Instruction Record'!E5)</f>
        <v/>
      </c>
      <c r="J2" t="str">
        <f>IF(ISBLANK('Credit Instruction Record'!F5),"",'Credit Instruction Record'!F5)</f>
        <v/>
      </c>
      <c r="K2" t="str">
        <f>IF(ISBLANK('Credit Instruction Record'!G5),"",'Credit Instruction Record'!G5)</f>
        <v/>
      </c>
      <c r="L2" t="str">
        <f>IF(ISBLANK('Credit Instruction Record'!H5),"",'Credit Instruction Record'!H5)</f>
        <v/>
      </c>
      <c r="M2" t="str">
        <f>IF(ISBLANK('Credit Instruction Record'!M5),"",'Credit Instruction Record'!M5)</f>
        <v/>
      </c>
      <c r="N2" t="str">
        <f>IF(ISBLANK('Credit Instruction Record'!N5),"",'Credit Instruction Record'!N5)</f>
        <v>SUPP</v>
      </c>
      <c r="O2" t="str">
        <f>IF(ISBLANK('Credit Instruction Record'!O5),"",'Credit Instruction Record'!O5)</f>
        <v/>
      </c>
      <c r="P2" s="58" t="b">
        <f>M2=""</f>
        <v>1</v>
      </c>
      <c r="R2" s="107" t="s">
        <v>113</v>
      </c>
      <c r="S2" s="108"/>
      <c r="T2" s="108"/>
      <c r="U2" s="108"/>
      <c r="V2" s="108"/>
      <c r="W2" s="108"/>
      <c r="X2" s="109"/>
    </row>
    <row r="3" spans="1:24">
      <c r="A3" s="55" t="str">
        <f>IF(ISBLANK(A2),"Cannot be left Blank","")</f>
        <v/>
      </c>
      <c r="B3" s="15"/>
      <c r="D3" s="34">
        <v>2</v>
      </c>
      <c r="E3" t="str">
        <f>IF(ISBLANK('Credit Instruction Record'!A7),"",'Credit Instruction Record'!A7)</f>
        <v/>
      </c>
      <c r="F3" t="str">
        <f>IF(ISBLANK('Credit Instruction Record'!B7),"",'Credit Instruction Record'!B7)</f>
        <v/>
      </c>
      <c r="G3" t="str">
        <f>IF(ISBLANK('Credit Instruction Record'!C7),"",'Credit Instruction Record'!C7)</f>
        <v>EUR</v>
      </c>
      <c r="H3" s="54" t="str">
        <f>IF(ISBLANK('Credit Instruction Record'!D7),"",'Credit Instruction Record'!D7)</f>
        <v/>
      </c>
      <c r="I3" t="str">
        <f>IF(ISBLANK('Credit Instruction Record'!E7),"",'Credit Instruction Record'!E7)</f>
        <v/>
      </c>
      <c r="J3" t="str">
        <f>IF(ISBLANK('Credit Instruction Record'!F7),"",'Credit Instruction Record'!F7)</f>
        <v/>
      </c>
      <c r="K3" t="str">
        <f>IF(ISBLANK('Credit Instruction Record'!G7),"",'Credit Instruction Record'!G7)</f>
        <v/>
      </c>
      <c r="L3" t="str">
        <f>IF(ISBLANK('Credit Instruction Record'!H7),"",'Credit Instruction Record'!H7)</f>
        <v/>
      </c>
      <c r="M3" t="str">
        <f>IF(ISBLANK('Credit Instruction Record'!M7),"",'Credit Instruction Record'!M7)</f>
        <v/>
      </c>
      <c r="N3" t="str">
        <f>IF(ISBLANK('Credit Instruction Record'!N7),"",'Credit Instruction Record'!N7)</f>
        <v>SUPP</v>
      </c>
      <c r="O3" t="str">
        <f>IF(ISBLANK('Credit Instruction Record'!O7),"",'Credit Instruction Record'!O7)</f>
        <v/>
      </c>
      <c r="P3" s="58" t="b">
        <f t="shared" ref="P3:P8" si="0">M3=""</f>
        <v>1</v>
      </c>
      <c r="R3" s="110"/>
      <c r="S3" s="111"/>
      <c r="T3" s="111"/>
      <c r="U3" s="111"/>
      <c r="V3" s="111"/>
      <c r="W3" s="111"/>
      <c r="X3" s="112"/>
    </row>
    <row r="4" spans="1:24" ht="30">
      <c r="A4" s="16" t="s">
        <v>91</v>
      </c>
      <c r="B4" s="16" t="s">
        <v>111</v>
      </c>
      <c r="D4" s="34">
        <v>3</v>
      </c>
      <c r="E4" t="str">
        <f>IF(ISBLANK('Credit Instruction Record'!A9),"",'Credit Instruction Record'!A9)</f>
        <v/>
      </c>
      <c r="F4" t="str">
        <f>IF(ISBLANK('Credit Instruction Record'!B9),"",'Credit Instruction Record'!B9)</f>
        <v/>
      </c>
      <c r="G4" t="str">
        <f>IF(ISBLANK('Credit Instruction Record'!C9),"",'Credit Instruction Record'!C9)</f>
        <v>EUR</v>
      </c>
      <c r="H4" s="54" t="str">
        <f>IF(ISBLANK('Credit Instruction Record'!D9),"",'Credit Instruction Record'!D9)</f>
        <v/>
      </c>
      <c r="I4" t="str">
        <f>IF(ISBLANK('Credit Instruction Record'!E9),"",'Credit Instruction Record'!E9)</f>
        <v/>
      </c>
      <c r="J4" t="str">
        <f>IF(ISBLANK('Credit Instruction Record'!F9),"",'Credit Instruction Record'!F9)</f>
        <v/>
      </c>
      <c r="K4" t="str">
        <f>IF(ISBLANK('Credit Instruction Record'!G9),"",'Credit Instruction Record'!G9)</f>
        <v/>
      </c>
      <c r="L4" t="str">
        <f>IF(ISBLANK('Credit Instruction Record'!H9),"",'Credit Instruction Record'!H9)</f>
        <v/>
      </c>
      <c r="M4" t="str">
        <f>IF(ISBLANK('Credit Instruction Record'!M9),"",'Credit Instruction Record'!M9)</f>
        <v/>
      </c>
      <c r="N4" t="str">
        <f>IF(ISBLANK('Credit Instruction Record'!N9),"",'Credit Instruction Record'!N9)</f>
        <v>SUPP</v>
      </c>
      <c r="O4" t="str">
        <f>IF(ISBLANK('Credit Instruction Record'!O9),"",'Credit Instruction Record'!O9)</f>
        <v/>
      </c>
      <c r="P4" s="58" t="b">
        <f t="shared" si="0"/>
        <v>1</v>
      </c>
      <c r="R4" s="110"/>
      <c r="S4" s="111"/>
      <c r="T4" s="111"/>
      <c r="U4" s="111"/>
      <c r="V4" s="111"/>
      <c r="W4" s="111"/>
      <c r="X4" s="112"/>
    </row>
    <row r="5" spans="1:24">
      <c r="A5" s="56">
        <f>'Header Record'!C5</f>
        <v>0</v>
      </c>
      <c r="B5" s="54">
        <f>'Header Record'!D5</f>
        <v>0</v>
      </c>
      <c r="D5" s="34">
        <v>4</v>
      </c>
      <c r="E5" t="str">
        <f>IF(ISBLANK('Credit Instruction Record'!A11),"",'Credit Instruction Record'!A11)</f>
        <v/>
      </c>
      <c r="F5" t="str">
        <f>IF(ISBLANK('Credit Instruction Record'!B11),"",'Credit Instruction Record'!B11)</f>
        <v/>
      </c>
      <c r="G5" t="str">
        <f>IF(ISBLANK('Credit Instruction Record'!C11),"",'Credit Instruction Record'!C11)</f>
        <v>EUR</v>
      </c>
      <c r="H5" s="54" t="str">
        <f>IF(ISBLANK('Credit Instruction Record'!D11),"",'Credit Instruction Record'!D11)</f>
        <v/>
      </c>
      <c r="I5" t="str">
        <f>IF(ISBLANK('Credit Instruction Record'!E11),"",'Credit Instruction Record'!E11)</f>
        <v/>
      </c>
      <c r="J5" t="str">
        <f>IF(ISBLANK('Credit Instruction Record'!F11),"",'Credit Instruction Record'!F11)</f>
        <v/>
      </c>
      <c r="K5" t="str">
        <f>IF(ISBLANK('Credit Instruction Record'!G11),"",'Credit Instruction Record'!G11)</f>
        <v/>
      </c>
      <c r="L5" t="str">
        <f>IF(ISBLANK('Credit Instruction Record'!H11),"",'Credit Instruction Record'!H11)</f>
        <v/>
      </c>
      <c r="M5" t="str">
        <f>IF(ISBLANK('Credit Instruction Record'!M11),"",'Credit Instruction Record'!M11)</f>
        <v/>
      </c>
      <c r="N5" t="str">
        <f>IF(ISBLANK('Credit Instruction Record'!N11),"",'Credit Instruction Record'!N11)</f>
        <v>SUPP</v>
      </c>
      <c r="O5" t="str">
        <f>IF(ISBLANK('Credit Instruction Record'!O11),"",'Credit Instruction Record'!O11)</f>
        <v/>
      </c>
      <c r="P5" s="58" t="b">
        <f t="shared" si="0"/>
        <v>1</v>
      </c>
      <c r="R5" s="110"/>
      <c r="S5" s="111"/>
      <c r="T5" s="111"/>
      <c r="U5" s="111"/>
      <c r="V5" s="111"/>
      <c r="W5" s="111"/>
      <c r="X5" s="112"/>
    </row>
    <row r="6" spans="1:24">
      <c r="D6" s="34">
        <v>5</v>
      </c>
      <c r="E6" t="str">
        <f>IF(ISBLANK('Credit Instruction Record'!A13),"",'Credit Instruction Record'!A13)</f>
        <v/>
      </c>
      <c r="F6" t="str">
        <f>IF(ISBLANK('Credit Instruction Record'!B13),"",'Credit Instruction Record'!B13)</f>
        <v/>
      </c>
      <c r="G6" t="str">
        <f>IF(ISBLANK('Credit Instruction Record'!C13),"",'Credit Instruction Record'!C13)</f>
        <v>EUR</v>
      </c>
      <c r="H6" s="54" t="str">
        <f>IF(ISBLANK('Credit Instruction Record'!D13),"",'Credit Instruction Record'!D13)</f>
        <v/>
      </c>
      <c r="I6" t="str">
        <f>IF(ISBLANK('Credit Instruction Record'!E13),"",'Credit Instruction Record'!E13)</f>
        <v/>
      </c>
      <c r="J6" t="str">
        <f>IF(ISBLANK('Credit Instruction Record'!F13),"",'Credit Instruction Record'!F13)</f>
        <v/>
      </c>
      <c r="K6" t="str">
        <f>IF(ISBLANK('Credit Instruction Record'!G13),"",'Credit Instruction Record'!G13)</f>
        <v/>
      </c>
      <c r="L6" t="str">
        <f>IF(ISBLANK('Credit Instruction Record'!H13),"",'Credit Instruction Record'!H13)</f>
        <v/>
      </c>
      <c r="M6" t="str">
        <f>IF(ISBLANK('Credit Instruction Record'!M13),"",'Credit Instruction Record'!M13)</f>
        <v/>
      </c>
      <c r="N6" t="str">
        <f>IF(ISBLANK('Credit Instruction Record'!N13),"",'Credit Instruction Record'!N13)</f>
        <v>SUPP</v>
      </c>
      <c r="O6" t="str">
        <f>IF(ISBLANK('Credit Instruction Record'!O13),"",'Credit Instruction Record'!O13)</f>
        <v/>
      </c>
      <c r="P6" s="58" t="b">
        <f t="shared" si="0"/>
        <v>1</v>
      </c>
      <c r="R6" s="110"/>
      <c r="S6" s="111"/>
      <c r="T6" s="111"/>
      <c r="U6" s="111"/>
      <c r="V6" s="111"/>
      <c r="W6" s="111"/>
      <c r="X6" s="112"/>
    </row>
    <row r="7" spans="1:24">
      <c r="A7" s="48"/>
      <c r="D7" s="34">
        <v>6</v>
      </c>
      <c r="E7" t="str">
        <f>IF(ISBLANK('Credit Instruction Record'!A15),"",'Credit Instruction Record'!A15)</f>
        <v/>
      </c>
      <c r="F7" t="str">
        <f>IF(ISBLANK('Credit Instruction Record'!B15),"",'Credit Instruction Record'!B15)</f>
        <v/>
      </c>
      <c r="G7" t="str">
        <f>IF(ISBLANK('Credit Instruction Record'!C15),"",'Credit Instruction Record'!C15)</f>
        <v>EUR</v>
      </c>
      <c r="H7" s="54" t="str">
        <f>IF(ISBLANK('Credit Instruction Record'!D15),"",'Credit Instruction Record'!D15)</f>
        <v/>
      </c>
      <c r="I7" t="str">
        <f>IF(ISBLANK('Credit Instruction Record'!E15),"",'Credit Instruction Record'!E15)</f>
        <v/>
      </c>
      <c r="J7" t="str">
        <f>IF(ISBLANK('Credit Instruction Record'!F15),"",'Credit Instruction Record'!F15)</f>
        <v/>
      </c>
      <c r="K7" t="str">
        <f>IF(ISBLANK('Credit Instruction Record'!G15),"",'Credit Instruction Record'!G15)</f>
        <v/>
      </c>
      <c r="L7" t="str">
        <f>IF(ISBLANK('Credit Instruction Record'!H15),"",'Credit Instruction Record'!H15)</f>
        <v/>
      </c>
      <c r="M7" t="str">
        <f>IF(ISBLANK('Credit Instruction Record'!M15),"",'Credit Instruction Record'!M15)</f>
        <v/>
      </c>
      <c r="N7" t="str">
        <f>IF(ISBLANK('Credit Instruction Record'!N15),"",'Credit Instruction Record'!N15)</f>
        <v>SUPP</v>
      </c>
      <c r="O7" t="str">
        <f>IF(ISBLANK('Credit Instruction Record'!O15),"",'Credit Instruction Record'!O15)</f>
        <v/>
      </c>
      <c r="P7" s="58" t="b">
        <f t="shared" si="0"/>
        <v>1</v>
      </c>
      <c r="R7" s="110"/>
      <c r="S7" s="111"/>
      <c r="T7" s="111"/>
      <c r="U7" s="111"/>
      <c r="V7" s="111"/>
      <c r="W7" s="111"/>
      <c r="X7" s="112"/>
    </row>
    <row r="8" spans="1:24">
      <c r="A8" s="99" t="s">
        <v>112</v>
      </c>
      <c r="B8" t="s">
        <v>829</v>
      </c>
      <c r="D8" s="34">
        <v>7</v>
      </c>
      <c r="E8" t="str">
        <f>IF(ISBLANK('Credit Instruction Record'!A17),"",'Credit Instruction Record'!A17)</f>
        <v/>
      </c>
      <c r="F8" t="str">
        <f>IF(ISBLANK('Credit Instruction Record'!B17),"",'Credit Instruction Record'!B17)</f>
        <v/>
      </c>
      <c r="G8" t="str">
        <f>IF(ISBLANK('Credit Instruction Record'!C17),"",'Credit Instruction Record'!C17)</f>
        <v>EUR</v>
      </c>
      <c r="H8" s="54" t="str">
        <f>IF(ISBLANK('Credit Instruction Record'!D17),"",'Credit Instruction Record'!D17)</f>
        <v/>
      </c>
      <c r="I8" t="str">
        <f>IF(ISBLANK('Credit Instruction Record'!E17),"",'Credit Instruction Record'!E17)</f>
        <v/>
      </c>
      <c r="J8" t="str">
        <f>IF(ISBLANK('Credit Instruction Record'!F17),"",'Credit Instruction Record'!F17)</f>
        <v/>
      </c>
      <c r="K8" t="str">
        <f>IF(ISBLANK('Credit Instruction Record'!G17),"",'Credit Instruction Record'!G17)</f>
        <v/>
      </c>
      <c r="L8" t="str">
        <f>IF(ISBLANK('Credit Instruction Record'!H17),"",'Credit Instruction Record'!H17)</f>
        <v/>
      </c>
      <c r="M8" t="str">
        <f>IF(ISBLANK('Credit Instruction Record'!M17),"",'Credit Instruction Record'!M17)</f>
        <v/>
      </c>
      <c r="N8" t="str">
        <f>IF(ISBLANK('Credit Instruction Record'!N17),"",'Credit Instruction Record'!N17)</f>
        <v>SUPP</v>
      </c>
      <c r="O8" t="str">
        <f>IF(ISBLANK('Credit Instruction Record'!O17),"",'Credit Instruction Record'!O17)</f>
        <v/>
      </c>
      <c r="P8" s="58" t="b">
        <f t="shared" si="0"/>
        <v>1</v>
      </c>
      <c r="R8" s="110"/>
      <c r="S8" s="111"/>
      <c r="T8" s="111"/>
      <c r="U8" s="111"/>
      <c r="V8" s="111"/>
      <c r="W8" s="111"/>
      <c r="X8" s="112"/>
    </row>
    <row r="9" spans="1:24">
      <c r="D9" s="34">
        <v>8</v>
      </c>
      <c r="E9" t="str">
        <f>IF(ISBLANK('Credit Instruction Record'!A19),"",'Credit Instruction Record'!A19)</f>
        <v/>
      </c>
      <c r="F9" t="str">
        <f>IF(ISBLANK('Credit Instruction Record'!B19),"",'Credit Instruction Record'!B19)</f>
        <v/>
      </c>
      <c r="G9" t="str">
        <f>IF(ISBLANK('Credit Instruction Record'!C19),"",'Credit Instruction Record'!C19)</f>
        <v>EUR</v>
      </c>
      <c r="H9" s="54" t="str">
        <f>IF(ISBLANK('Credit Instruction Record'!D19),"",'Credit Instruction Record'!D19)</f>
        <v/>
      </c>
      <c r="I9" t="str">
        <f>IF(ISBLANK('Credit Instruction Record'!E19),"",'Credit Instruction Record'!E19)</f>
        <v/>
      </c>
      <c r="J9" t="str">
        <f>IF(ISBLANK('Credit Instruction Record'!F19),"",'Credit Instruction Record'!F19)</f>
        <v/>
      </c>
      <c r="K9" t="str">
        <f>IF(ISBLANK('Credit Instruction Record'!G19),"",'Credit Instruction Record'!G19)</f>
        <v/>
      </c>
      <c r="L9" t="str">
        <f>IF(ISBLANK('Credit Instruction Record'!H19),"",'Credit Instruction Record'!H19)</f>
        <v/>
      </c>
      <c r="M9" t="str">
        <f>IF(ISBLANK('Credit Instruction Record'!M19),"",'Credit Instruction Record'!M19)</f>
        <v/>
      </c>
      <c r="N9" t="str">
        <f>IF(ISBLANK('Credit Instruction Record'!N19),"",'Credit Instruction Record'!N19)</f>
        <v>SUPP</v>
      </c>
      <c r="O9" t="str">
        <f>IF(ISBLANK('Credit Instruction Record'!O19),"",'Credit Instruction Record'!O19)</f>
        <v/>
      </c>
      <c r="P9" s="58" t="b">
        <f t="shared" ref="P9:P33" si="1">M9=""</f>
        <v>1</v>
      </c>
      <c r="R9" s="110"/>
      <c r="S9" s="111"/>
      <c r="T9" s="111"/>
      <c r="U9" s="111"/>
      <c r="V9" s="111"/>
      <c r="W9" s="111"/>
      <c r="X9" s="112"/>
    </row>
    <row r="10" spans="1:24">
      <c r="A10" s="99" t="s">
        <v>101</v>
      </c>
      <c r="B10" t="s">
        <v>103</v>
      </c>
      <c r="D10" s="34">
        <v>9</v>
      </c>
      <c r="E10" t="str">
        <f>IF(ISBLANK('Credit Instruction Record'!A21),"",'Credit Instruction Record'!A21)</f>
        <v/>
      </c>
      <c r="F10" t="str">
        <f>IF(ISBLANK('Credit Instruction Record'!B21),"",'Credit Instruction Record'!B21)</f>
        <v/>
      </c>
      <c r="G10" t="str">
        <f>IF(ISBLANK('Credit Instruction Record'!C21),"",'Credit Instruction Record'!C21)</f>
        <v>EUR</v>
      </c>
      <c r="H10" s="54" t="str">
        <f>IF(ISBLANK('Credit Instruction Record'!D21),"",'Credit Instruction Record'!D21)</f>
        <v/>
      </c>
      <c r="I10" t="str">
        <f>IF(ISBLANK('Credit Instruction Record'!E21),"",'Credit Instruction Record'!E21)</f>
        <v/>
      </c>
      <c r="J10" t="str">
        <f>IF(ISBLANK('Credit Instruction Record'!F21),"",'Credit Instruction Record'!F21)</f>
        <v/>
      </c>
      <c r="K10" t="str">
        <f>IF(ISBLANK('Credit Instruction Record'!G21),"",'Credit Instruction Record'!G21)</f>
        <v/>
      </c>
      <c r="L10" t="str">
        <f>IF(ISBLANK('Credit Instruction Record'!H21),"",'Credit Instruction Record'!H21)</f>
        <v/>
      </c>
      <c r="M10" t="str">
        <f>IF(ISBLANK('Credit Instruction Record'!M21),"",'Credit Instruction Record'!M21)</f>
        <v/>
      </c>
      <c r="N10" t="str">
        <f>IF(ISBLANK('Credit Instruction Record'!N21),"",'Credit Instruction Record'!N21)</f>
        <v>SUPP</v>
      </c>
      <c r="O10" t="str">
        <f>IF(ISBLANK('Credit Instruction Record'!O21),"",'Credit Instruction Record'!O21)</f>
        <v/>
      </c>
      <c r="P10" s="58" t="b">
        <f t="shared" si="1"/>
        <v>1</v>
      </c>
      <c r="R10" s="110"/>
      <c r="S10" s="111"/>
      <c r="T10" s="111"/>
      <c r="U10" s="111"/>
      <c r="V10" s="111"/>
      <c r="W10" s="111"/>
      <c r="X10" s="112"/>
    </row>
    <row r="11" spans="1:24">
      <c r="A11" s="100"/>
      <c r="B11" s="54"/>
      <c r="D11" s="34">
        <v>10</v>
      </c>
      <c r="E11" t="str">
        <f>IF(ISBLANK('Credit Instruction Record'!A23),"",'Credit Instruction Record'!A23)</f>
        <v/>
      </c>
      <c r="F11" t="str">
        <f>IF(ISBLANK('Credit Instruction Record'!B23),"",'Credit Instruction Record'!B23)</f>
        <v/>
      </c>
      <c r="G11" t="str">
        <f>IF(ISBLANK('Credit Instruction Record'!C23),"",'Credit Instruction Record'!C23)</f>
        <v>EUR</v>
      </c>
      <c r="H11" s="54" t="str">
        <f>IF(ISBLANK('Credit Instruction Record'!D23),"",'Credit Instruction Record'!D23)</f>
        <v/>
      </c>
      <c r="I11" t="str">
        <f>IF(ISBLANK('Credit Instruction Record'!E23),"",'Credit Instruction Record'!E23)</f>
        <v/>
      </c>
      <c r="J11" t="str">
        <f>IF(ISBLANK('Credit Instruction Record'!F23),"",'Credit Instruction Record'!F23)</f>
        <v/>
      </c>
      <c r="K11" t="str">
        <f>IF(ISBLANK('Credit Instruction Record'!G23),"",'Credit Instruction Record'!G23)</f>
        <v/>
      </c>
      <c r="L11" t="str">
        <f>IF(ISBLANK('Credit Instruction Record'!H23),"",'Credit Instruction Record'!H23)</f>
        <v/>
      </c>
      <c r="M11" t="str">
        <f>IF(ISBLANK('Credit Instruction Record'!M23),"",'Credit Instruction Record'!M23)</f>
        <v/>
      </c>
      <c r="N11" t="str">
        <f>IF(ISBLANK('Credit Instruction Record'!N23),"",'Credit Instruction Record'!N23)</f>
        <v>SUPP</v>
      </c>
      <c r="O11" t="str">
        <f>IF(ISBLANK('Credit Instruction Record'!O23),"",'Credit Instruction Record'!O23)</f>
        <v/>
      </c>
      <c r="P11" s="58" t="b">
        <f t="shared" si="1"/>
        <v>1</v>
      </c>
      <c r="R11" s="110"/>
      <c r="S11" s="111"/>
      <c r="T11" s="111"/>
      <c r="U11" s="111"/>
      <c r="V11" s="111"/>
      <c r="W11" s="111"/>
      <c r="X11" s="112"/>
    </row>
    <row r="12" spans="1:24">
      <c r="A12" s="101"/>
      <c r="B12" s="54">
        <v>0</v>
      </c>
      <c r="D12" s="34">
        <v>11</v>
      </c>
      <c r="E12" t="str">
        <f>IF(ISBLANK('Credit Instruction Record'!A25),"",'Credit Instruction Record'!A25)</f>
        <v/>
      </c>
      <c r="F12" t="str">
        <f>IF(ISBLANK('Credit Instruction Record'!B25),"",'Credit Instruction Record'!B25)</f>
        <v/>
      </c>
      <c r="G12" t="str">
        <f>IF(ISBLANK('Credit Instruction Record'!C25),"",'Credit Instruction Record'!C25)</f>
        <v>EUR</v>
      </c>
      <c r="H12" s="54" t="str">
        <f>IF(ISBLANK('Credit Instruction Record'!D25),"",'Credit Instruction Record'!D25)</f>
        <v/>
      </c>
      <c r="I12" t="str">
        <f>IF(ISBLANK('Credit Instruction Record'!E25),"",'Credit Instruction Record'!E25)</f>
        <v/>
      </c>
      <c r="J12" t="str">
        <f>IF(ISBLANK('Credit Instruction Record'!F25),"",'Credit Instruction Record'!F25)</f>
        <v/>
      </c>
      <c r="K12" t="str">
        <f>IF(ISBLANK('Credit Instruction Record'!G25),"",'Credit Instruction Record'!G25)</f>
        <v/>
      </c>
      <c r="L12" t="str">
        <f>IF(ISBLANK('Credit Instruction Record'!H25),"",'Credit Instruction Record'!H25)</f>
        <v/>
      </c>
      <c r="M12" t="str">
        <f>IF(ISBLANK('Credit Instruction Record'!M25),"",'Credit Instruction Record'!M25)</f>
        <v/>
      </c>
      <c r="N12" t="str">
        <f>IF(ISBLANK('Credit Instruction Record'!N25),"",'Credit Instruction Record'!N25)</f>
        <v>SUPP</v>
      </c>
      <c r="O12" t="str">
        <f>IF(ISBLANK('Credit Instruction Record'!O25),"",'Credit Instruction Record'!O25)</f>
        <v/>
      </c>
      <c r="P12" s="58" t="b">
        <f t="shared" si="1"/>
        <v>1</v>
      </c>
      <c r="R12" s="110"/>
      <c r="S12" s="111"/>
      <c r="T12" s="111"/>
      <c r="U12" s="111"/>
      <c r="V12" s="111"/>
      <c r="W12" s="111"/>
      <c r="X12" s="112"/>
    </row>
    <row r="13" spans="1:24">
      <c r="A13" s="100" t="s">
        <v>102</v>
      </c>
      <c r="B13" s="54">
        <v>0</v>
      </c>
      <c r="D13" s="34">
        <v>12</v>
      </c>
      <c r="E13" t="str">
        <f>IF(ISBLANK('Credit Instruction Record'!A27),"",'Credit Instruction Record'!A27)</f>
        <v/>
      </c>
      <c r="F13" t="str">
        <f>IF(ISBLANK('Credit Instruction Record'!B27),"",'Credit Instruction Record'!B27)</f>
        <v/>
      </c>
      <c r="G13" t="str">
        <f>IF(ISBLANK('Credit Instruction Record'!C27),"",'Credit Instruction Record'!C27)</f>
        <v>EUR</v>
      </c>
      <c r="H13" s="54" t="str">
        <f>IF(ISBLANK('Credit Instruction Record'!D27),"",'Credit Instruction Record'!D27)</f>
        <v/>
      </c>
      <c r="I13" t="str">
        <f>IF(ISBLANK('Credit Instruction Record'!E27),"",'Credit Instruction Record'!E27)</f>
        <v/>
      </c>
      <c r="J13" t="str">
        <f>IF(ISBLANK('Credit Instruction Record'!F27),"",'Credit Instruction Record'!F27)</f>
        <v/>
      </c>
      <c r="K13" t="str">
        <f>IF(ISBLANK('Credit Instruction Record'!G27),"",'Credit Instruction Record'!G27)</f>
        <v/>
      </c>
      <c r="L13" t="str">
        <f>IF(ISBLANK('Credit Instruction Record'!H27),"",'Credit Instruction Record'!H27)</f>
        <v/>
      </c>
      <c r="M13" t="str">
        <f>IF(ISBLANK('Credit Instruction Record'!M27),"",'Credit Instruction Record'!M27)</f>
        <v/>
      </c>
      <c r="N13" t="str">
        <f>IF(ISBLANK('Credit Instruction Record'!N27),"",'Credit Instruction Record'!N27)</f>
        <v>SUPP</v>
      </c>
      <c r="O13" t="str">
        <f>IF(ISBLANK('Credit Instruction Record'!O27),"",'Credit Instruction Record'!O27)</f>
        <v/>
      </c>
      <c r="P13" s="58" t="b">
        <f t="shared" si="1"/>
        <v>1</v>
      </c>
      <c r="R13" s="110"/>
      <c r="S13" s="111"/>
      <c r="T13" s="111"/>
      <c r="U13" s="111"/>
      <c r="V13" s="111"/>
      <c r="W13" s="111"/>
      <c r="X13" s="112"/>
    </row>
    <row r="14" spans="1:24" ht="15.75" thickBot="1">
      <c r="D14" s="34">
        <v>13</v>
      </c>
      <c r="E14" t="str">
        <f>IF(ISBLANK('Credit Instruction Record'!A29),"",'Credit Instruction Record'!A29)</f>
        <v/>
      </c>
      <c r="F14" t="str">
        <f>IF(ISBLANK('Credit Instruction Record'!B29),"",'Credit Instruction Record'!B29)</f>
        <v/>
      </c>
      <c r="G14" t="str">
        <f>IF(ISBLANK('Credit Instruction Record'!C29),"",'Credit Instruction Record'!C29)</f>
        <v>EUR</v>
      </c>
      <c r="H14" s="54" t="str">
        <f>IF(ISBLANK('Credit Instruction Record'!D29),"",'Credit Instruction Record'!D29)</f>
        <v/>
      </c>
      <c r="I14" t="str">
        <f>IF(ISBLANK('Credit Instruction Record'!E29),"",'Credit Instruction Record'!E29)</f>
        <v/>
      </c>
      <c r="J14" t="str">
        <f>IF(ISBLANK('Credit Instruction Record'!F29),"",'Credit Instruction Record'!F29)</f>
        <v/>
      </c>
      <c r="K14" t="str">
        <f>IF(ISBLANK('Credit Instruction Record'!G29),"",'Credit Instruction Record'!G29)</f>
        <v/>
      </c>
      <c r="L14" t="str">
        <f>IF(ISBLANK('Credit Instruction Record'!H29),"",'Credit Instruction Record'!H29)</f>
        <v/>
      </c>
      <c r="M14" t="str">
        <f>IF(ISBLANK('Credit Instruction Record'!M29),"",'Credit Instruction Record'!M29)</f>
        <v/>
      </c>
      <c r="N14" t="str">
        <f>IF(ISBLANK('Credit Instruction Record'!N29),"",'Credit Instruction Record'!N29)</f>
        <v>SUPP</v>
      </c>
      <c r="O14" t="str">
        <f>IF(ISBLANK('Credit Instruction Record'!O29),"",'Credit Instruction Record'!O29)</f>
        <v/>
      </c>
      <c r="P14" s="58" t="b">
        <f t="shared" si="1"/>
        <v>1</v>
      </c>
      <c r="R14" s="113"/>
      <c r="S14" s="114"/>
      <c r="T14" s="114"/>
      <c r="U14" s="114"/>
      <c r="V14" s="114"/>
      <c r="W14" s="114"/>
      <c r="X14" s="115"/>
    </row>
    <row r="15" spans="1:24" ht="15.75" thickBot="1">
      <c r="D15" s="34">
        <v>14</v>
      </c>
      <c r="E15" t="str">
        <f>IF(ISBLANK('Credit Instruction Record'!A31),"",'Credit Instruction Record'!A31)</f>
        <v/>
      </c>
      <c r="F15" t="str">
        <f>IF(ISBLANK('Credit Instruction Record'!B31),"",'Credit Instruction Record'!B31)</f>
        <v/>
      </c>
      <c r="G15" t="str">
        <f>IF(ISBLANK('Credit Instruction Record'!C31),"",'Credit Instruction Record'!C31)</f>
        <v>EUR</v>
      </c>
      <c r="H15" s="54" t="str">
        <f>IF(ISBLANK('Credit Instruction Record'!D31),"",'Credit Instruction Record'!D31)</f>
        <v/>
      </c>
      <c r="I15" t="str">
        <f>IF(ISBLANK('Credit Instruction Record'!E31),"",'Credit Instruction Record'!E31)</f>
        <v/>
      </c>
      <c r="J15" t="str">
        <f>IF(ISBLANK('Credit Instruction Record'!F31),"",'Credit Instruction Record'!F31)</f>
        <v/>
      </c>
      <c r="K15" t="str">
        <f>IF(ISBLANK('Credit Instruction Record'!G31),"",'Credit Instruction Record'!G31)</f>
        <v/>
      </c>
      <c r="L15" t="str">
        <f>IF(ISBLANK('Credit Instruction Record'!H31),"",'Credit Instruction Record'!H31)</f>
        <v/>
      </c>
      <c r="M15" t="str">
        <f>IF(ISBLANK('Credit Instruction Record'!M31),"",'Credit Instruction Record'!M31)</f>
        <v/>
      </c>
      <c r="N15" t="str">
        <f>IF(ISBLANK('Credit Instruction Record'!N31),"",'Credit Instruction Record'!N31)</f>
        <v>SUPP</v>
      </c>
      <c r="O15" t="str">
        <f>IF(ISBLANK('Credit Instruction Record'!O31),"",'Credit Instruction Record'!O31)</f>
        <v/>
      </c>
      <c r="P15" s="58" t="b">
        <f t="shared" si="1"/>
        <v>1</v>
      </c>
    </row>
    <row r="16" spans="1:24">
      <c r="D16" s="34">
        <v>15</v>
      </c>
      <c r="E16" t="str">
        <f>IF(ISBLANK('Credit Instruction Record'!A33),"",'Credit Instruction Record'!A33)</f>
        <v/>
      </c>
      <c r="F16" t="str">
        <f>IF(ISBLANK('Credit Instruction Record'!B33),"",'Credit Instruction Record'!B33)</f>
        <v/>
      </c>
      <c r="G16" t="str">
        <f>IF(ISBLANK('Credit Instruction Record'!C33),"",'Credit Instruction Record'!C33)</f>
        <v>EUR</v>
      </c>
      <c r="H16" s="54" t="str">
        <f>IF(ISBLANK('Credit Instruction Record'!D33),"",'Credit Instruction Record'!D33)</f>
        <v/>
      </c>
      <c r="I16" t="str">
        <f>IF(ISBLANK('Credit Instruction Record'!E33),"",'Credit Instruction Record'!E33)</f>
        <v/>
      </c>
      <c r="J16" t="str">
        <f>IF(ISBLANK('Credit Instruction Record'!F33),"",'Credit Instruction Record'!F33)</f>
        <v/>
      </c>
      <c r="K16" t="str">
        <f>IF(ISBLANK('Credit Instruction Record'!G33),"",'Credit Instruction Record'!G33)</f>
        <v/>
      </c>
      <c r="L16" t="str">
        <f>IF(ISBLANK('Credit Instruction Record'!H33),"",'Credit Instruction Record'!H33)</f>
        <v/>
      </c>
      <c r="M16" t="str">
        <f>IF(ISBLANK('Credit Instruction Record'!M33),"",'Credit Instruction Record'!M33)</f>
        <v/>
      </c>
      <c r="N16" t="str">
        <f>IF(ISBLANK('Credit Instruction Record'!N33),"",'Credit Instruction Record'!N33)</f>
        <v>SUPP</v>
      </c>
      <c r="O16" t="str">
        <f>IF(ISBLANK('Credit Instruction Record'!O33),"",'Credit Instruction Record'!O33)</f>
        <v/>
      </c>
      <c r="P16" s="58" t="b">
        <f t="shared" si="1"/>
        <v>1</v>
      </c>
      <c r="R16" s="116" t="s">
        <v>114</v>
      </c>
      <c r="S16" s="117"/>
      <c r="T16" s="117"/>
      <c r="U16" s="117"/>
      <c r="V16" s="117"/>
      <c r="W16" s="117"/>
      <c r="X16" s="118"/>
    </row>
    <row r="17" spans="4:24">
      <c r="D17" s="34">
        <v>16</v>
      </c>
      <c r="E17" t="str">
        <f>IF(ISBLANK('Credit Instruction Record'!A35),"",'Credit Instruction Record'!A35)</f>
        <v/>
      </c>
      <c r="F17" t="str">
        <f>IF(ISBLANK('Credit Instruction Record'!B35),"",'Credit Instruction Record'!B35)</f>
        <v/>
      </c>
      <c r="G17" t="str">
        <f>IF(ISBLANK('Credit Instruction Record'!C35),"",'Credit Instruction Record'!C35)</f>
        <v>EUR</v>
      </c>
      <c r="H17" s="54" t="str">
        <f>IF(ISBLANK('Credit Instruction Record'!D35),"",'Credit Instruction Record'!D35)</f>
        <v/>
      </c>
      <c r="I17" t="str">
        <f>IF(ISBLANK('Credit Instruction Record'!E35),"",'Credit Instruction Record'!E35)</f>
        <v/>
      </c>
      <c r="J17" t="str">
        <f>IF(ISBLANK('Credit Instruction Record'!F35),"",'Credit Instruction Record'!F35)</f>
        <v/>
      </c>
      <c r="K17" t="str">
        <f>IF(ISBLANK('Credit Instruction Record'!G35),"",'Credit Instruction Record'!G35)</f>
        <v/>
      </c>
      <c r="L17" t="str">
        <f>IF(ISBLANK('Credit Instruction Record'!H35),"",'Credit Instruction Record'!H35)</f>
        <v/>
      </c>
      <c r="M17" t="str">
        <f>IF(ISBLANK('Credit Instruction Record'!M35),"",'Credit Instruction Record'!M35)</f>
        <v/>
      </c>
      <c r="N17" t="str">
        <f>IF(ISBLANK('Credit Instruction Record'!N35),"",'Credit Instruction Record'!N35)</f>
        <v>SUPP</v>
      </c>
      <c r="O17" t="str">
        <f>IF(ISBLANK('Credit Instruction Record'!O35),"",'Credit Instruction Record'!O35)</f>
        <v/>
      </c>
      <c r="P17" s="58" t="b">
        <f t="shared" si="1"/>
        <v>1</v>
      </c>
      <c r="R17" s="119"/>
      <c r="S17" s="120"/>
      <c r="T17" s="120"/>
      <c r="U17" s="120"/>
      <c r="V17" s="120"/>
      <c r="W17" s="120"/>
      <c r="X17" s="121"/>
    </row>
    <row r="18" spans="4:24">
      <c r="D18" s="34">
        <v>17</v>
      </c>
      <c r="E18" t="str">
        <f>IF(ISBLANK('Credit Instruction Record'!A37),"",'Credit Instruction Record'!A37)</f>
        <v/>
      </c>
      <c r="F18" t="str">
        <f>IF(ISBLANK('Credit Instruction Record'!B37),"",'Credit Instruction Record'!B37)</f>
        <v/>
      </c>
      <c r="G18" t="str">
        <f>IF(ISBLANK('Credit Instruction Record'!C37),"",'Credit Instruction Record'!C37)</f>
        <v>EUR</v>
      </c>
      <c r="H18" s="54" t="str">
        <f>IF(ISBLANK('Credit Instruction Record'!D37),"",'Credit Instruction Record'!D37)</f>
        <v/>
      </c>
      <c r="I18" t="str">
        <f>IF(ISBLANK('Credit Instruction Record'!E37),"",'Credit Instruction Record'!E37)</f>
        <v/>
      </c>
      <c r="J18" t="str">
        <f>IF(ISBLANK('Credit Instruction Record'!F37),"",'Credit Instruction Record'!F37)</f>
        <v/>
      </c>
      <c r="K18" t="str">
        <f>IF(ISBLANK('Credit Instruction Record'!G37),"",'Credit Instruction Record'!G37)</f>
        <v/>
      </c>
      <c r="L18" t="str">
        <f>IF(ISBLANK('Credit Instruction Record'!H37),"",'Credit Instruction Record'!H37)</f>
        <v/>
      </c>
      <c r="M18" t="str">
        <f>IF(ISBLANK('Credit Instruction Record'!M37),"",'Credit Instruction Record'!M37)</f>
        <v/>
      </c>
      <c r="N18" t="str">
        <f>IF(ISBLANK('Credit Instruction Record'!N37),"",'Credit Instruction Record'!N37)</f>
        <v>SUPP</v>
      </c>
      <c r="O18" t="str">
        <f>IF(ISBLANK('Credit Instruction Record'!O37),"",'Credit Instruction Record'!O37)</f>
        <v/>
      </c>
      <c r="P18" s="58" t="b">
        <f t="shared" si="1"/>
        <v>1</v>
      </c>
      <c r="R18" s="119"/>
      <c r="S18" s="120"/>
      <c r="T18" s="120"/>
      <c r="U18" s="120"/>
      <c r="V18" s="120"/>
      <c r="W18" s="120"/>
      <c r="X18" s="121"/>
    </row>
    <row r="19" spans="4:24">
      <c r="D19" s="34">
        <v>18</v>
      </c>
      <c r="E19" t="str">
        <f>IF(ISBLANK('Credit Instruction Record'!A39),"",'Credit Instruction Record'!A39)</f>
        <v/>
      </c>
      <c r="F19" t="str">
        <f>IF(ISBLANK('Credit Instruction Record'!B39),"",'Credit Instruction Record'!B39)</f>
        <v/>
      </c>
      <c r="G19" t="str">
        <f>IF(ISBLANK('Credit Instruction Record'!C39),"",'Credit Instruction Record'!C39)</f>
        <v>EUR</v>
      </c>
      <c r="H19" s="54" t="str">
        <f>IF(ISBLANK('Credit Instruction Record'!D39),"",'Credit Instruction Record'!D39)</f>
        <v/>
      </c>
      <c r="I19" t="str">
        <f>IF(ISBLANK('Credit Instruction Record'!E39),"",'Credit Instruction Record'!E39)</f>
        <v/>
      </c>
      <c r="J19" t="str">
        <f>IF(ISBLANK('Credit Instruction Record'!F39),"",'Credit Instruction Record'!F39)</f>
        <v/>
      </c>
      <c r="K19" t="str">
        <f>IF(ISBLANK('Credit Instruction Record'!G39),"",'Credit Instruction Record'!G39)</f>
        <v/>
      </c>
      <c r="L19" t="str">
        <f>IF(ISBLANK('Credit Instruction Record'!H39),"",'Credit Instruction Record'!H39)</f>
        <v/>
      </c>
      <c r="M19" t="str">
        <f>IF(ISBLANK('Credit Instruction Record'!M39),"",'Credit Instruction Record'!M39)</f>
        <v/>
      </c>
      <c r="N19" t="str">
        <f>IF(ISBLANK('Credit Instruction Record'!N39),"",'Credit Instruction Record'!N39)</f>
        <v>SUPP</v>
      </c>
      <c r="O19" t="str">
        <f>IF(ISBLANK('Credit Instruction Record'!O39),"",'Credit Instruction Record'!O39)</f>
        <v/>
      </c>
      <c r="P19" s="58" t="b">
        <f t="shared" si="1"/>
        <v>1</v>
      </c>
      <c r="R19" s="119"/>
      <c r="S19" s="120"/>
      <c r="T19" s="120"/>
      <c r="U19" s="120"/>
      <c r="V19" s="120"/>
      <c r="W19" s="120"/>
      <c r="X19" s="121"/>
    </row>
    <row r="20" spans="4:24">
      <c r="D20" s="34">
        <v>19</v>
      </c>
      <c r="E20" t="str">
        <f>IF(ISBLANK('Credit Instruction Record'!A41),"",'Credit Instruction Record'!A41)</f>
        <v/>
      </c>
      <c r="F20" t="str">
        <f>IF(ISBLANK('Credit Instruction Record'!B41),"",'Credit Instruction Record'!B41)</f>
        <v/>
      </c>
      <c r="G20" t="str">
        <f>IF(ISBLANK('Credit Instruction Record'!C41),"",'Credit Instruction Record'!C41)</f>
        <v>EUR</v>
      </c>
      <c r="H20" s="54" t="str">
        <f>IF(ISBLANK('Credit Instruction Record'!D41),"",'Credit Instruction Record'!D41)</f>
        <v/>
      </c>
      <c r="I20" t="str">
        <f>IF(ISBLANK('Credit Instruction Record'!E41),"",'Credit Instruction Record'!E41)</f>
        <v/>
      </c>
      <c r="J20" t="str">
        <f>IF(ISBLANK('Credit Instruction Record'!F41),"",'Credit Instruction Record'!F41)</f>
        <v/>
      </c>
      <c r="K20" t="str">
        <f>IF(ISBLANK('Credit Instruction Record'!G41),"",'Credit Instruction Record'!G41)</f>
        <v/>
      </c>
      <c r="L20" t="str">
        <f>IF(ISBLANK('Credit Instruction Record'!H41),"",'Credit Instruction Record'!H41)</f>
        <v/>
      </c>
      <c r="M20" t="str">
        <f>IF(ISBLANK('Credit Instruction Record'!M41),"",'Credit Instruction Record'!M41)</f>
        <v/>
      </c>
      <c r="N20" t="str">
        <f>IF(ISBLANK('Credit Instruction Record'!N41),"",'Credit Instruction Record'!N41)</f>
        <v>SUPP</v>
      </c>
      <c r="O20" t="str">
        <f>IF(ISBLANK('Credit Instruction Record'!O41),"",'Credit Instruction Record'!O41)</f>
        <v/>
      </c>
      <c r="P20" s="58" t="b">
        <f t="shared" si="1"/>
        <v>1</v>
      </c>
      <c r="R20" s="119"/>
      <c r="S20" s="120"/>
      <c r="T20" s="120"/>
      <c r="U20" s="120"/>
      <c r="V20" s="120"/>
      <c r="W20" s="120"/>
      <c r="X20" s="121"/>
    </row>
    <row r="21" spans="4:24">
      <c r="D21" s="34">
        <v>20</v>
      </c>
      <c r="E21" t="str">
        <f>IF(ISBLANK('Credit Instruction Record'!A43),"",'Credit Instruction Record'!A43)</f>
        <v/>
      </c>
      <c r="F21" t="str">
        <f>IF(ISBLANK('Credit Instruction Record'!B43),"",'Credit Instruction Record'!B43)</f>
        <v/>
      </c>
      <c r="G21" t="str">
        <f>IF(ISBLANK('Credit Instruction Record'!C43),"",'Credit Instruction Record'!C43)</f>
        <v>EUR</v>
      </c>
      <c r="H21" s="54" t="str">
        <f>IF(ISBLANK('Credit Instruction Record'!D43),"",'Credit Instruction Record'!D43)</f>
        <v/>
      </c>
      <c r="I21" t="str">
        <f>IF(ISBLANK('Credit Instruction Record'!E43),"",'Credit Instruction Record'!E43)</f>
        <v/>
      </c>
      <c r="J21" t="str">
        <f>IF(ISBLANK('Credit Instruction Record'!F43),"",'Credit Instruction Record'!F43)</f>
        <v/>
      </c>
      <c r="K21" t="str">
        <f>IF(ISBLANK('Credit Instruction Record'!G43),"",'Credit Instruction Record'!G43)</f>
        <v/>
      </c>
      <c r="L21" t="str">
        <f>IF(ISBLANK('Credit Instruction Record'!H43),"",'Credit Instruction Record'!H43)</f>
        <v/>
      </c>
      <c r="M21" t="str">
        <f>IF(ISBLANK('Credit Instruction Record'!M43),"",'Credit Instruction Record'!M43)</f>
        <v/>
      </c>
      <c r="N21" t="str">
        <f>IF(ISBLANK('Credit Instruction Record'!N43),"",'Credit Instruction Record'!N43)</f>
        <v>SUPP</v>
      </c>
      <c r="O21" t="str">
        <f>IF(ISBLANK('Credit Instruction Record'!O43),"",'Credit Instruction Record'!O43)</f>
        <v/>
      </c>
      <c r="P21" s="58" t="b">
        <f t="shared" si="1"/>
        <v>1</v>
      </c>
      <c r="R21" s="119"/>
      <c r="S21" s="120"/>
      <c r="T21" s="120"/>
      <c r="U21" s="120"/>
      <c r="V21" s="120"/>
      <c r="W21" s="120"/>
      <c r="X21" s="121"/>
    </row>
    <row r="22" spans="4:24">
      <c r="D22" s="34">
        <v>21</v>
      </c>
      <c r="E22" t="str">
        <f>IF(ISBLANK('Credit Instruction Record'!A45),"",'Credit Instruction Record'!A45)</f>
        <v/>
      </c>
      <c r="F22" t="str">
        <f>IF(ISBLANK('Credit Instruction Record'!B45),"",'Credit Instruction Record'!B45)</f>
        <v/>
      </c>
      <c r="G22" t="str">
        <f>IF(ISBLANK('Credit Instruction Record'!C45),"",'Credit Instruction Record'!C45)</f>
        <v>EUR</v>
      </c>
      <c r="H22" s="54" t="str">
        <f>IF(ISBLANK('Credit Instruction Record'!D45),"",'Credit Instruction Record'!D45)</f>
        <v/>
      </c>
      <c r="I22" t="str">
        <f>IF(ISBLANK('Credit Instruction Record'!E45),"",'Credit Instruction Record'!E45)</f>
        <v/>
      </c>
      <c r="J22" t="str">
        <f>IF(ISBLANK('Credit Instruction Record'!F45),"",'Credit Instruction Record'!F45)</f>
        <v/>
      </c>
      <c r="K22" t="str">
        <f>IF(ISBLANK('Credit Instruction Record'!G45),"",'Credit Instruction Record'!G45)</f>
        <v/>
      </c>
      <c r="L22" t="str">
        <f>IF(ISBLANK('Credit Instruction Record'!H45),"",'Credit Instruction Record'!H45)</f>
        <v/>
      </c>
      <c r="M22" t="str">
        <f>IF(ISBLANK('Credit Instruction Record'!M45),"",'Credit Instruction Record'!M45)</f>
        <v/>
      </c>
      <c r="N22" t="str">
        <f>IF(ISBLANK('Credit Instruction Record'!N45),"",'Credit Instruction Record'!N45)</f>
        <v>SUPP</v>
      </c>
      <c r="O22" t="str">
        <f>IF(ISBLANK('Credit Instruction Record'!O45),"",'Credit Instruction Record'!O45)</f>
        <v/>
      </c>
      <c r="P22" s="58" t="b">
        <f t="shared" si="1"/>
        <v>1</v>
      </c>
      <c r="R22" s="119"/>
      <c r="S22" s="120"/>
      <c r="T22" s="120"/>
      <c r="U22" s="120"/>
      <c r="V22" s="120"/>
      <c r="W22" s="120"/>
      <c r="X22" s="121"/>
    </row>
    <row r="23" spans="4:24">
      <c r="D23" s="34">
        <v>22</v>
      </c>
      <c r="E23" t="str">
        <f>IF(ISBLANK('Credit Instruction Record'!A47),"",'Credit Instruction Record'!A47)</f>
        <v/>
      </c>
      <c r="F23" t="str">
        <f>IF(ISBLANK('Credit Instruction Record'!B47),"",'Credit Instruction Record'!B47)</f>
        <v/>
      </c>
      <c r="G23" t="str">
        <f>IF(ISBLANK('Credit Instruction Record'!C47),"",'Credit Instruction Record'!C47)</f>
        <v>EUR</v>
      </c>
      <c r="H23" s="54" t="str">
        <f>IF(ISBLANK('Credit Instruction Record'!D47),"",'Credit Instruction Record'!D47)</f>
        <v/>
      </c>
      <c r="I23" t="str">
        <f>IF(ISBLANK('Credit Instruction Record'!E47),"",'Credit Instruction Record'!E47)</f>
        <v/>
      </c>
      <c r="J23" t="str">
        <f>IF(ISBLANK('Credit Instruction Record'!F47),"",'Credit Instruction Record'!F47)</f>
        <v/>
      </c>
      <c r="K23" t="str">
        <f>IF(ISBLANK('Credit Instruction Record'!G47),"",'Credit Instruction Record'!G47)</f>
        <v/>
      </c>
      <c r="L23" t="str">
        <f>IF(ISBLANK('Credit Instruction Record'!H47),"",'Credit Instruction Record'!H47)</f>
        <v/>
      </c>
      <c r="M23" t="str">
        <f>IF(ISBLANK('Credit Instruction Record'!M47),"",'Credit Instruction Record'!M47)</f>
        <v/>
      </c>
      <c r="N23" t="str">
        <f>IF(ISBLANK('Credit Instruction Record'!N47),"",'Credit Instruction Record'!N47)</f>
        <v>SUPP</v>
      </c>
      <c r="O23" t="str">
        <f>IF(ISBLANK('Credit Instruction Record'!O47),"",'Credit Instruction Record'!O47)</f>
        <v/>
      </c>
      <c r="P23" s="58" t="b">
        <f t="shared" si="1"/>
        <v>1</v>
      </c>
      <c r="R23" s="119"/>
      <c r="S23" s="120"/>
      <c r="T23" s="120"/>
      <c r="U23" s="120"/>
      <c r="V23" s="120"/>
      <c r="W23" s="120"/>
      <c r="X23" s="121"/>
    </row>
    <row r="24" spans="4:24">
      <c r="D24" s="34">
        <v>23</v>
      </c>
      <c r="E24" t="str">
        <f>IF(ISBLANK('Credit Instruction Record'!A49),"",'Credit Instruction Record'!A49)</f>
        <v/>
      </c>
      <c r="F24" t="str">
        <f>IF(ISBLANK('Credit Instruction Record'!B49),"",'Credit Instruction Record'!B49)</f>
        <v/>
      </c>
      <c r="G24" t="str">
        <f>IF(ISBLANK('Credit Instruction Record'!C49),"",'Credit Instruction Record'!C49)</f>
        <v>EUR</v>
      </c>
      <c r="H24" s="54" t="str">
        <f>IF(ISBLANK('Credit Instruction Record'!D49),"",'Credit Instruction Record'!D49)</f>
        <v/>
      </c>
      <c r="I24" t="str">
        <f>IF(ISBLANK('Credit Instruction Record'!E49),"",'Credit Instruction Record'!E49)</f>
        <v/>
      </c>
      <c r="J24" t="str">
        <f>IF(ISBLANK('Credit Instruction Record'!F49),"",'Credit Instruction Record'!F49)</f>
        <v/>
      </c>
      <c r="K24" t="str">
        <f>IF(ISBLANK('Credit Instruction Record'!G49),"",'Credit Instruction Record'!G49)</f>
        <v/>
      </c>
      <c r="L24" t="str">
        <f>IF(ISBLANK('Credit Instruction Record'!H49),"",'Credit Instruction Record'!H49)</f>
        <v/>
      </c>
      <c r="M24" t="str">
        <f>IF(ISBLANK('Credit Instruction Record'!M49),"",'Credit Instruction Record'!M49)</f>
        <v/>
      </c>
      <c r="N24" t="str">
        <f>IF(ISBLANK('Credit Instruction Record'!N49),"",'Credit Instruction Record'!N49)</f>
        <v>SUPP</v>
      </c>
      <c r="O24" t="str">
        <f>IF(ISBLANK('Credit Instruction Record'!O49),"",'Credit Instruction Record'!O49)</f>
        <v/>
      </c>
      <c r="P24" s="58" t="b">
        <f t="shared" si="1"/>
        <v>1</v>
      </c>
      <c r="R24" s="119"/>
      <c r="S24" s="120"/>
      <c r="T24" s="120"/>
      <c r="U24" s="120"/>
      <c r="V24" s="120"/>
      <c r="W24" s="120"/>
      <c r="X24" s="121"/>
    </row>
    <row r="25" spans="4:24">
      <c r="D25" s="34">
        <v>24</v>
      </c>
      <c r="E25" t="str">
        <f>IF(ISBLANK('Credit Instruction Record'!A51),"",'Credit Instruction Record'!A51)</f>
        <v/>
      </c>
      <c r="F25" t="str">
        <f>IF(ISBLANK('Credit Instruction Record'!B51),"",'Credit Instruction Record'!B51)</f>
        <v/>
      </c>
      <c r="G25" t="str">
        <f>IF(ISBLANK('Credit Instruction Record'!C51),"",'Credit Instruction Record'!C51)</f>
        <v>EUR</v>
      </c>
      <c r="H25" s="54" t="str">
        <f>IF(ISBLANK('Credit Instruction Record'!D51),"",'Credit Instruction Record'!D51)</f>
        <v/>
      </c>
      <c r="I25" t="str">
        <f>IF(ISBLANK('Credit Instruction Record'!E51),"",'Credit Instruction Record'!E51)</f>
        <v/>
      </c>
      <c r="J25" t="str">
        <f>IF(ISBLANK('Credit Instruction Record'!F51),"",'Credit Instruction Record'!F51)</f>
        <v/>
      </c>
      <c r="K25" t="str">
        <f>IF(ISBLANK('Credit Instruction Record'!G51),"",'Credit Instruction Record'!G51)</f>
        <v/>
      </c>
      <c r="L25" t="str">
        <f>IF(ISBLANK('Credit Instruction Record'!H51),"",'Credit Instruction Record'!H51)</f>
        <v/>
      </c>
      <c r="M25" t="str">
        <f>IF(ISBLANK('Credit Instruction Record'!M51),"",'Credit Instruction Record'!M51)</f>
        <v/>
      </c>
      <c r="N25" t="str">
        <f>IF(ISBLANK('Credit Instruction Record'!N51),"",'Credit Instruction Record'!N51)</f>
        <v>SUPP</v>
      </c>
      <c r="O25" t="str">
        <f>IF(ISBLANK('Credit Instruction Record'!O51),"",'Credit Instruction Record'!O51)</f>
        <v/>
      </c>
      <c r="P25" s="58" t="b">
        <f t="shared" si="1"/>
        <v>1</v>
      </c>
      <c r="R25" s="119"/>
      <c r="S25" s="120"/>
      <c r="T25" s="120"/>
      <c r="U25" s="120"/>
      <c r="V25" s="120"/>
      <c r="W25" s="120"/>
      <c r="X25" s="121"/>
    </row>
    <row r="26" spans="4:24">
      <c r="D26" s="34">
        <v>25</v>
      </c>
      <c r="E26" t="str">
        <f>IF(ISBLANK('Credit Instruction Record'!A53),"",'Credit Instruction Record'!A53)</f>
        <v/>
      </c>
      <c r="F26" t="str">
        <f>IF(ISBLANK('Credit Instruction Record'!B53),"",'Credit Instruction Record'!B53)</f>
        <v/>
      </c>
      <c r="G26" t="str">
        <f>IF(ISBLANK('Credit Instruction Record'!C53),"",'Credit Instruction Record'!C53)</f>
        <v>EUR</v>
      </c>
      <c r="H26" s="54" t="str">
        <f>IF(ISBLANK('Credit Instruction Record'!D53),"",'Credit Instruction Record'!D53)</f>
        <v/>
      </c>
      <c r="I26" t="str">
        <f>IF(ISBLANK('Credit Instruction Record'!E53),"",'Credit Instruction Record'!E53)</f>
        <v/>
      </c>
      <c r="J26" t="str">
        <f>IF(ISBLANK('Credit Instruction Record'!F53),"",'Credit Instruction Record'!F53)</f>
        <v/>
      </c>
      <c r="K26" t="str">
        <f>IF(ISBLANK('Credit Instruction Record'!G53),"",'Credit Instruction Record'!G53)</f>
        <v/>
      </c>
      <c r="L26" t="str">
        <f>IF(ISBLANK('Credit Instruction Record'!H53),"",'Credit Instruction Record'!H53)</f>
        <v/>
      </c>
      <c r="M26" t="str">
        <f>IF(ISBLANK('Credit Instruction Record'!M53),"",'Credit Instruction Record'!M53)</f>
        <v/>
      </c>
      <c r="N26" t="str">
        <f>IF(ISBLANK('Credit Instruction Record'!N53),"",'Credit Instruction Record'!N53)</f>
        <v>SUPP</v>
      </c>
      <c r="O26" t="str">
        <f>IF(ISBLANK('Credit Instruction Record'!O53),"",'Credit Instruction Record'!O53)</f>
        <v/>
      </c>
      <c r="P26" s="58" t="b">
        <f t="shared" si="1"/>
        <v>1</v>
      </c>
      <c r="R26" s="119"/>
      <c r="S26" s="120"/>
      <c r="T26" s="120"/>
      <c r="U26" s="120"/>
      <c r="V26" s="120"/>
      <c r="W26" s="120"/>
      <c r="X26" s="121"/>
    </row>
    <row r="27" spans="4:24">
      <c r="D27" s="34">
        <v>26</v>
      </c>
      <c r="E27" t="str">
        <f>IF(ISBLANK('Credit Instruction Record'!A55),"",'Credit Instruction Record'!A55)</f>
        <v/>
      </c>
      <c r="F27" t="str">
        <f>IF(ISBLANK('Credit Instruction Record'!B55),"",'Credit Instruction Record'!B55)</f>
        <v/>
      </c>
      <c r="G27" t="str">
        <f>IF(ISBLANK('Credit Instruction Record'!C55),"",'Credit Instruction Record'!C55)</f>
        <v>EUR</v>
      </c>
      <c r="H27" s="54" t="str">
        <f>IF(ISBLANK('Credit Instruction Record'!D55),"",'Credit Instruction Record'!D55)</f>
        <v/>
      </c>
      <c r="I27" t="str">
        <f>IF(ISBLANK('Credit Instruction Record'!E55),"",'Credit Instruction Record'!E55)</f>
        <v/>
      </c>
      <c r="J27" t="str">
        <f>IF(ISBLANK('Credit Instruction Record'!F55),"",'Credit Instruction Record'!F55)</f>
        <v/>
      </c>
      <c r="K27" t="str">
        <f>IF(ISBLANK('Credit Instruction Record'!G55),"",'Credit Instruction Record'!G55)</f>
        <v/>
      </c>
      <c r="L27" t="str">
        <f>IF(ISBLANK('Credit Instruction Record'!H55),"",'Credit Instruction Record'!H55)</f>
        <v/>
      </c>
      <c r="M27" t="str">
        <f>IF(ISBLANK('Credit Instruction Record'!M55),"",'Credit Instruction Record'!M55)</f>
        <v/>
      </c>
      <c r="N27" t="str">
        <f>IF(ISBLANK('Credit Instruction Record'!N55),"",'Credit Instruction Record'!N55)</f>
        <v>SUPP</v>
      </c>
      <c r="O27" t="str">
        <f>IF(ISBLANK('Credit Instruction Record'!O55),"",'Credit Instruction Record'!O55)</f>
        <v/>
      </c>
      <c r="P27" s="58" t="b">
        <f t="shared" si="1"/>
        <v>1</v>
      </c>
      <c r="R27" s="119"/>
      <c r="S27" s="120"/>
      <c r="T27" s="120"/>
      <c r="U27" s="120"/>
      <c r="V27" s="120"/>
      <c r="W27" s="120"/>
      <c r="X27" s="121"/>
    </row>
    <row r="28" spans="4:24" ht="15.75" thickBot="1">
      <c r="D28" s="34">
        <v>27</v>
      </c>
      <c r="E28" t="str">
        <f>IF(ISBLANK('Credit Instruction Record'!A57),"",'Credit Instruction Record'!A57)</f>
        <v/>
      </c>
      <c r="F28" t="str">
        <f>IF(ISBLANK('Credit Instruction Record'!B57),"",'Credit Instruction Record'!B57)</f>
        <v/>
      </c>
      <c r="G28" t="str">
        <f>IF(ISBLANK('Credit Instruction Record'!C57),"",'Credit Instruction Record'!C57)</f>
        <v>EUR</v>
      </c>
      <c r="H28" s="54" t="str">
        <f>IF(ISBLANK('Credit Instruction Record'!D57),"",'Credit Instruction Record'!D57)</f>
        <v/>
      </c>
      <c r="I28" t="str">
        <f>IF(ISBLANK('Credit Instruction Record'!E57),"",'Credit Instruction Record'!E57)</f>
        <v/>
      </c>
      <c r="J28" t="str">
        <f>IF(ISBLANK('Credit Instruction Record'!F57),"",'Credit Instruction Record'!F57)</f>
        <v/>
      </c>
      <c r="K28" t="str">
        <f>IF(ISBLANK('Credit Instruction Record'!G57),"",'Credit Instruction Record'!G57)</f>
        <v/>
      </c>
      <c r="L28" t="str">
        <f>IF(ISBLANK('Credit Instruction Record'!H57),"",'Credit Instruction Record'!H57)</f>
        <v/>
      </c>
      <c r="M28" t="str">
        <f>IF(ISBLANK('Credit Instruction Record'!M57),"",'Credit Instruction Record'!M57)</f>
        <v/>
      </c>
      <c r="N28" t="str">
        <f>IF(ISBLANK('Credit Instruction Record'!N57),"",'Credit Instruction Record'!N57)</f>
        <v>SUPP</v>
      </c>
      <c r="O28" t="str">
        <f>IF(ISBLANK('Credit Instruction Record'!O57),"",'Credit Instruction Record'!O57)</f>
        <v/>
      </c>
      <c r="P28" s="58" t="b">
        <f t="shared" si="1"/>
        <v>1</v>
      </c>
      <c r="R28" s="122"/>
      <c r="S28" s="123"/>
      <c r="T28" s="123"/>
      <c r="U28" s="123"/>
      <c r="V28" s="123"/>
      <c r="W28" s="123"/>
      <c r="X28" s="124"/>
    </row>
    <row r="29" spans="4:24" ht="15" customHeight="1">
      <c r="D29" s="34">
        <v>28</v>
      </c>
      <c r="E29" t="str">
        <f>IF(ISBLANK('Credit Instruction Record'!A59),"",'Credit Instruction Record'!A59)</f>
        <v/>
      </c>
      <c r="F29" t="str">
        <f>IF(ISBLANK('Credit Instruction Record'!B59),"",'Credit Instruction Record'!B59)</f>
        <v/>
      </c>
      <c r="G29" t="str">
        <f>IF(ISBLANK('Credit Instruction Record'!C59),"",'Credit Instruction Record'!C59)</f>
        <v>EUR</v>
      </c>
      <c r="H29" s="54" t="str">
        <f>IF(ISBLANK('Credit Instruction Record'!D59),"",'Credit Instruction Record'!D59)</f>
        <v/>
      </c>
      <c r="I29" t="str">
        <f>IF(ISBLANK('Credit Instruction Record'!E59),"",'Credit Instruction Record'!E59)</f>
        <v/>
      </c>
      <c r="J29" t="str">
        <f>IF(ISBLANK('Credit Instruction Record'!F59),"",'Credit Instruction Record'!F59)</f>
        <v/>
      </c>
      <c r="K29" t="str">
        <f>IF(ISBLANK('Credit Instruction Record'!G59),"",'Credit Instruction Record'!G59)</f>
        <v/>
      </c>
      <c r="L29" t="str">
        <f>IF(ISBLANK('Credit Instruction Record'!H59),"",'Credit Instruction Record'!H59)</f>
        <v/>
      </c>
      <c r="M29" t="str">
        <f>IF(ISBLANK('Credit Instruction Record'!M59),"",'Credit Instruction Record'!M59)</f>
        <v/>
      </c>
      <c r="N29" t="str">
        <f>IF(ISBLANK('Credit Instruction Record'!N59),"",'Credit Instruction Record'!N59)</f>
        <v>SUPP</v>
      </c>
      <c r="O29" t="str">
        <f>IF(ISBLANK('Credit Instruction Record'!O59),"",'Credit Instruction Record'!O59)</f>
        <v/>
      </c>
      <c r="P29" s="58" t="b">
        <f t="shared" si="1"/>
        <v>1</v>
      </c>
    </row>
    <row r="30" spans="4:24">
      <c r="D30" s="34">
        <v>29</v>
      </c>
      <c r="E30" t="str">
        <f>IF(ISBLANK('Credit Instruction Record'!A61),"",'Credit Instruction Record'!A61)</f>
        <v/>
      </c>
      <c r="F30" t="str">
        <f>IF(ISBLANK('Credit Instruction Record'!B61),"",'Credit Instruction Record'!B61)</f>
        <v/>
      </c>
      <c r="G30" t="str">
        <f>IF(ISBLANK('Credit Instruction Record'!C61),"",'Credit Instruction Record'!C61)</f>
        <v>EUR</v>
      </c>
      <c r="H30" s="54" t="str">
        <f>IF(ISBLANK('Credit Instruction Record'!D61),"",'Credit Instruction Record'!D61)</f>
        <v/>
      </c>
      <c r="I30" t="str">
        <f>IF(ISBLANK('Credit Instruction Record'!E61),"",'Credit Instruction Record'!E61)</f>
        <v/>
      </c>
      <c r="J30" t="str">
        <f>IF(ISBLANK('Credit Instruction Record'!F61),"",'Credit Instruction Record'!F61)</f>
        <v/>
      </c>
      <c r="K30" t="str">
        <f>IF(ISBLANK('Credit Instruction Record'!G61),"",'Credit Instruction Record'!G61)</f>
        <v/>
      </c>
      <c r="L30" t="str">
        <f>IF(ISBLANK('Credit Instruction Record'!H61),"",'Credit Instruction Record'!H61)</f>
        <v/>
      </c>
      <c r="M30" t="str">
        <f>IF(ISBLANK('Credit Instruction Record'!M61),"",'Credit Instruction Record'!M61)</f>
        <v/>
      </c>
      <c r="N30" t="str">
        <f>IF(ISBLANK('Credit Instruction Record'!N61),"",'Credit Instruction Record'!N61)</f>
        <v>SUPP</v>
      </c>
      <c r="O30" t="str">
        <f>IF(ISBLANK('Credit Instruction Record'!O61),"",'Credit Instruction Record'!O61)</f>
        <v/>
      </c>
      <c r="P30" s="58" t="b">
        <f t="shared" si="1"/>
        <v>1</v>
      </c>
    </row>
    <row r="31" spans="4:24">
      <c r="D31" s="34">
        <v>30</v>
      </c>
      <c r="E31" t="str">
        <f>IF(ISBLANK('Credit Instruction Record'!A63),"",'Credit Instruction Record'!A63)</f>
        <v/>
      </c>
      <c r="F31" t="str">
        <f>IF(ISBLANK('Credit Instruction Record'!B63),"",'Credit Instruction Record'!B63)</f>
        <v/>
      </c>
      <c r="G31" t="str">
        <f>IF(ISBLANK('Credit Instruction Record'!C63),"",'Credit Instruction Record'!C63)</f>
        <v>EUR</v>
      </c>
      <c r="H31" s="54" t="str">
        <f>IF(ISBLANK('Credit Instruction Record'!D63),"",'Credit Instruction Record'!D63)</f>
        <v/>
      </c>
      <c r="I31" t="str">
        <f>IF(ISBLANK('Credit Instruction Record'!E63),"",'Credit Instruction Record'!E63)</f>
        <v/>
      </c>
      <c r="J31" t="str">
        <f>IF(ISBLANK('Credit Instruction Record'!F63),"",'Credit Instruction Record'!F63)</f>
        <v/>
      </c>
      <c r="K31" t="str">
        <f>IF(ISBLANK('Credit Instruction Record'!G63),"",'Credit Instruction Record'!G63)</f>
        <v/>
      </c>
      <c r="L31" t="str">
        <f>IF(ISBLANK('Credit Instruction Record'!H63),"",'Credit Instruction Record'!H63)</f>
        <v/>
      </c>
      <c r="M31" t="str">
        <f>IF(ISBLANK('Credit Instruction Record'!M63),"",'Credit Instruction Record'!M63)</f>
        <v/>
      </c>
      <c r="N31" t="str">
        <f>IF(ISBLANK('Credit Instruction Record'!N63),"",'Credit Instruction Record'!N63)</f>
        <v>SUPP</v>
      </c>
      <c r="O31" t="str">
        <f>IF(ISBLANK('Credit Instruction Record'!O63),"",'Credit Instruction Record'!O63)</f>
        <v/>
      </c>
      <c r="P31" s="58" t="b">
        <f t="shared" si="1"/>
        <v>1</v>
      </c>
    </row>
    <row r="32" spans="4:24">
      <c r="D32" s="34">
        <v>31</v>
      </c>
      <c r="E32" t="str">
        <f>IF(ISBLANK('Credit Instruction Record'!A65),"",'Credit Instruction Record'!A65)</f>
        <v/>
      </c>
      <c r="F32" t="str">
        <f>IF(ISBLANK('Credit Instruction Record'!B65),"",'Credit Instruction Record'!B65)</f>
        <v/>
      </c>
      <c r="G32" t="str">
        <f>IF(ISBLANK('Credit Instruction Record'!C65),"",'Credit Instruction Record'!C65)</f>
        <v>EUR</v>
      </c>
      <c r="H32" s="54" t="str">
        <f>IF(ISBLANK('Credit Instruction Record'!D65),"",'Credit Instruction Record'!D65)</f>
        <v/>
      </c>
      <c r="I32" t="str">
        <f>IF(ISBLANK('Credit Instruction Record'!E65),"",'Credit Instruction Record'!E65)</f>
        <v/>
      </c>
      <c r="J32" t="str">
        <f>IF(ISBLANK('Credit Instruction Record'!F65),"",'Credit Instruction Record'!F65)</f>
        <v/>
      </c>
      <c r="K32" t="str">
        <f>IF(ISBLANK('Credit Instruction Record'!G65),"",'Credit Instruction Record'!G65)</f>
        <v/>
      </c>
      <c r="L32" t="str">
        <f>IF(ISBLANK('Credit Instruction Record'!H65),"",'Credit Instruction Record'!H65)</f>
        <v/>
      </c>
      <c r="M32" t="str">
        <f>IF(ISBLANK('Credit Instruction Record'!M65),"",'Credit Instruction Record'!M65)</f>
        <v/>
      </c>
      <c r="N32" t="str">
        <f>IF(ISBLANK('Credit Instruction Record'!N65),"",'Credit Instruction Record'!N65)</f>
        <v>SUPP</v>
      </c>
      <c r="O32" t="str">
        <f>IF(ISBLANK('Credit Instruction Record'!O65),"",'Credit Instruction Record'!O65)</f>
        <v/>
      </c>
      <c r="P32" s="58" t="b">
        <f t="shared" si="1"/>
        <v>1</v>
      </c>
    </row>
    <row r="33" spans="4:16">
      <c r="D33" s="34">
        <v>32</v>
      </c>
      <c r="E33" t="str">
        <f>IF(ISBLANK('Credit Instruction Record'!A67),"",'Credit Instruction Record'!A67)</f>
        <v/>
      </c>
      <c r="F33" t="str">
        <f>IF(ISBLANK('Credit Instruction Record'!B67),"",'Credit Instruction Record'!B67)</f>
        <v/>
      </c>
      <c r="G33" t="str">
        <f>IF(ISBLANK('Credit Instruction Record'!C67),"",'Credit Instruction Record'!C67)</f>
        <v>EUR</v>
      </c>
      <c r="H33" s="54" t="str">
        <f>IF(ISBLANK('Credit Instruction Record'!D67),"",'Credit Instruction Record'!D67)</f>
        <v/>
      </c>
      <c r="I33" t="str">
        <f>IF(ISBLANK('Credit Instruction Record'!E67),"",'Credit Instruction Record'!E67)</f>
        <v/>
      </c>
      <c r="J33" t="str">
        <f>IF(ISBLANK('Credit Instruction Record'!F67),"",'Credit Instruction Record'!F67)</f>
        <v/>
      </c>
      <c r="K33" t="str">
        <f>IF(ISBLANK('Credit Instruction Record'!G67),"",'Credit Instruction Record'!G67)</f>
        <v/>
      </c>
      <c r="L33" t="str">
        <f>IF(ISBLANK('Credit Instruction Record'!H67),"",'Credit Instruction Record'!H67)</f>
        <v/>
      </c>
      <c r="M33" t="str">
        <f>IF(ISBLANK('Credit Instruction Record'!M67),"",'Credit Instruction Record'!M67)</f>
        <v/>
      </c>
      <c r="N33" t="str">
        <f>IF(ISBLANK('Credit Instruction Record'!N67),"",'Credit Instruction Record'!N67)</f>
        <v>SUPP</v>
      </c>
      <c r="O33" t="str">
        <f>IF(ISBLANK('Credit Instruction Record'!O67),"",'Credit Instruction Record'!O67)</f>
        <v/>
      </c>
      <c r="P33" s="58" t="b">
        <f t="shared" si="1"/>
        <v>1</v>
      </c>
    </row>
    <row r="34" spans="4:16">
      <c r="D34" s="34">
        <v>33</v>
      </c>
      <c r="E34" t="str">
        <f>IF(ISBLANK('Credit Instruction Record'!A69),"",'Credit Instruction Record'!A69)</f>
        <v/>
      </c>
      <c r="F34" t="str">
        <f>IF(ISBLANK('Credit Instruction Record'!B69),"",'Credit Instruction Record'!B69)</f>
        <v/>
      </c>
      <c r="G34" t="str">
        <f>IF(ISBLANK('Credit Instruction Record'!C69),"",'Credit Instruction Record'!C69)</f>
        <v>EUR</v>
      </c>
      <c r="H34" s="54" t="str">
        <f>IF(ISBLANK('Credit Instruction Record'!D69),"",'Credit Instruction Record'!D69)</f>
        <v/>
      </c>
      <c r="I34" t="str">
        <f>IF(ISBLANK('Credit Instruction Record'!E69),"",'Credit Instruction Record'!E69)</f>
        <v/>
      </c>
      <c r="J34" t="str">
        <f>IF(ISBLANK('Credit Instruction Record'!F69),"",'Credit Instruction Record'!F69)</f>
        <v/>
      </c>
      <c r="K34" t="str">
        <f>IF(ISBLANK('Credit Instruction Record'!G69),"",'Credit Instruction Record'!G69)</f>
        <v/>
      </c>
      <c r="L34" t="str">
        <f>IF(ISBLANK('Credit Instruction Record'!H69),"",'Credit Instruction Record'!H69)</f>
        <v/>
      </c>
      <c r="M34" t="str">
        <f>IF(ISBLANK('Credit Instruction Record'!M69),"",'Credit Instruction Record'!M69)</f>
        <v/>
      </c>
      <c r="N34" t="str">
        <f>IF(ISBLANK('Credit Instruction Record'!N69),"",'Credit Instruction Record'!N69)</f>
        <v>SUPP</v>
      </c>
      <c r="O34" t="str">
        <f>IF(ISBLANK('Credit Instruction Record'!O69),"",'Credit Instruction Record'!O69)</f>
        <v/>
      </c>
      <c r="P34" s="58" t="b">
        <f t="shared" ref="P34:P42" si="2">M34=""</f>
        <v>1</v>
      </c>
    </row>
    <row r="35" spans="4:16">
      <c r="D35" s="34">
        <v>34</v>
      </c>
      <c r="E35" t="str">
        <f>IF(ISBLANK('Credit Instruction Record'!A71),"",'Credit Instruction Record'!A71)</f>
        <v/>
      </c>
      <c r="F35" t="str">
        <f>IF(ISBLANK('Credit Instruction Record'!B71),"",'Credit Instruction Record'!B71)</f>
        <v/>
      </c>
      <c r="G35" t="str">
        <f>IF(ISBLANK('Credit Instruction Record'!C71),"",'Credit Instruction Record'!C71)</f>
        <v>EUR</v>
      </c>
      <c r="H35" s="54" t="str">
        <f>IF(ISBLANK('Credit Instruction Record'!D71),"",'Credit Instruction Record'!D71)</f>
        <v/>
      </c>
      <c r="I35" t="str">
        <f>IF(ISBLANK('Credit Instruction Record'!E71),"",'Credit Instruction Record'!E71)</f>
        <v/>
      </c>
      <c r="J35" t="str">
        <f>IF(ISBLANK('Credit Instruction Record'!F71),"",'Credit Instruction Record'!F71)</f>
        <v/>
      </c>
      <c r="K35" t="str">
        <f>IF(ISBLANK('Credit Instruction Record'!G71),"",'Credit Instruction Record'!G71)</f>
        <v/>
      </c>
      <c r="L35" t="str">
        <f>IF(ISBLANK('Credit Instruction Record'!H71),"",'Credit Instruction Record'!H71)</f>
        <v/>
      </c>
      <c r="M35" t="str">
        <f>IF(ISBLANK('Credit Instruction Record'!M71),"",'Credit Instruction Record'!M71)</f>
        <v/>
      </c>
      <c r="N35" t="str">
        <f>IF(ISBLANK('Credit Instruction Record'!N71),"",'Credit Instruction Record'!N71)</f>
        <v>SUPP</v>
      </c>
      <c r="O35" t="str">
        <f>IF(ISBLANK('Credit Instruction Record'!O71),"",'Credit Instruction Record'!O71)</f>
        <v/>
      </c>
      <c r="P35" s="58" t="b">
        <f t="shared" si="2"/>
        <v>1</v>
      </c>
    </row>
    <row r="36" spans="4:16">
      <c r="D36" s="34">
        <v>35</v>
      </c>
      <c r="E36" t="str">
        <f>IF(ISBLANK('Credit Instruction Record'!A73),"",'Credit Instruction Record'!A73)</f>
        <v/>
      </c>
      <c r="F36" t="str">
        <f>IF(ISBLANK('Credit Instruction Record'!B73),"",'Credit Instruction Record'!B73)</f>
        <v/>
      </c>
      <c r="G36" t="str">
        <f>IF(ISBLANK('Credit Instruction Record'!C73),"",'Credit Instruction Record'!C73)</f>
        <v>EUR</v>
      </c>
      <c r="H36" s="54" t="str">
        <f>IF(ISBLANK('Credit Instruction Record'!D73),"",'Credit Instruction Record'!D73)</f>
        <v/>
      </c>
      <c r="I36" t="str">
        <f>IF(ISBLANK('Credit Instruction Record'!E73),"",'Credit Instruction Record'!E73)</f>
        <v/>
      </c>
      <c r="J36" t="str">
        <f>IF(ISBLANK('Credit Instruction Record'!F73),"",'Credit Instruction Record'!F73)</f>
        <v/>
      </c>
      <c r="K36" t="str">
        <f>IF(ISBLANK('Credit Instruction Record'!G73),"",'Credit Instruction Record'!G73)</f>
        <v/>
      </c>
      <c r="L36" t="str">
        <f>IF(ISBLANK('Credit Instruction Record'!H73),"",'Credit Instruction Record'!H73)</f>
        <v/>
      </c>
      <c r="M36" t="str">
        <f>IF(ISBLANK('Credit Instruction Record'!M73),"",'Credit Instruction Record'!M73)</f>
        <v/>
      </c>
      <c r="N36" t="str">
        <f>IF(ISBLANK('Credit Instruction Record'!N73),"",'Credit Instruction Record'!N73)</f>
        <v>SUPP</v>
      </c>
      <c r="O36" t="str">
        <f>IF(ISBLANK('Credit Instruction Record'!O73),"",'Credit Instruction Record'!O73)</f>
        <v/>
      </c>
      <c r="P36" s="58" t="b">
        <f t="shared" si="2"/>
        <v>1</v>
      </c>
    </row>
    <row r="37" spans="4:16">
      <c r="D37" s="34">
        <v>36</v>
      </c>
      <c r="E37" t="str">
        <f>IF(ISBLANK('Credit Instruction Record'!A75),"",'Credit Instruction Record'!A75)</f>
        <v/>
      </c>
      <c r="F37" t="str">
        <f>IF(ISBLANK('Credit Instruction Record'!B75),"",'Credit Instruction Record'!B75)</f>
        <v/>
      </c>
      <c r="G37" t="str">
        <f>IF(ISBLANK('Credit Instruction Record'!C75),"",'Credit Instruction Record'!C75)</f>
        <v>EUR</v>
      </c>
      <c r="H37" s="54" t="str">
        <f>IF(ISBLANK('Credit Instruction Record'!D75),"",'Credit Instruction Record'!D75)</f>
        <v/>
      </c>
      <c r="I37" t="str">
        <f>IF(ISBLANK('Credit Instruction Record'!E75),"",'Credit Instruction Record'!E75)</f>
        <v/>
      </c>
      <c r="J37" t="str">
        <f>IF(ISBLANK('Credit Instruction Record'!F75),"",'Credit Instruction Record'!F75)</f>
        <v/>
      </c>
      <c r="K37" t="str">
        <f>IF(ISBLANK('Credit Instruction Record'!G75),"",'Credit Instruction Record'!G75)</f>
        <v/>
      </c>
      <c r="L37" t="str">
        <f>IF(ISBLANK('Credit Instruction Record'!H75),"",'Credit Instruction Record'!H75)</f>
        <v/>
      </c>
      <c r="M37" t="str">
        <f>IF(ISBLANK('Credit Instruction Record'!M75),"",'Credit Instruction Record'!M75)</f>
        <v/>
      </c>
      <c r="N37" t="str">
        <f>IF(ISBLANK('Credit Instruction Record'!N75),"",'Credit Instruction Record'!N75)</f>
        <v>SUPP</v>
      </c>
      <c r="O37" t="str">
        <f>IF(ISBLANK('Credit Instruction Record'!O75),"",'Credit Instruction Record'!O75)</f>
        <v/>
      </c>
      <c r="P37" s="58" t="b">
        <f t="shared" si="2"/>
        <v>1</v>
      </c>
    </row>
    <row r="38" spans="4:16">
      <c r="D38" s="34">
        <v>37</v>
      </c>
      <c r="E38" t="str">
        <f>IF(ISBLANK('Credit Instruction Record'!A77),"",'Credit Instruction Record'!A77)</f>
        <v/>
      </c>
      <c r="F38" t="str">
        <f>IF(ISBLANK('Credit Instruction Record'!B77),"",'Credit Instruction Record'!B77)</f>
        <v/>
      </c>
      <c r="G38" t="str">
        <f>IF(ISBLANK('Credit Instruction Record'!C77),"",'Credit Instruction Record'!C77)</f>
        <v>EUR</v>
      </c>
      <c r="H38" s="54" t="str">
        <f>IF(ISBLANK('Credit Instruction Record'!D77),"",'Credit Instruction Record'!D77)</f>
        <v/>
      </c>
      <c r="I38" t="str">
        <f>IF(ISBLANK('Credit Instruction Record'!E77),"",'Credit Instruction Record'!E77)</f>
        <v/>
      </c>
      <c r="J38" t="str">
        <f>IF(ISBLANK('Credit Instruction Record'!F77),"",'Credit Instruction Record'!F77)</f>
        <v/>
      </c>
      <c r="K38" t="str">
        <f>IF(ISBLANK('Credit Instruction Record'!G77),"",'Credit Instruction Record'!G77)</f>
        <v/>
      </c>
      <c r="L38" t="str">
        <f>IF(ISBLANK('Credit Instruction Record'!H77),"",'Credit Instruction Record'!H77)</f>
        <v/>
      </c>
      <c r="M38" t="str">
        <f>IF(ISBLANK('Credit Instruction Record'!M77),"",'Credit Instruction Record'!M77)</f>
        <v/>
      </c>
      <c r="N38" t="str">
        <f>IF(ISBLANK('Credit Instruction Record'!N77),"",'Credit Instruction Record'!N77)</f>
        <v>SUPP</v>
      </c>
      <c r="O38" t="str">
        <f>IF(ISBLANK('Credit Instruction Record'!O77),"",'Credit Instruction Record'!O77)</f>
        <v/>
      </c>
      <c r="P38" s="58" t="b">
        <f t="shared" si="2"/>
        <v>1</v>
      </c>
    </row>
    <row r="39" spans="4:16">
      <c r="D39" s="34">
        <v>38</v>
      </c>
      <c r="E39" t="str">
        <f>IF(ISBLANK('Credit Instruction Record'!A79),"",'Credit Instruction Record'!A79)</f>
        <v/>
      </c>
      <c r="F39" t="str">
        <f>IF(ISBLANK('Credit Instruction Record'!B79),"",'Credit Instruction Record'!B79)</f>
        <v/>
      </c>
      <c r="G39" t="str">
        <f>IF(ISBLANK('Credit Instruction Record'!C79),"",'Credit Instruction Record'!C79)</f>
        <v>EUR</v>
      </c>
      <c r="H39" s="54" t="str">
        <f>IF(ISBLANK('Credit Instruction Record'!D79),"",'Credit Instruction Record'!D79)</f>
        <v/>
      </c>
      <c r="I39" t="str">
        <f>IF(ISBLANK('Credit Instruction Record'!E79),"",'Credit Instruction Record'!E79)</f>
        <v/>
      </c>
      <c r="J39" t="str">
        <f>IF(ISBLANK('Credit Instruction Record'!F79),"",'Credit Instruction Record'!F79)</f>
        <v/>
      </c>
      <c r="K39" t="str">
        <f>IF(ISBLANK('Credit Instruction Record'!G79),"",'Credit Instruction Record'!G79)</f>
        <v/>
      </c>
      <c r="L39" t="str">
        <f>IF(ISBLANK('Credit Instruction Record'!H79),"",'Credit Instruction Record'!H79)</f>
        <v/>
      </c>
      <c r="M39" t="str">
        <f>IF(ISBLANK('Credit Instruction Record'!M79),"",'Credit Instruction Record'!M79)</f>
        <v/>
      </c>
      <c r="N39" t="str">
        <f>IF(ISBLANK('Credit Instruction Record'!N79),"",'Credit Instruction Record'!N79)</f>
        <v>SUPP</v>
      </c>
      <c r="O39" t="str">
        <f>IF(ISBLANK('Credit Instruction Record'!O79),"",'Credit Instruction Record'!O79)</f>
        <v/>
      </c>
      <c r="P39" s="58" t="b">
        <f t="shared" si="2"/>
        <v>1</v>
      </c>
    </row>
    <row r="40" spans="4:16">
      <c r="D40" s="34">
        <v>39</v>
      </c>
      <c r="E40" t="str">
        <f>IF(ISBLANK('Credit Instruction Record'!A81),"",'Credit Instruction Record'!A81)</f>
        <v/>
      </c>
      <c r="F40" t="str">
        <f>IF(ISBLANK('Credit Instruction Record'!B81),"",'Credit Instruction Record'!B81)</f>
        <v/>
      </c>
      <c r="G40" t="str">
        <f>IF(ISBLANK('Credit Instruction Record'!C81),"",'Credit Instruction Record'!C81)</f>
        <v>EUR</v>
      </c>
      <c r="H40" s="54" t="str">
        <f>IF(ISBLANK('Credit Instruction Record'!D81),"",'Credit Instruction Record'!D81)</f>
        <v/>
      </c>
      <c r="I40" t="str">
        <f>IF(ISBLANK('Credit Instruction Record'!E81),"",'Credit Instruction Record'!E81)</f>
        <v/>
      </c>
      <c r="J40" t="str">
        <f>IF(ISBLANK('Credit Instruction Record'!F81),"",'Credit Instruction Record'!F81)</f>
        <v/>
      </c>
      <c r="K40" t="str">
        <f>IF(ISBLANK('Credit Instruction Record'!G81),"",'Credit Instruction Record'!G81)</f>
        <v/>
      </c>
      <c r="L40" t="str">
        <f>IF(ISBLANK('Credit Instruction Record'!H81),"",'Credit Instruction Record'!H81)</f>
        <v/>
      </c>
      <c r="M40" t="str">
        <f>IF(ISBLANK('Credit Instruction Record'!M81),"",'Credit Instruction Record'!M81)</f>
        <v/>
      </c>
      <c r="N40" t="str">
        <f>IF(ISBLANK('Credit Instruction Record'!N81),"",'Credit Instruction Record'!N81)</f>
        <v>SUPP</v>
      </c>
      <c r="O40" t="str">
        <f>IF(ISBLANK('Credit Instruction Record'!O81),"",'Credit Instruction Record'!O81)</f>
        <v/>
      </c>
      <c r="P40" s="58" t="b">
        <f t="shared" si="2"/>
        <v>1</v>
      </c>
    </row>
    <row r="41" spans="4:16">
      <c r="D41" s="34">
        <v>40</v>
      </c>
      <c r="E41" t="str">
        <f>IF(ISBLANK('Credit Instruction Record'!A83),"",'Credit Instruction Record'!A83)</f>
        <v/>
      </c>
      <c r="F41" t="str">
        <f>IF(ISBLANK('Credit Instruction Record'!B83),"",'Credit Instruction Record'!B83)</f>
        <v/>
      </c>
      <c r="G41" t="str">
        <f>IF(ISBLANK('Credit Instruction Record'!C83),"",'Credit Instruction Record'!C83)</f>
        <v>EUR</v>
      </c>
      <c r="H41" s="54" t="str">
        <f>IF(ISBLANK('Credit Instruction Record'!D83),"",'Credit Instruction Record'!D83)</f>
        <v/>
      </c>
      <c r="I41" t="str">
        <f>IF(ISBLANK('Credit Instruction Record'!E83),"",'Credit Instruction Record'!E83)</f>
        <v/>
      </c>
      <c r="J41" t="str">
        <f>IF(ISBLANK('Credit Instruction Record'!F83),"",'Credit Instruction Record'!F83)</f>
        <v/>
      </c>
      <c r="K41" t="str">
        <f>IF(ISBLANK('Credit Instruction Record'!G83),"",'Credit Instruction Record'!G83)</f>
        <v/>
      </c>
      <c r="L41" t="str">
        <f>IF(ISBLANK('Credit Instruction Record'!H83),"",'Credit Instruction Record'!H83)</f>
        <v/>
      </c>
      <c r="M41" t="str">
        <f>IF(ISBLANK('Credit Instruction Record'!M83),"",'Credit Instruction Record'!M83)</f>
        <v/>
      </c>
      <c r="N41" t="str">
        <f>IF(ISBLANK('Credit Instruction Record'!N83),"",'Credit Instruction Record'!N83)</f>
        <v>SUPP</v>
      </c>
      <c r="O41" t="str">
        <f>IF(ISBLANK('Credit Instruction Record'!O83),"",'Credit Instruction Record'!O83)</f>
        <v/>
      </c>
      <c r="P41" s="58" t="b">
        <f t="shared" si="2"/>
        <v>1</v>
      </c>
    </row>
    <row r="42" spans="4:16">
      <c r="D42" s="34">
        <v>41</v>
      </c>
      <c r="E42" t="str">
        <f>IF(ISBLANK('Credit Instruction Record'!A85),"",'Credit Instruction Record'!A85)</f>
        <v/>
      </c>
      <c r="F42" t="str">
        <f>IF(ISBLANK('Credit Instruction Record'!B85),"",'Credit Instruction Record'!B85)</f>
        <v/>
      </c>
      <c r="G42" t="str">
        <f>IF(ISBLANK('Credit Instruction Record'!C85),"",'Credit Instruction Record'!C85)</f>
        <v>EUR</v>
      </c>
      <c r="H42" s="54" t="str">
        <f>IF(ISBLANK('Credit Instruction Record'!D85),"",'Credit Instruction Record'!D85)</f>
        <v/>
      </c>
      <c r="I42" t="str">
        <f>IF(ISBLANK('Credit Instruction Record'!E85),"",'Credit Instruction Record'!E85)</f>
        <v/>
      </c>
      <c r="J42" t="str">
        <f>IF(ISBLANK('Credit Instruction Record'!F85),"",'Credit Instruction Record'!F85)</f>
        <v/>
      </c>
      <c r="K42" t="str">
        <f>IF(ISBLANK('Credit Instruction Record'!G85),"",'Credit Instruction Record'!G85)</f>
        <v/>
      </c>
      <c r="L42" t="str">
        <f>IF(ISBLANK('Credit Instruction Record'!H85),"",'Credit Instruction Record'!H85)</f>
        <v/>
      </c>
      <c r="M42" t="str">
        <f>IF(ISBLANK('Credit Instruction Record'!M85),"",'Credit Instruction Record'!M85)</f>
        <v/>
      </c>
      <c r="N42" t="str">
        <f>IF(ISBLANK('Credit Instruction Record'!N85),"",'Credit Instruction Record'!N85)</f>
        <v>SUPP</v>
      </c>
      <c r="O42" t="str">
        <f>IF(ISBLANK('Credit Instruction Record'!O85),"",'Credit Instruction Record'!O85)</f>
        <v/>
      </c>
      <c r="P42" s="58" t="b">
        <f t="shared" si="2"/>
        <v>1</v>
      </c>
    </row>
    <row r="43" spans="4:16">
      <c r="D43" s="34">
        <v>42</v>
      </c>
      <c r="E43" t="str">
        <f>IF(ISBLANK('Credit Instruction Record'!A87),"",'Credit Instruction Record'!A87)</f>
        <v/>
      </c>
      <c r="F43" t="str">
        <f>IF(ISBLANK('Credit Instruction Record'!B87),"",'Credit Instruction Record'!B87)</f>
        <v/>
      </c>
      <c r="G43" t="str">
        <f>IF(ISBLANK('Credit Instruction Record'!C87),"",'Credit Instruction Record'!C87)</f>
        <v>EUR</v>
      </c>
      <c r="H43" s="54" t="str">
        <f>IF(ISBLANK('Credit Instruction Record'!D87),"",'Credit Instruction Record'!D87)</f>
        <v/>
      </c>
      <c r="I43" t="str">
        <f>IF(ISBLANK('Credit Instruction Record'!E87),"",'Credit Instruction Record'!E87)</f>
        <v/>
      </c>
      <c r="J43" t="str">
        <f>IF(ISBLANK('Credit Instruction Record'!F87),"",'Credit Instruction Record'!F87)</f>
        <v/>
      </c>
      <c r="K43" t="str">
        <f>IF(ISBLANK('Credit Instruction Record'!G87),"",'Credit Instruction Record'!G87)</f>
        <v/>
      </c>
      <c r="L43" t="str">
        <f>IF(ISBLANK('Credit Instruction Record'!H87),"",'Credit Instruction Record'!H87)</f>
        <v/>
      </c>
      <c r="M43" t="str">
        <f>IF(ISBLANK('Credit Instruction Record'!M87),"",'Credit Instruction Record'!M87)</f>
        <v/>
      </c>
      <c r="N43" t="str">
        <f>IF(ISBLANK('Credit Instruction Record'!N87),"",'Credit Instruction Record'!N87)</f>
        <v>SUPP</v>
      </c>
      <c r="O43" t="str">
        <f>IF(ISBLANK('Credit Instruction Record'!O87),"",'Credit Instruction Record'!O87)</f>
        <v/>
      </c>
      <c r="P43" s="58" t="b">
        <f t="shared" ref="P43" si="3">M43=""</f>
        <v>1</v>
      </c>
    </row>
    <row r="44" spans="4:16">
      <c r="D44" s="34">
        <v>43</v>
      </c>
      <c r="E44" t="str">
        <f>IF(ISBLANK('Credit Instruction Record'!A89),"",'Credit Instruction Record'!A89)</f>
        <v/>
      </c>
      <c r="F44" t="str">
        <f>IF(ISBLANK('Credit Instruction Record'!B89),"",'Credit Instruction Record'!B89)</f>
        <v/>
      </c>
      <c r="G44" t="str">
        <f>IF(ISBLANK('Credit Instruction Record'!C89),"",'Credit Instruction Record'!C89)</f>
        <v>EUR</v>
      </c>
      <c r="H44" s="54" t="str">
        <f>IF(ISBLANK('Credit Instruction Record'!D89),"",'Credit Instruction Record'!D89)</f>
        <v/>
      </c>
      <c r="I44" t="str">
        <f>IF(ISBLANK('Credit Instruction Record'!E89),"",'Credit Instruction Record'!E89)</f>
        <v/>
      </c>
      <c r="J44" t="str">
        <f>IF(ISBLANK('Credit Instruction Record'!F89),"",'Credit Instruction Record'!F89)</f>
        <v/>
      </c>
      <c r="K44" t="str">
        <f>IF(ISBLANK('Credit Instruction Record'!G89),"",'Credit Instruction Record'!G89)</f>
        <v/>
      </c>
      <c r="L44" t="str">
        <f>IF(ISBLANK('Credit Instruction Record'!H89),"",'Credit Instruction Record'!H89)</f>
        <v/>
      </c>
      <c r="M44" t="str">
        <f>IF(ISBLANK('Credit Instruction Record'!M89),"",'Credit Instruction Record'!M89)</f>
        <v/>
      </c>
      <c r="N44" t="str">
        <f>IF(ISBLANK('Credit Instruction Record'!N89),"",'Credit Instruction Record'!N89)</f>
        <v>SUPP</v>
      </c>
      <c r="O44" t="str">
        <f>IF(ISBLANK('Credit Instruction Record'!O89),"",'Credit Instruction Record'!O89)</f>
        <v/>
      </c>
      <c r="P44" s="58" t="b">
        <f t="shared" ref="P44:P51" si="4">M44=""</f>
        <v>1</v>
      </c>
    </row>
    <row r="45" spans="4:16">
      <c r="D45" s="34">
        <v>44</v>
      </c>
      <c r="E45" t="str">
        <f>IF(ISBLANK('Credit Instruction Record'!A91),"",'Credit Instruction Record'!A91)</f>
        <v/>
      </c>
      <c r="F45" t="str">
        <f>IF(ISBLANK('Credit Instruction Record'!B91),"",'Credit Instruction Record'!B91)</f>
        <v/>
      </c>
      <c r="G45" t="str">
        <f>IF(ISBLANK('Credit Instruction Record'!C91),"",'Credit Instruction Record'!C91)</f>
        <v>EUR</v>
      </c>
      <c r="H45" s="54" t="str">
        <f>IF(ISBLANK('Credit Instruction Record'!D91),"",'Credit Instruction Record'!D91)</f>
        <v/>
      </c>
      <c r="I45" t="str">
        <f>IF(ISBLANK('Credit Instruction Record'!E91),"",'Credit Instruction Record'!E91)</f>
        <v/>
      </c>
      <c r="J45" t="str">
        <f>IF(ISBLANK('Credit Instruction Record'!F91),"",'Credit Instruction Record'!F91)</f>
        <v/>
      </c>
      <c r="K45" t="str">
        <f>IF(ISBLANK('Credit Instruction Record'!G91),"",'Credit Instruction Record'!G91)</f>
        <v/>
      </c>
      <c r="L45" t="str">
        <f>IF(ISBLANK('Credit Instruction Record'!H91),"",'Credit Instruction Record'!H91)</f>
        <v/>
      </c>
      <c r="M45" t="str">
        <f>IF(ISBLANK('Credit Instruction Record'!M91),"",'Credit Instruction Record'!M91)</f>
        <v/>
      </c>
      <c r="N45" t="str">
        <f>IF(ISBLANK('Credit Instruction Record'!N91),"",'Credit Instruction Record'!N91)</f>
        <v>SUPP</v>
      </c>
      <c r="O45" t="str">
        <f>IF(ISBLANK('Credit Instruction Record'!O91),"",'Credit Instruction Record'!O91)</f>
        <v/>
      </c>
      <c r="P45" s="58" t="b">
        <f t="shared" si="4"/>
        <v>1</v>
      </c>
    </row>
    <row r="46" spans="4:16">
      <c r="D46" s="34">
        <v>45</v>
      </c>
      <c r="E46" t="str">
        <f>IF(ISBLANK('Credit Instruction Record'!A93),"",'Credit Instruction Record'!A93)</f>
        <v/>
      </c>
      <c r="F46" t="str">
        <f>IF(ISBLANK('Credit Instruction Record'!B93),"",'Credit Instruction Record'!B93)</f>
        <v/>
      </c>
      <c r="G46" t="str">
        <f>IF(ISBLANK('Credit Instruction Record'!C93),"",'Credit Instruction Record'!C93)</f>
        <v>EUR</v>
      </c>
      <c r="H46" s="54" t="str">
        <f>IF(ISBLANK('Credit Instruction Record'!D93),"",'Credit Instruction Record'!D93)</f>
        <v/>
      </c>
      <c r="I46" t="str">
        <f>IF(ISBLANK('Credit Instruction Record'!E93),"",'Credit Instruction Record'!E93)</f>
        <v/>
      </c>
      <c r="J46" t="str">
        <f>IF(ISBLANK('Credit Instruction Record'!F93),"",'Credit Instruction Record'!F93)</f>
        <v/>
      </c>
      <c r="K46" t="str">
        <f>IF(ISBLANK('Credit Instruction Record'!G93),"",'Credit Instruction Record'!G93)</f>
        <v/>
      </c>
      <c r="L46" t="str">
        <f>IF(ISBLANK('Credit Instruction Record'!H93),"",'Credit Instruction Record'!H93)</f>
        <v/>
      </c>
      <c r="M46" t="str">
        <f>IF(ISBLANK('Credit Instruction Record'!M93),"",'Credit Instruction Record'!M93)</f>
        <v/>
      </c>
      <c r="N46" t="str">
        <f>IF(ISBLANK('Credit Instruction Record'!N93),"",'Credit Instruction Record'!N93)</f>
        <v>SUPP</v>
      </c>
      <c r="O46" t="str">
        <f>IF(ISBLANK('Credit Instruction Record'!O93),"",'Credit Instruction Record'!O93)</f>
        <v/>
      </c>
      <c r="P46" s="58" t="b">
        <f t="shared" si="4"/>
        <v>1</v>
      </c>
    </row>
    <row r="47" spans="4:16">
      <c r="D47" s="34">
        <v>46</v>
      </c>
      <c r="E47" t="str">
        <f>IF(ISBLANK('Credit Instruction Record'!A95),"",'Credit Instruction Record'!A95)</f>
        <v/>
      </c>
      <c r="F47" t="str">
        <f>IF(ISBLANK('Credit Instruction Record'!B95),"",'Credit Instruction Record'!B95)</f>
        <v/>
      </c>
      <c r="G47" t="str">
        <f>IF(ISBLANK('Credit Instruction Record'!C95),"",'Credit Instruction Record'!C95)</f>
        <v>EUR</v>
      </c>
      <c r="H47" s="54" t="str">
        <f>IF(ISBLANK('Credit Instruction Record'!D95),"",'Credit Instruction Record'!D95)</f>
        <v/>
      </c>
      <c r="I47" t="str">
        <f>IF(ISBLANK('Credit Instruction Record'!E95),"",'Credit Instruction Record'!E95)</f>
        <v/>
      </c>
      <c r="J47" t="str">
        <f>IF(ISBLANK('Credit Instruction Record'!F95),"",'Credit Instruction Record'!F95)</f>
        <v/>
      </c>
      <c r="K47" t="str">
        <f>IF(ISBLANK('Credit Instruction Record'!G95),"",'Credit Instruction Record'!G95)</f>
        <v/>
      </c>
      <c r="L47" t="str">
        <f>IF(ISBLANK('Credit Instruction Record'!H95),"",'Credit Instruction Record'!H95)</f>
        <v/>
      </c>
      <c r="M47" t="str">
        <f>IF(ISBLANK('Credit Instruction Record'!M95),"",'Credit Instruction Record'!M95)</f>
        <v/>
      </c>
      <c r="N47" t="str">
        <f>IF(ISBLANK('Credit Instruction Record'!N95),"",'Credit Instruction Record'!N95)</f>
        <v>SUPP</v>
      </c>
      <c r="O47" t="str">
        <f>IF(ISBLANK('Credit Instruction Record'!O95),"",'Credit Instruction Record'!O95)</f>
        <v/>
      </c>
      <c r="P47" s="58" t="b">
        <f t="shared" si="4"/>
        <v>1</v>
      </c>
    </row>
    <row r="48" spans="4:16">
      <c r="D48" s="34">
        <v>47</v>
      </c>
      <c r="E48" t="str">
        <f>IF(ISBLANK('Credit Instruction Record'!A97),"",'Credit Instruction Record'!A97)</f>
        <v/>
      </c>
      <c r="F48" t="str">
        <f>IF(ISBLANK('Credit Instruction Record'!B97),"",'Credit Instruction Record'!B97)</f>
        <v/>
      </c>
      <c r="G48" t="str">
        <f>IF(ISBLANK('Credit Instruction Record'!C97),"",'Credit Instruction Record'!C97)</f>
        <v>EUR</v>
      </c>
      <c r="H48" s="54" t="str">
        <f>IF(ISBLANK('Credit Instruction Record'!D97),"",'Credit Instruction Record'!D97)</f>
        <v/>
      </c>
      <c r="I48" t="str">
        <f>IF(ISBLANK('Credit Instruction Record'!E97),"",'Credit Instruction Record'!E97)</f>
        <v/>
      </c>
      <c r="J48" t="str">
        <f>IF(ISBLANK('Credit Instruction Record'!F97),"",'Credit Instruction Record'!F97)</f>
        <v/>
      </c>
      <c r="K48" t="str">
        <f>IF(ISBLANK('Credit Instruction Record'!G97),"",'Credit Instruction Record'!G97)</f>
        <v/>
      </c>
      <c r="L48" t="str">
        <f>IF(ISBLANK('Credit Instruction Record'!H97),"",'Credit Instruction Record'!H97)</f>
        <v/>
      </c>
      <c r="M48" t="str">
        <f>IF(ISBLANK('Credit Instruction Record'!M97),"",'Credit Instruction Record'!M97)</f>
        <v/>
      </c>
      <c r="N48" t="str">
        <f>IF(ISBLANK('Credit Instruction Record'!N97),"",'Credit Instruction Record'!N97)</f>
        <v>SUPP</v>
      </c>
      <c r="O48" t="str">
        <f>IF(ISBLANK('Credit Instruction Record'!O97),"",'Credit Instruction Record'!O97)</f>
        <v/>
      </c>
      <c r="P48" s="58" t="b">
        <f t="shared" si="4"/>
        <v>1</v>
      </c>
    </row>
    <row r="49" spans="4:16">
      <c r="D49" s="34">
        <v>48</v>
      </c>
      <c r="E49" t="str">
        <f>IF(ISBLANK('Credit Instruction Record'!A99),"",'Credit Instruction Record'!A99)</f>
        <v/>
      </c>
      <c r="F49" t="str">
        <f>IF(ISBLANK('Credit Instruction Record'!B99),"",'Credit Instruction Record'!B99)</f>
        <v/>
      </c>
      <c r="G49" t="str">
        <f>IF(ISBLANK('Credit Instruction Record'!C99),"",'Credit Instruction Record'!C99)</f>
        <v>EUR</v>
      </c>
      <c r="H49" s="54" t="str">
        <f>IF(ISBLANK('Credit Instruction Record'!D99),"",'Credit Instruction Record'!D99)</f>
        <v/>
      </c>
      <c r="I49" t="str">
        <f>IF(ISBLANK('Credit Instruction Record'!E99),"",'Credit Instruction Record'!E99)</f>
        <v/>
      </c>
      <c r="J49" t="str">
        <f>IF(ISBLANK('Credit Instruction Record'!F99),"",'Credit Instruction Record'!F99)</f>
        <v/>
      </c>
      <c r="K49" t="str">
        <f>IF(ISBLANK('Credit Instruction Record'!G99),"",'Credit Instruction Record'!G99)</f>
        <v/>
      </c>
      <c r="L49" t="str">
        <f>IF(ISBLANK('Credit Instruction Record'!H99),"",'Credit Instruction Record'!H99)</f>
        <v/>
      </c>
      <c r="M49" t="str">
        <f>IF(ISBLANK('Credit Instruction Record'!M99),"",'Credit Instruction Record'!M99)</f>
        <v/>
      </c>
      <c r="N49" t="str">
        <f>IF(ISBLANK('Credit Instruction Record'!N99),"",'Credit Instruction Record'!N99)</f>
        <v>SUPP</v>
      </c>
      <c r="O49" t="str">
        <f>IF(ISBLANK('Credit Instruction Record'!O99),"",'Credit Instruction Record'!O99)</f>
        <v/>
      </c>
      <c r="P49" s="58" t="b">
        <f t="shared" si="4"/>
        <v>1</v>
      </c>
    </row>
    <row r="50" spans="4:16">
      <c r="D50" s="34">
        <v>49</v>
      </c>
      <c r="E50" t="str">
        <f>IF(ISBLANK('Credit Instruction Record'!A101),"",'Credit Instruction Record'!A101)</f>
        <v/>
      </c>
      <c r="F50" t="str">
        <f>IF(ISBLANK('Credit Instruction Record'!B101),"",'Credit Instruction Record'!B101)</f>
        <v/>
      </c>
      <c r="G50" t="str">
        <f>IF(ISBLANK('Credit Instruction Record'!C101),"",'Credit Instruction Record'!C101)</f>
        <v>EUR</v>
      </c>
      <c r="H50" s="54" t="str">
        <f>IF(ISBLANK('Credit Instruction Record'!D101),"",'Credit Instruction Record'!D101)</f>
        <v/>
      </c>
      <c r="I50" t="str">
        <f>IF(ISBLANK('Credit Instruction Record'!E101),"",'Credit Instruction Record'!E101)</f>
        <v/>
      </c>
      <c r="J50" t="str">
        <f>IF(ISBLANK('Credit Instruction Record'!F101),"",'Credit Instruction Record'!F101)</f>
        <v/>
      </c>
      <c r="K50" t="str">
        <f>IF(ISBLANK('Credit Instruction Record'!G101),"",'Credit Instruction Record'!G101)</f>
        <v/>
      </c>
      <c r="L50" t="str">
        <f>IF(ISBLANK('Credit Instruction Record'!H101),"",'Credit Instruction Record'!H101)</f>
        <v/>
      </c>
      <c r="M50" t="str">
        <f>IF(ISBLANK('Credit Instruction Record'!M101),"",'Credit Instruction Record'!M101)</f>
        <v/>
      </c>
      <c r="N50" t="str">
        <f>IF(ISBLANK('Credit Instruction Record'!N101),"",'Credit Instruction Record'!N101)</f>
        <v>SUPP</v>
      </c>
      <c r="O50" t="str">
        <f>IF(ISBLANK('Credit Instruction Record'!O101),"",'Credit Instruction Record'!O101)</f>
        <v/>
      </c>
      <c r="P50" s="58" t="b">
        <f t="shared" si="4"/>
        <v>1</v>
      </c>
    </row>
    <row r="51" spans="4:16">
      <c r="D51" s="34">
        <v>50</v>
      </c>
      <c r="E51" t="str">
        <f>IF(ISBLANK('Credit Instruction Record'!A103),"",'Credit Instruction Record'!A103)</f>
        <v/>
      </c>
      <c r="F51" t="str">
        <f>IF(ISBLANK('Credit Instruction Record'!B103),"",'Credit Instruction Record'!B103)</f>
        <v/>
      </c>
      <c r="G51" t="str">
        <f>IF(ISBLANK('Credit Instruction Record'!C103),"",'Credit Instruction Record'!C103)</f>
        <v>EUR</v>
      </c>
      <c r="H51" s="54" t="str">
        <f>IF(ISBLANK('Credit Instruction Record'!D103),"",'Credit Instruction Record'!D103)</f>
        <v/>
      </c>
      <c r="I51" t="str">
        <f>IF(ISBLANK('Credit Instruction Record'!E103),"",'Credit Instruction Record'!E103)</f>
        <v/>
      </c>
      <c r="J51" t="str">
        <f>IF(ISBLANK('Credit Instruction Record'!F103),"",'Credit Instruction Record'!F103)</f>
        <v/>
      </c>
      <c r="K51" t="str">
        <f>IF(ISBLANK('Credit Instruction Record'!G103),"",'Credit Instruction Record'!G103)</f>
        <v/>
      </c>
      <c r="L51" t="str">
        <f>IF(ISBLANK('Credit Instruction Record'!H103),"",'Credit Instruction Record'!H103)</f>
        <v/>
      </c>
      <c r="M51" t="str">
        <f>IF(ISBLANK('Credit Instruction Record'!M103),"",'Credit Instruction Record'!M103)</f>
        <v/>
      </c>
      <c r="N51" t="str">
        <f>IF(ISBLANK('Credit Instruction Record'!N103),"",'Credit Instruction Record'!N103)</f>
        <v>SUPP</v>
      </c>
      <c r="O51" t="str">
        <f>IF(ISBLANK('Credit Instruction Record'!O103),"",'Credit Instruction Record'!O103)</f>
        <v/>
      </c>
      <c r="P51" s="58" t="b">
        <f t="shared" si="4"/>
        <v>1</v>
      </c>
    </row>
    <row r="52" spans="4:16" ht="15.75" thickBot="1">
      <c r="D52" s="35">
        <v>51</v>
      </c>
      <c r="E52" s="36" t="str">
        <f>IF(ISBLANK('Credit Instruction Record'!A105),"",'Credit Instruction Record'!A105)</f>
        <v/>
      </c>
      <c r="F52" s="36" t="str">
        <f>IF(ISBLANK('Credit Instruction Record'!B105),"",'Credit Instruction Record'!B105)</f>
        <v/>
      </c>
      <c r="G52" s="36" t="str">
        <f>IF(ISBLANK('Credit Instruction Record'!C105),"",'Credit Instruction Record'!C105)</f>
        <v>EUR</v>
      </c>
      <c r="H52" s="59" t="str">
        <f>IF(ISBLANK('Credit Instruction Record'!D105),"",'Credit Instruction Record'!D105)</f>
        <v/>
      </c>
      <c r="I52" s="36" t="str">
        <f>IF(ISBLANK('Credit Instruction Record'!E105),"",'Credit Instruction Record'!E105)</f>
        <v/>
      </c>
      <c r="J52" s="36" t="str">
        <f>IF(ISBLANK('Credit Instruction Record'!F105),"",'Credit Instruction Record'!F105)</f>
        <v/>
      </c>
      <c r="K52" s="36" t="str">
        <f>IF(ISBLANK('Credit Instruction Record'!G105),"",'Credit Instruction Record'!G105)</f>
        <v/>
      </c>
      <c r="L52" s="36" t="str">
        <f>IF(ISBLANK('Credit Instruction Record'!H105),"",'Credit Instruction Record'!H105)</f>
        <v/>
      </c>
      <c r="M52" s="36" t="str">
        <f>IF(ISBLANK('Credit Instruction Record'!M105),"",'Credit Instruction Record'!M105)</f>
        <v/>
      </c>
      <c r="N52" s="36" t="str">
        <f>IF(ISBLANK('Credit Instruction Record'!N105),"",'Credit Instruction Record'!N105)</f>
        <v>SUPP</v>
      </c>
      <c r="O52" s="36" t="str">
        <f>IF(ISBLANK('Credit Instruction Record'!O105),"",'Credit Instruction Record'!O105)</f>
        <v/>
      </c>
      <c r="P52" s="45" t="b">
        <f t="shared" ref="P52" si="5">M52=""</f>
        <v>1</v>
      </c>
    </row>
  </sheetData>
  <sheetProtection algorithmName="SHA-512" hashValue="MD9a1hlDvsDyrMI9coI+h66qXl7lGxx4erumVegD6gPpUX371805uhDOwjmNmw65i/V1PWBghpJve8rwav5noQ==" saltValue="OIzfJxVvnqNyiRP5oVCFtA==" spinCount="100000" sheet="1" objects="1" scenarios="1" selectLockedCells="1"/>
  <mergeCells count="2">
    <mergeCell ref="R2:X14"/>
    <mergeCell ref="R16:X28"/>
  </mergeCell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D121"/>
  <sheetViews>
    <sheetView workbookViewId="0">
      <selection activeCell="K3" sqref="K3"/>
    </sheetView>
  </sheetViews>
  <sheetFormatPr defaultRowHeight="15"/>
  <cols>
    <col min="1" max="1" width="25.28515625" style="48" bestFit="1" customWidth="1"/>
    <col min="2" max="2" width="12" style="48" bestFit="1" customWidth="1"/>
    <col min="3" max="3" width="38.28515625" style="48" bestFit="1" customWidth="1"/>
    <col min="4" max="4" width="34.7109375" style="48" bestFit="1" customWidth="1"/>
    <col min="5" max="9" width="18.5703125" style="48" customWidth="1"/>
    <col min="10" max="10" width="35.28515625" style="48" bestFit="1" customWidth="1"/>
    <col min="11" max="11" width="18.42578125" style="48" bestFit="1" customWidth="1"/>
    <col min="12" max="12" width="1.140625" style="48" customWidth="1"/>
    <col min="13" max="18" width="9.28515625"/>
    <col min="19" max="30" width="9.28515625" style="48"/>
  </cols>
  <sheetData>
    <row r="1" spans="1:30" s="52" customFormat="1" ht="31.5">
      <c r="A1" s="49" t="s">
        <v>98</v>
      </c>
      <c r="B1" s="49" t="s">
        <v>33</v>
      </c>
      <c r="C1" s="50" t="s">
        <v>9</v>
      </c>
      <c r="D1" s="53" t="s">
        <v>140</v>
      </c>
      <c r="E1" s="53" t="s">
        <v>141</v>
      </c>
      <c r="F1" s="53" t="s">
        <v>142</v>
      </c>
      <c r="G1" s="53" t="s">
        <v>143</v>
      </c>
      <c r="H1" s="53" t="s">
        <v>144</v>
      </c>
      <c r="I1" s="53" t="s">
        <v>145</v>
      </c>
      <c r="J1" s="49" t="s">
        <v>31</v>
      </c>
      <c r="K1" s="53" t="s">
        <v>99</v>
      </c>
      <c r="L1" s="51"/>
      <c r="S1" s="51"/>
      <c r="T1" s="51"/>
      <c r="U1" s="51"/>
      <c r="V1" s="51"/>
      <c r="W1" s="51"/>
      <c r="X1" s="51"/>
      <c r="Y1" s="51"/>
      <c r="Z1" s="51"/>
      <c r="AA1" s="51"/>
      <c r="AB1" s="51"/>
      <c r="AC1" s="51"/>
      <c r="AD1" s="51"/>
    </row>
    <row r="2" spans="1:30">
      <c r="A2" t="s">
        <v>835</v>
      </c>
      <c r="B2" t="s">
        <v>82</v>
      </c>
      <c r="C2" t="s">
        <v>836</v>
      </c>
      <c r="E2"/>
      <c r="F2"/>
      <c r="G2"/>
      <c r="H2" t="s">
        <v>837</v>
      </c>
      <c r="I2" t="s">
        <v>146</v>
      </c>
      <c r="J2" t="s">
        <v>838</v>
      </c>
      <c r="K2" s="57" t="s">
        <v>839</v>
      </c>
    </row>
    <row r="3" spans="1:30" ht="15.75" thickBot="1">
      <c r="A3"/>
      <c r="B3"/>
      <c r="C3"/>
      <c r="E3"/>
      <c r="F3"/>
      <c r="G3"/>
      <c r="H3"/>
      <c r="I3"/>
      <c r="J3"/>
      <c r="K3" s="57"/>
    </row>
    <row r="4" spans="1:30">
      <c r="A4"/>
      <c r="B4"/>
      <c r="C4"/>
      <c r="E4"/>
      <c r="F4"/>
      <c r="G4"/>
      <c r="H4"/>
      <c r="I4"/>
      <c r="J4"/>
      <c r="K4" s="57"/>
      <c r="M4" s="125" t="s">
        <v>110</v>
      </c>
      <c r="N4" s="126"/>
      <c r="O4" s="126"/>
      <c r="P4" s="126"/>
      <c r="Q4" s="127"/>
    </row>
    <row r="5" spans="1:30">
      <c r="A5"/>
      <c r="B5"/>
      <c r="C5"/>
      <c r="E5"/>
      <c r="F5"/>
      <c r="G5"/>
      <c r="H5"/>
      <c r="I5"/>
      <c r="J5"/>
      <c r="K5" s="57"/>
      <c r="M5" s="128"/>
      <c r="N5" s="129"/>
      <c r="O5" s="129"/>
      <c r="P5" s="129"/>
      <c r="Q5" s="130"/>
    </row>
    <row r="6" spans="1:30">
      <c r="A6"/>
      <c r="B6"/>
      <c r="C6"/>
      <c r="E6"/>
      <c r="F6"/>
      <c r="G6"/>
      <c r="H6"/>
      <c r="I6"/>
      <c r="J6"/>
      <c r="K6" s="57"/>
      <c r="M6" s="128"/>
      <c r="N6" s="129"/>
      <c r="O6" s="129"/>
      <c r="P6" s="129"/>
      <c r="Q6" s="130"/>
    </row>
    <row r="7" spans="1:30">
      <c r="A7"/>
      <c r="B7"/>
      <c r="C7"/>
      <c r="E7"/>
      <c r="F7"/>
      <c r="G7"/>
      <c r="H7"/>
      <c r="I7"/>
      <c r="J7"/>
      <c r="K7" s="57"/>
      <c r="M7" s="128"/>
      <c r="N7" s="129"/>
      <c r="O7" s="129"/>
      <c r="P7" s="129"/>
      <c r="Q7" s="130"/>
    </row>
    <row r="8" spans="1:30">
      <c r="A8"/>
      <c r="B8"/>
      <c r="C8"/>
      <c r="E8"/>
      <c r="F8"/>
      <c r="G8"/>
      <c r="H8"/>
      <c r="I8"/>
      <c r="J8"/>
      <c r="K8" s="57"/>
      <c r="M8" s="128"/>
      <c r="N8" s="129"/>
      <c r="O8" s="129"/>
      <c r="P8" s="129"/>
      <c r="Q8" s="130"/>
    </row>
    <row r="9" spans="1:30">
      <c r="A9"/>
      <c r="B9"/>
      <c r="C9"/>
      <c r="E9"/>
      <c r="F9"/>
      <c r="G9"/>
      <c r="H9"/>
      <c r="I9"/>
      <c r="J9"/>
      <c r="K9" s="57"/>
      <c r="M9" s="128"/>
      <c r="N9" s="129"/>
      <c r="O9" s="129"/>
      <c r="P9" s="129"/>
      <c r="Q9" s="130"/>
    </row>
    <row r="10" spans="1:30">
      <c r="A10"/>
      <c r="B10"/>
      <c r="C10"/>
      <c r="E10"/>
      <c r="F10"/>
      <c r="G10"/>
      <c r="H10"/>
      <c r="I10"/>
      <c r="J10"/>
      <c r="K10" s="57"/>
      <c r="M10" s="128"/>
      <c r="N10" s="129"/>
      <c r="O10" s="129"/>
      <c r="P10" s="129"/>
      <c r="Q10" s="130"/>
    </row>
    <row r="11" spans="1:30">
      <c r="A11"/>
      <c r="B11"/>
      <c r="C11"/>
      <c r="E11"/>
      <c r="F11"/>
      <c r="G11"/>
      <c r="H11"/>
      <c r="I11"/>
      <c r="J11"/>
      <c r="K11" s="57"/>
      <c r="M11" s="128"/>
      <c r="N11" s="129"/>
      <c r="O11" s="129"/>
      <c r="P11" s="129"/>
      <c r="Q11" s="130"/>
    </row>
    <row r="12" spans="1:30" ht="15.75" thickBot="1">
      <c r="A12"/>
      <c r="B12"/>
      <c r="C12"/>
      <c r="E12"/>
      <c r="F12"/>
      <c r="G12"/>
      <c r="H12"/>
      <c r="I12"/>
      <c r="J12"/>
      <c r="K12" s="57"/>
      <c r="M12" s="131"/>
      <c r="N12" s="132"/>
      <c r="O12" s="132"/>
      <c r="P12" s="132"/>
      <c r="Q12" s="133"/>
    </row>
    <row r="13" spans="1:30">
      <c r="A13"/>
      <c r="B13"/>
      <c r="C13"/>
      <c r="E13"/>
      <c r="F13"/>
      <c r="G13"/>
      <c r="H13"/>
      <c r="I13"/>
      <c r="J13"/>
      <c r="K13" s="57"/>
    </row>
    <row r="14" spans="1:30">
      <c r="A14"/>
      <c r="B14"/>
      <c r="C14"/>
      <c r="E14"/>
      <c r="F14"/>
      <c r="G14"/>
      <c r="H14"/>
      <c r="I14"/>
      <c r="J14"/>
      <c r="K14" s="57"/>
    </row>
    <row r="15" spans="1:30">
      <c r="A15"/>
      <c r="B15"/>
      <c r="C15"/>
      <c r="E15"/>
      <c r="F15"/>
      <c r="G15"/>
      <c r="H15"/>
      <c r="I15"/>
      <c r="J15"/>
      <c r="K15" s="57"/>
    </row>
    <row r="16" spans="1:30">
      <c r="A16"/>
      <c r="B16"/>
      <c r="C16"/>
      <c r="E16"/>
      <c r="F16"/>
      <c r="G16"/>
      <c r="H16"/>
      <c r="I16"/>
      <c r="J16"/>
      <c r="K16" s="57"/>
    </row>
    <row r="17" spans="1:11">
      <c r="A17"/>
      <c r="B17"/>
      <c r="C17"/>
      <c r="E17"/>
      <c r="F17"/>
      <c r="G17"/>
      <c r="H17"/>
      <c r="I17"/>
      <c r="J17"/>
      <c r="K17" s="57"/>
    </row>
    <row r="18" spans="1:11">
      <c r="A18"/>
      <c r="B18"/>
      <c r="C18"/>
      <c r="E18"/>
      <c r="F18"/>
      <c r="G18"/>
      <c r="H18"/>
      <c r="I18"/>
      <c r="J18"/>
      <c r="K18" s="57"/>
    </row>
    <row r="19" spans="1:11">
      <c r="A19"/>
      <c r="B19"/>
      <c r="C19"/>
      <c r="E19"/>
      <c r="F19"/>
      <c r="G19"/>
      <c r="H19"/>
      <c r="I19"/>
      <c r="J19"/>
      <c r="K19" s="57"/>
    </row>
    <row r="20" spans="1:11">
      <c r="A20"/>
      <c r="B20"/>
      <c r="C20"/>
      <c r="E20"/>
      <c r="F20"/>
      <c r="G20"/>
      <c r="H20"/>
      <c r="I20"/>
      <c r="J20"/>
      <c r="K20" s="57"/>
    </row>
    <row r="21" spans="1:11">
      <c r="A21"/>
      <c r="B21"/>
      <c r="C21"/>
      <c r="E21"/>
      <c r="F21"/>
      <c r="G21"/>
      <c r="H21"/>
      <c r="I21"/>
      <c r="J21"/>
      <c r="K21" s="57"/>
    </row>
    <row r="22" spans="1:11">
      <c r="A22"/>
      <c r="B22"/>
      <c r="C22"/>
      <c r="E22"/>
      <c r="F22"/>
      <c r="G22"/>
      <c r="H22"/>
      <c r="I22"/>
      <c r="J22"/>
      <c r="K22" s="57"/>
    </row>
    <row r="23" spans="1:11">
      <c r="A23"/>
      <c r="B23"/>
      <c r="C23"/>
      <c r="E23"/>
      <c r="F23"/>
      <c r="G23"/>
      <c r="H23"/>
      <c r="I23"/>
      <c r="J23"/>
      <c r="K23" s="57"/>
    </row>
    <row r="24" spans="1:11">
      <c r="A24"/>
      <c r="B24"/>
      <c r="C24"/>
      <c r="E24"/>
      <c r="F24"/>
      <c r="G24"/>
      <c r="H24"/>
      <c r="I24"/>
      <c r="J24"/>
      <c r="K24" s="57"/>
    </row>
    <row r="25" spans="1:11">
      <c r="A25"/>
      <c r="B25"/>
      <c r="C25"/>
      <c r="E25"/>
      <c r="F25"/>
      <c r="G25"/>
      <c r="H25"/>
      <c r="I25"/>
      <c r="J25"/>
      <c r="K25" s="57"/>
    </row>
    <row r="26" spans="1:11">
      <c r="A26"/>
      <c r="B26"/>
      <c r="C26"/>
      <c r="E26"/>
      <c r="F26"/>
      <c r="G26"/>
      <c r="H26"/>
      <c r="I26"/>
      <c r="J26"/>
      <c r="K26" s="57"/>
    </row>
    <row r="27" spans="1:11">
      <c r="A27"/>
      <c r="B27"/>
      <c r="C27"/>
      <c r="E27"/>
      <c r="F27"/>
      <c r="G27"/>
      <c r="H27"/>
      <c r="I27"/>
      <c r="J27"/>
      <c r="K27" s="57"/>
    </row>
    <row r="28" spans="1:11">
      <c r="A28"/>
      <c r="B28"/>
      <c r="C28"/>
      <c r="E28"/>
      <c r="F28"/>
      <c r="G28"/>
      <c r="H28"/>
      <c r="I28"/>
      <c r="J28"/>
      <c r="K28" s="57"/>
    </row>
    <row r="29" spans="1:11">
      <c r="A29"/>
      <c r="B29"/>
      <c r="C29"/>
      <c r="E29"/>
      <c r="F29"/>
      <c r="G29"/>
      <c r="H29"/>
      <c r="I29"/>
      <c r="J29"/>
      <c r="K29" s="57"/>
    </row>
    <row r="30" spans="1:11">
      <c r="A30"/>
      <c r="E30"/>
      <c r="F30"/>
      <c r="G30"/>
      <c r="H30"/>
      <c r="I30"/>
      <c r="K30" s="57"/>
    </row>
    <row r="31" spans="1:11">
      <c r="A31"/>
      <c r="B31"/>
      <c r="C31"/>
      <c r="E31"/>
      <c r="F31"/>
      <c r="G31"/>
      <c r="H31"/>
      <c r="I31"/>
      <c r="J31"/>
      <c r="K31" s="57"/>
    </row>
    <row r="32" spans="1:11">
      <c r="A32"/>
      <c r="B32"/>
      <c r="C32"/>
      <c r="E32"/>
      <c r="F32"/>
      <c r="G32"/>
      <c r="H32"/>
      <c r="I32"/>
      <c r="J32"/>
      <c r="K32" s="57"/>
    </row>
    <row r="33" spans="1:11">
      <c r="A33"/>
      <c r="B33"/>
      <c r="C33"/>
      <c r="E33"/>
      <c r="F33"/>
      <c r="G33"/>
      <c r="H33"/>
      <c r="I33"/>
      <c r="J33"/>
      <c r="K33" s="57"/>
    </row>
    <row r="34" spans="1:11">
      <c r="A34"/>
      <c r="B34"/>
      <c r="C34"/>
      <c r="E34"/>
      <c r="F34"/>
      <c r="G34"/>
      <c r="H34"/>
      <c r="I34"/>
      <c r="J34"/>
      <c r="K34" s="57"/>
    </row>
    <row r="35" spans="1:11">
      <c r="A35"/>
      <c r="B35"/>
      <c r="C35"/>
      <c r="E35"/>
      <c r="F35"/>
      <c r="G35"/>
      <c r="H35"/>
      <c r="I35"/>
      <c r="J35"/>
      <c r="K35" s="57"/>
    </row>
    <row r="36" spans="1:11">
      <c r="A36"/>
      <c r="B36"/>
      <c r="C36"/>
      <c r="E36"/>
      <c r="F36"/>
      <c r="G36"/>
      <c r="H36"/>
      <c r="I36"/>
      <c r="J36"/>
      <c r="K36" s="57"/>
    </row>
    <row r="37" spans="1:11">
      <c r="A37"/>
      <c r="B37"/>
      <c r="C37"/>
      <c r="E37"/>
      <c r="F37"/>
      <c r="G37"/>
      <c r="H37"/>
      <c r="I37"/>
      <c r="J37"/>
      <c r="K37" s="57"/>
    </row>
    <row r="38" spans="1:11">
      <c r="A38"/>
      <c r="B38"/>
      <c r="C38"/>
      <c r="E38"/>
      <c r="F38"/>
      <c r="G38"/>
      <c r="H38"/>
      <c r="I38"/>
      <c r="J38"/>
      <c r="K38" s="57"/>
    </row>
    <row r="39" spans="1:11">
      <c r="A39"/>
      <c r="B39"/>
      <c r="C39"/>
      <c r="E39"/>
      <c r="F39"/>
      <c r="G39"/>
      <c r="H39"/>
      <c r="I39"/>
      <c r="J39"/>
      <c r="K39" s="57"/>
    </row>
    <row r="40" spans="1:11">
      <c r="A40"/>
      <c r="B40"/>
      <c r="C40"/>
      <c r="E40"/>
      <c r="F40"/>
      <c r="G40"/>
      <c r="H40"/>
      <c r="I40"/>
      <c r="J40"/>
      <c r="K40" s="57"/>
    </row>
    <row r="41" spans="1:11">
      <c r="A41"/>
      <c r="B41"/>
      <c r="C41"/>
      <c r="E41"/>
      <c r="F41"/>
      <c r="G41"/>
      <c r="H41"/>
      <c r="I41"/>
      <c r="J41"/>
      <c r="K41" s="57"/>
    </row>
    <row r="42" spans="1:11">
      <c r="A42"/>
      <c r="B42"/>
      <c r="C42"/>
      <c r="E42"/>
      <c r="F42"/>
      <c r="G42"/>
      <c r="H42"/>
      <c r="I42"/>
      <c r="J42"/>
      <c r="K42" s="57"/>
    </row>
    <row r="43" spans="1:11">
      <c r="A43"/>
      <c r="B43"/>
      <c r="C43"/>
      <c r="E43"/>
      <c r="F43"/>
      <c r="G43"/>
      <c r="H43"/>
      <c r="I43"/>
      <c r="J43"/>
      <c r="K43" s="97"/>
    </row>
    <row r="44" spans="1:11">
      <c r="A44"/>
      <c r="B44"/>
      <c r="C44"/>
      <c r="E44"/>
      <c r="F44"/>
      <c r="G44"/>
      <c r="H44"/>
      <c r="I44"/>
      <c r="J44"/>
      <c r="K44" s="57"/>
    </row>
    <row r="45" spans="1:11">
      <c r="A45"/>
      <c r="B45"/>
      <c r="C45"/>
      <c r="E45"/>
      <c r="F45"/>
      <c r="G45"/>
      <c r="H45"/>
      <c r="I45"/>
      <c r="J45"/>
      <c r="K45" s="57"/>
    </row>
    <row r="46" spans="1:11">
      <c r="A46"/>
      <c r="B46"/>
      <c r="C46"/>
      <c r="E46"/>
      <c r="F46"/>
      <c r="G46"/>
      <c r="H46"/>
      <c r="I46"/>
      <c r="J46"/>
      <c r="K46" s="57"/>
    </row>
    <row r="47" spans="1:11">
      <c r="A47"/>
      <c r="B47"/>
      <c r="C47"/>
      <c r="E47"/>
      <c r="F47"/>
      <c r="G47"/>
      <c r="H47"/>
      <c r="I47"/>
      <c r="J47"/>
      <c r="K47" s="57"/>
    </row>
    <row r="48" spans="1:11">
      <c r="A48"/>
      <c r="B48"/>
      <c r="C48"/>
      <c r="E48"/>
      <c r="F48"/>
      <c r="G48"/>
      <c r="H48"/>
      <c r="I48"/>
      <c r="J48"/>
      <c r="K48" s="57"/>
    </row>
    <row r="49" spans="1:11">
      <c r="A49"/>
      <c r="B49"/>
      <c r="C49"/>
      <c r="E49"/>
      <c r="F49"/>
      <c r="G49"/>
      <c r="H49"/>
      <c r="I49"/>
      <c r="J49"/>
      <c r="K49" s="57"/>
    </row>
    <row r="50" spans="1:11">
      <c r="A50"/>
      <c r="B50"/>
      <c r="C50"/>
      <c r="E50"/>
      <c r="F50"/>
      <c r="G50"/>
      <c r="H50"/>
      <c r="I50"/>
      <c r="J50"/>
      <c r="K50" s="57"/>
    </row>
    <row r="51" spans="1:11">
      <c r="A51"/>
      <c r="B51"/>
      <c r="C51"/>
      <c r="E51"/>
      <c r="F51"/>
      <c r="G51"/>
      <c r="H51"/>
      <c r="I51"/>
      <c r="J51"/>
      <c r="K51" s="57"/>
    </row>
    <row r="52" spans="1:11">
      <c r="A52"/>
      <c r="B52"/>
      <c r="C52"/>
      <c r="E52"/>
      <c r="F52"/>
      <c r="G52"/>
      <c r="H52"/>
      <c r="I52"/>
      <c r="J52"/>
      <c r="K52" s="57"/>
    </row>
    <row r="53" spans="1:11">
      <c r="A53"/>
      <c r="B53"/>
      <c r="C53"/>
      <c r="E53"/>
      <c r="F53"/>
      <c r="G53"/>
      <c r="H53"/>
      <c r="I53"/>
      <c r="J53"/>
      <c r="K53" s="57"/>
    </row>
    <row r="54" spans="1:11">
      <c r="A54"/>
      <c r="B54"/>
      <c r="C54"/>
      <c r="E54"/>
      <c r="F54"/>
      <c r="G54"/>
      <c r="H54"/>
      <c r="I54"/>
      <c r="J54"/>
      <c r="K54" s="57"/>
    </row>
    <row r="55" spans="1:11">
      <c r="A55"/>
      <c r="B55"/>
      <c r="C55"/>
      <c r="E55"/>
      <c r="F55"/>
      <c r="G55"/>
      <c r="H55"/>
      <c r="I55"/>
      <c r="J55"/>
      <c r="K55" s="57"/>
    </row>
    <row r="56" spans="1:11">
      <c r="A56"/>
      <c r="B56"/>
      <c r="C56"/>
      <c r="E56"/>
      <c r="F56"/>
      <c r="G56"/>
      <c r="H56"/>
      <c r="I56"/>
      <c r="J56"/>
      <c r="K56" s="57"/>
    </row>
    <row r="57" spans="1:11">
      <c r="A57"/>
      <c r="B57"/>
      <c r="C57"/>
      <c r="E57"/>
      <c r="F57"/>
      <c r="G57"/>
      <c r="H57"/>
      <c r="I57"/>
      <c r="J57"/>
      <c r="K57" s="57"/>
    </row>
    <row r="58" spans="1:11">
      <c r="A58"/>
      <c r="B58"/>
      <c r="C58"/>
      <c r="E58"/>
      <c r="F58"/>
      <c r="G58"/>
      <c r="H58"/>
      <c r="I58"/>
      <c r="J58"/>
      <c r="K58" s="57"/>
    </row>
    <row r="59" spans="1:11">
      <c r="A59"/>
      <c r="B59"/>
      <c r="C59"/>
      <c r="E59"/>
      <c r="F59"/>
      <c r="G59"/>
      <c r="H59"/>
      <c r="I59"/>
      <c r="J59"/>
      <c r="K59" s="57"/>
    </row>
    <row r="60" spans="1:11">
      <c r="A60"/>
      <c r="B60"/>
      <c r="C60"/>
      <c r="E60"/>
      <c r="F60"/>
      <c r="G60"/>
      <c r="H60"/>
      <c r="I60"/>
      <c r="J60"/>
      <c r="K60" s="57"/>
    </row>
    <row r="61" spans="1:11">
      <c r="A61"/>
      <c r="B61"/>
      <c r="C61"/>
      <c r="E61"/>
      <c r="F61"/>
      <c r="G61"/>
      <c r="H61"/>
      <c r="I61"/>
      <c r="J61"/>
      <c r="K61" s="57"/>
    </row>
    <row r="62" spans="1:11">
      <c r="A62"/>
      <c r="B62"/>
      <c r="C62"/>
      <c r="E62"/>
      <c r="F62"/>
      <c r="G62"/>
      <c r="H62"/>
      <c r="I62"/>
      <c r="J62"/>
      <c r="K62" s="57"/>
    </row>
    <row r="63" spans="1:11">
      <c r="A63"/>
      <c r="B63"/>
      <c r="C63"/>
      <c r="E63"/>
      <c r="F63"/>
      <c r="G63"/>
      <c r="H63"/>
      <c r="I63"/>
      <c r="J63"/>
      <c r="K63" s="57"/>
    </row>
    <row r="64" spans="1:11">
      <c r="A64"/>
      <c r="B64"/>
      <c r="C64"/>
      <c r="E64"/>
      <c r="F64"/>
      <c r="G64"/>
      <c r="H64"/>
      <c r="I64"/>
      <c r="J64"/>
      <c r="K64" s="57"/>
    </row>
    <row r="65" spans="1:11">
      <c r="A65"/>
      <c r="B65"/>
      <c r="C65"/>
      <c r="E65"/>
      <c r="F65"/>
      <c r="G65"/>
      <c r="H65"/>
      <c r="I65"/>
      <c r="J65"/>
      <c r="K65" s="57"/>
    </row>
    <row r="66" spans="1:11">
      <c r="A66"/>
      <c r="B66"/>
      <c r="C66"/>
      <c r="E66"/>
      <c r="F66"/>
      <c r="G66"/>
      <c r="H66"/>
      <c r="I66"/>
      <c r="J66"/>
      <c r="K66" s="57"/>
    </row>
    <row r="67" spans="1:11">
      <c r="A67"/>
      <c r="B67"/>
      <c r="C67"/>
      <c r="E67"/>
      <c r="F67"/>
      <c r="G67"/>
      <c r="H67"/>
      <c r="I67"/>
      <c r="J67"/>
      <c r="K67" s="57"/>
    </row>
    <row r="68" spans="1:11">
      <c r="A68"/>
      <c r="B68"/>
      <c r="C68"/>
      <c r="E68"/>
      <c r="F68"/>
      <c r="G68"/>
      <c r="H68"/>
      <c r="I68"/>
      <c r="J68"/>
      <c r="K68" s="57"/>
    </row>
    <row r="69" spans="1:11">
      <c r="A69"/>
      <c r="B69"/>
      <c r="C69"/>
      <c r="E69"/>
      <c r="F69"/>
      <c r="G69"/>
      <c r="H69"/>
      <c r="I69"/>
      <c r="J69"/>
      <c r="K69" s="57"/>
    </row>
    <row r="70" spans="1:11">
      <c r="A70"/>
      <c r="B70"/>
      <c r="C70"/>
      <c r="E70"/>
      <c r="F70"/>
      <c r="G70"/>
      <c r="H70"/>
      <c r="I70"/>
      <c r="J70"/>
      <c r="K70" s="57"/>
    </row>
    <row r="71" spans="1:11">
      <c r="A71"/>
      <c r="B71"/>
      <c r="C71"/>
      <c r="E71"/>
      <c r="F71"/>
      <c r="G71"/>
      <c r="H71"/>
      <c r="I71"/>
      <c r="J71"/>
      <c r="K71" s="57"/>
    </row>
    <row r="72" spans="1:11">
      <c r="A72"/>
      <c r="B72"/>
      <c r="C72"/>
      <c r="E72"/>
      <c r="F72"/>
      <c r="G72"/>
      <c r="H72"/>
      <c r="I72"/>
      <c r="J72"/>
      <c r="K72" s="57"/>
    </row>
    <row r="73" spans="1:11">
      <c r="A73"/>
      <c r="B73"/>
      <c r="C73"/>
      <c r="E73"/>
      <c r="F73"/>
      <c r="G73"/>
      <c r="H73"/>
      <c r="I73"/>
      <c r="J73"/>
      <c r="K73" s="57"/>
    </row>
    <row r="74" spans="1:11">
      <c r="A74"/>
      <c r="B74"/>
      <c r="C74"/>
      <c r="E74"/>
      <c r="F74"/>
      <c r="G74"/>
      <c r="H74"/>
      <c r="I74"/>
      <c r="J74"/>
      <c r="K74" s="57"/>
    </row>
    <row r="75" spans="1:11">
      <c r="A75"/>
      <c r="B75"/>
      <c r="C75"/>
      <c r="E75"/>
      <c r="F75"/>
      <c r="G75"/>
      <c r="H75"/>
      <c r="I75"/>
      <c r="J75"/>
      <c r="K75" s="57"/>
    </row>
    <row r="76" spans="1:11">
      <c r="A76"/>
      <c r="B76"/>
      <c r="C76"/>
      <c r="E76"/>
      <c r="F76"/>
      <c r="G76"/>
      <c r="H76"/>
      <c r="I76"/>
      <c r="J76"/>
      <c r="K76" s="57"/>
    </row>
    <row r="77" spans="1:11">
      <c r="A77"/>
      <c r="B77"/>
      <c r="C77"/>
      <c r="E77"/>
      <c r="F77"/>
      <c r="G77"/>
      <c r="H77"/>
      <c r="I77"/>
      <c r="J77"/>
      <c r="K77" s="57"/>
    </row>
    <row r="78" spans="1:11">
      <c r="A78"/>
      <c r="B78"/>
      <c r="C78"/>
      <c r="E78"/>
      <c r="F78"/>
      <c r="G78"/>
      <c r="H78"/>
      <c r="I78"/>
      <c r="J78"/>
      <c r="K78" s="57"/>
    </row>
    <row r="79" spans="1:11">
      <c r="A79"/>
      <c r="B79"/>
      <c r="C79"/>
      <c r="E79"/>
      <c r="F79"/>
      <c r="G79"/>
      <c r="H79"/>
      <c r="I79"/>
      <c r="J79"/>
      <c r="K79" s="57"/>
    </row>
    <row r="80" spans="1:11">
      <c r="A80"/>
      <c r="B80"/>
      <c r="C80"/>
      <c r="E80"/>
      <c r="F80"/>
      <c r="G80"/>
      <c r="H80"/>
      <c r="I80"/>
      <c r="J80"/>
      <c r="K80" s="57"/>
    </row>
    <row r="81" spans="1:11">
      <c r="A81"/>
      <c r="B81"/>
      <c r="C81"/>
      <c r="E81"/>
      <c r="F81"/>
      <c r="G81"/>
      <c r="H81"/>
      <c r="I81"/>
      <c r="J81"/>
      <c r="K81" s="57"/>
    </row>
    <row r="82" spans="1:11">
      <c r="A82"/>
      <c r="B82"/>
      <c r="C82"/>
      <c r="E82"/>
      <c r="F82"/>
      <c r="G82"/>
      <c r="H82"/>
      <c r="I82"/>
      <c r="J82"/>
      <c r="K82" s="57"/>
    </row>
    <row r="83" spans="1:11">
      <c r="A83"/>
      <c r="B83"/>
      <c r="C83"/>
      <c r="E83"/>
      <c r="F83"/>
      <c r="G83"/>
      <c r="H83"/>
      <c r="I83"/>
      <c r="J83"/>
      <c r="K83" s="57"/>
    </row>
    <row r="84" spans="1:11">
      <c r="A84"/>
      <c r="B84"/>
      <c r="C84"/>
      <c r="E84"/>
      <c r="F84"/>
      <c r="G84"/>
      <c r="H84"/>
      <c r="I84"/>
      <c r="J84"/>
      <c r="K84" s="57"/>
    </row>
    <row r="85" spans="1:11">
      <c r="I85"/>
      <c r="K85" s="98"/>
    </row>
    <row r="86" spans="1:11">
      <c r="I86"/>
    </row>
    <row r="87" spans="1:11">
      <c r="I87"/>
    </row>
    <row r="88" spans="1:11">
      <c r="I88"/>
    </row>
    <row r="89" spans="1:11">
      <c r="I89"/>
    </row>
    <row r="90" spans="1:11">
      <c r="I90"/>
    </row>
    <row r="91" spans="1:11">
      <c r="I91"/>
    </row>
    <row r="92" spans="1:11">
      <c r="I92"/>
    </row>
    <row r="93" spans="1:11">
      <c r="I93"/>
    </row>
    <row r="94" spans="1:11">
      <c r="I94"/>
    </row>
    <row r="95" spans="1:11">
      <c r="I95"/>
    </row>
    <row r="96" spans="1:11">
      <c r="I96"/>
    </row>
    <row r="97" spans="9:9">
      <c r="I97"/>
    </row>
    <row r="98" spans="9:9">
      <c r="I98"/>
    </row>
    <row r="99" spans="9:9">
      <c r="I99"/>
    </row>
    <row r="100" spans="9:9">
      <c r="I100"/>
    </row>
    <row r="101" spans="9:9">
      <c r="I101"/>
    </row>
    <row r="102" spans="9:9">
      <c r="I102"/>
    </row>
    <row r="103" spans="9:9">
      <c r="I103"/>
    </row>
    <row r="104" spans="9:9">
      <c r="I104"/>
    </row>
    <row r="105" spans="9:9">
      <c r="I105"/>
    </row>
    <row r="106" spans="9:9">
      <c r="I106"/>
    </row>
    <row r="107" spans="9:9">
      <c r="I107"/>
    </row>
    <row r="108" spans="9:9">
      <c r="I108"/>
    </row>
    <row r="109" spans="9:9">
      <c r="I109"/>
    </row>
    <row r="110" spans="9:9">
      <c r="I110"/>
    </row>
    <row r="111" spans="9:9">
      <c r="I111"/>
    </row>
    <row r="112" spans="9:9">
      <c r="I112"/>
    </row>
    <row r="113" spans="9:9">
      <c r="I113"/>
    </row>
    <row r="114" spans="9:9">
      <c r="I114"/>
    </row>
    <row r="115" spans="9:9">
      <c r="I115"/>
    </row>
    <row r="116" spans="9:9">
      <c r="I116"/>
    </row>
    <row r="117" spans="9:9">
      <c r="I117"/>
    </row>
    <row r="118" spans="9:9">
      <c r="I118"/>
    </row>
    <row r="119" spans="9:9">
      <c r="I119"/>
    </row>
    <row r="120" spans="9:9">
      <c r="I120"/>
    </row>
    <row r="121" spans="9:9">
      <c r="I121"/>
    </row>
  </sheetData>
  <sortState xmlns:xlrd2="http://schemas.microsoft.com/office/spreadsheetml/2017/richdata2" ref="A2:K70">
    <sortCondition ref="A2:A70"/>
  </sortState>
  <mergeCells count="1">
    <mergeCell ref="M4:Q1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errorStyle="information" allowBlank="1" showInputMessage="1" showErrorMessage="1" errorTitle="Code is not in the list" xr:uid="{7D5B8E90-50B8-4445-9246-4B751986AD75}">
          <x14:formula1>
            <xm:f>'Control Data (Hidden)'!$B$279:$B$335</xm:f>
          </x14:formula1>
          <xm:sqref>B2 B4:B1048576</xm:sqref>
        </x14:dataValidation>
        <x14:dataValidation type="list" errorStyle="warning" allowBlank="1" showErrorMessage="1" errorTitle="Code is not in list" xr:uid="{08D1CD7B-453A-4125-ABBB-DCDE1D8B4E2B}">
          <x14:formula1>
            <xm:f>'Control Data (Hidden)'!$B$279:$B$335</xm:f>
          </x14:formula1>
          <xm:sqref>B3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335"/>
  <sheetViews>
    <sheetView topLeftCell="A10" zoomScale="75" zoomScaleNormal="75" workbookViewId="0">
      <selection activeCell="C14" sqref="C14"/>
    </sheetView>
  </sheetViews>
  <sheetFormatPr defaultRowHeight="15"/>
  <cols>
    <col min="1" max="1" width="27" bestFit="1" customWidth="1"/>
    <col min="2" max="2" width="19.28515625" customWidth="1"/>
    <col min="3" max="3" width="10.7109375" bestFit="1" customWidth="1"/>
    <col min="13" max="13" width="95.5703125" customWidth="1"/>
  </cols>
  <sheetData>
    <row r="1" spans="1:13" ht="15.75" thickBot="1">
      <c r="A1" s="29" t="s">
        <v>89</v>
      </c>
      <c r="B1" s="30" t="s">
        <v>88</v>
      </c>
      <c r="C1" s="30" t="s">
        <v>830</v>
      </c>
      <c r="D1" s="30"/>
      <c r="E1" s="30"/>
      <c r="F1" s="30"/>
      <c r="G1" s="30"/>
      <c r="H1" s="30"/>
      <c r="I1" s="31"/>
      <c r="L1" t="s">
        <v>85</v>
      </c>
      <c r="M1" t="s">
        <v>105</v>
      </c>
    </row>
    <row r="2" spans="1:13" ht="15.75" thickBot="1">
      <c r="L2" t="s">
        <v>83</v>
      </c>
      <c r="M2" t="s">
        <v>106</v>
      </c>
    </row>
    <row r="3" spans="1:13" ht="15.75" thickBot="1">
      <c r="A3" s="29" t="s">
        <v>90</v>
      </c>
      <c r="B3" s="31" t="s">
        <v>148</v>
      </c>
      <c r="L3" t="s">
        <v>104</v>
      </c>
      <c r="M3" t="s">
        <v>108</v>
      </c>
    </row>
    <row r="4" spans="1:13" ht="15.75" thickBot="1">
      <c r="M4" t="s">
        <v>107</v>
      </c>
    </row>
    <row r="5" spans="1:13" ht="368.25" customHeight="1">
      <c r="A5" s="32" t="s">
        <v>123</v>
      </c>
      <c r="B5" s="33" t="s">
        <v>84</v>
      </c>
      <c r="C5" s="134" t="s">
        <v>149</v>
      </c>
      <c r="D5" s="134"/>
      <c r="E5" s="134"/>
      <c r="F5" s="134"/>
      <c r="G5" s="134"/>
      <c r="H5" s="134"/>
      <c r="I5" s="135"/>
      <c r="M5" s="15" t="s">
        <v>109</v>
      </c>
    </row>
    <row r="6" spans="1:13" ht="31.9" customHeight="1">
      <c r="A6" s="34"/>
      <c r="B6" t="s">
        <v>85</v>
      </c>
      <c r="C6" s="136" t="s">
        <v>86</v>
      </c>
      <c r="D6" s="136"/>
      <c r="E6" s="136"/>
      <c r="F6" s="136"/>
      <c r="G6" s="136"/>
      <c r="H6" s="136"/>
      <c r="I6" s="137"/>
      <c r="L6" s="2" t="s">
        <v>115</v>
      </c>
      <c r="M6" s="15" t="s">
        <v>117</v>
      </c>
    </row>
    <row r="7" spans="1:13" ht="38.450000000000003" customHeight="1" thickBot="1">
      <c r="A7" s="35"/>
      <c r="B7" s="36" t="s">
        <v>87</v>
      </c>
      <c r="C7" s="138" t="s">
        <v>828</v>
      </c>
      <c r="D7" s="138"/>
      <c r="E7" s="138"/>
      <c r="F7" s="138"/>
      <c r="G7" s="138"/>
      <c r="H7" s="138"/>
      <c r="I7" s="139"/>
      <c r="L7" s="2" t="s">
        <v>116</v>
      </c>
      <c r="M7" s="15" t="s">
        <v>118</v>
      </c>
    </row>
    <row r="8" spans="1:13" ht="135.75" thickBot="1">
      <c r="L8" s="2" t="s">
        <v>119</v>
      </c>
      <c r="M8" s="15" t="s">
        <v>120</v>
      </c>
    </row>
    <row r="9" spans="1:13" ht="30.75" thickBot="1">
      <c r="A9" s="29" t="s">
        <v>23</v>
      </c>
      <c r="B9" s="37" t="s">
        <v>20</v>
      </c>
      <c r="C9" s="30"/>
      <c r="D9" s="38" t="s">
        <v>24</v>
      </c>
      <c r="E9" s="39" t="s">
        <v>25</v>
      </c>
      <c r="L9" s="2" t="s">
        <v>122</v>
      </c>
      <c r="M9" s="15" t="s">
        <v>124</v>
      </c>
    </row>
    <row r="10" spans="1:13" ht="15.75" thickBot="1">
      <c r="B10" s="1"/>
      <c r="D10" s="40"/>
      <c r="E10" s="41"/>
      <c r="L10" s="2" t="s">
        <v>125</v>
      </c>
      <c r="M10" s="15" t="s">
        <v>126</v>
      </c>
    </row>
    <row r="11" spans="1:13">
      <c r="A11" s="42" t="s">
        <v>35</v>
      </c>
      <c r="B11" s="43" t="s">
        <v>36</v>
      </c>
      <c r="C11" s="43"/>
      <c r="D11" s="43" t="s">
        <v>37</v>
      </c>
      <c r="E11" s="43" t="s">
        <v>38</v>
      </c>
      <c r="F11" s="43" t="s">
        <v>39</v>
      </c>
      <c r="G11" s="43" t="s">
        <v>40</v>
      </c>
      <c r="H11" s="43" t="s">
        <v>41</v>
      </c>
      <c r="I11" s="43" t="s">
        <v>42</v>
      </c>
      <c r="J11" s="43" t="s">
        <v>43</v>
      </c>
      <c r="K11" s="44"/>
      <c r="L11" s="2" t="s">
        <v>127</v>
      </c>
      <c r="M11" s="15" t="s">
        <v>150</v>
      </c>
    </row>
    <row r="12" spans="1:13" ht="105.75" thickBot="1">
      <c r="A12" s="35"/>
      <c r="B12" s="36"/>
      <c r="C12" s="36"/>
      <c r="D12" s="36" t="s">
        <v>44</v>
      </c>
      <c r="E12" s="36" t="s">
        <v>45</v>
      </c>
      <c r="F12" s="36" t="s">
        <v>46</v>
      </c>
      <c r="G12" s="36" t="s">
        <v>47</v>
      </c>
      <c r="H12" s="36" t="s">
        <v>48</v>
      </c>
      <c r="I12" s="36" t="s">
        <v>49</v>
      </c>
      <c r="J12" s="36" t="s">
        <v>50</v>
      </c>
      <c r="K12" s="45"/>
      <c r="L12" s="2" t="s">
        <v>147</v>
      </c>
      <c r="M12" s="15" t="s">
        <v>151</v>
      </c>
    </row>
    <row r="13" spans="1:13" ht="30.75" thickBot="1">
      <c r="L13" s="2" t="s">
        <v>830</v>
      </c>
      <c r="M13" s="15" t="s">
        <v>831</v>
      </c>
    </row>
    <row r="14" spans="1:13" ht="15.75" thickBot="1">
      <c r="A14" s="29" t="s">
        <v>79</v>
      </c>
      <c r="B14" s="46">
        <f>DATE(2025,1,1)</f>
        <v>45658</v>
      </c>
      <c r="C14" s="47">
        <f>DATE(2034,12,31)</f>
        <v>49309</v>
      </c>
    </row>
    <row r="15" spans="1:13" ht="15.75" thickBot="1"/>
    <row r="16" spans="1:13" ht="15.75" thickBot="1">
      <c r="A16" s="29" t="s">
        <v>93</v>
      </c>
      <c r="B16" s="30" t="str">
        <f ca="1">CONCATENATE(DEC2HEX(RANDBETWEEN(0,4294967295),8),"-", DEC2HEX(RANDBETWEEN(0,42949),4),"-",DEC2HEX(RANDBETWEEN(0,42949),4),"-", DEC2HEX(RANDBETWEEN(0,42949),4),"-",DEC2HEX(RANDBETWEEN(0,4294967295),8),"-",DEC2HEX(RANDBETWEEN(0,42949),4))</f>
        <v>AB610C5B-77A0-2AF9-4283-1B7A86D2-58C2</v>
      </c>
      <c r="C16" s="30"/>
      <c r="D16" s="31"/>
    </row>
    <row r="17" spans="1:4" ht="15.75" thickBot="1"/>
    <row r="18" spans="1:4" ht="15.75" thickBot="1">
      <c r="A18" s="29" t="s">
        <v>94</v>
      </c>
      <c r="B18" s="30" t="str">
        <f ca="1">CONCATENATE("M",YEAR('Header Record'!B5),TEXT(MONTH('Header Record'!B5),"mm"),TEXT(DAY('Header Record'!B5),"dd"),"-",LEFT('Control Data (Hidden)'!B16,23))</f>
        <v>M20250118-AB610C5B-77A0-2AF9-4283</v>
      </c>
      <c r="C18" s="30"/>
      <c r="D18" s="31"/>
    </row>
    <row r="19" spans="1:4" ht="15.75" thickBot="1"/>
    <row r="20" spans="1:4" ht="15.75" thickBot="1">
      <c r="A20" s="29" t="s">
        <v>97</v>
      </c>
      <c r="B20" s="30" t="str">
        <f ca="1">CONCATENATE("P",YEAR('Header Record'!B5),TEXT(MONTH('Header Record'!B5),"mm"),TEXT(DAY('Header Record'!B5),"dd"),"-",LEFT('Control Data (Hidden)'!B16,23))</f>
        <v>P20250118-AB610C5B-77A0-2AF9-4283</v>
      </c>
      <c r="C20" s="30"/>
      <c r="D20" s="31"/>
    </row>
    <row r="21" spans="1:4" ht="15.75" thickBot="1"/>
    <row r="22" spans="1:4">
      <c r="A22" s="42" t="s">
        <v>152</v>
      </c>
      <c r="B22" s="44" t="s">
        <v>153</v>
      </c>
    </row>
    <row r="23" spans="1:4">
      <c r="A23" s="34" t="s">
        <v>154</v>
      </c>
      <c r="B23" s="58" t="s">
        <v>155</v>
      </c>
    </row>
    <row r="24" spans="1:4">
      <c r="A24" s="34" t="s">
        <v>156</v>
      </c>
      <c r="B24" s="58" t="s">
        <v>157</v>
      </c>
    </row>
    <row r="25" spans="1:4">
      <c r="A25" s="34" t="s">
        <v>158</v>
      </c>
      <c r="B25" s="58" t="s">
        <v>159</v>
      </c>
    </row>
    <row r="26" spans="1:4">
      <c r="A26" s="34" t="s">
        <v>160</v>
      </c>
      <c r="B26" s="58" t="s">
        <v>161</v>
      </c>
    </row>
    <row r="27" spans="1:4">
      <c r="A27" s="34" t="s">
        <v>162</v>
      </c>
      <c r="B27" s="58" t="s">
        <v>163</v>
      </c>
    </row>
    <row r="28" spans="1:4">
      <c r="A28" s="34" t="s">
        <v>164</v>
      </c>
      <c r="B28" s="58" t="s">
        <v>165</v>
      </c>
    </row>
    <row r="29" spans="1:4">
      <c r="A29" s="34" t="s">
        <v>166</v>
      </c>
      <c r="B29" s="58" t="s">
        <v>167</v>
      </c>
    </row>
    <row r="30" spans="1:4">
      <c r="A30" s="34" t="s">
        <v>168</v>
      </c>
      <c r="B30" s="58" t="s">
        <v>169</v>
      </c>
    </row>
    <row r="31" spans="1:4">
      <c r="A31" s="34" t="s">
        <v>170</v>
      </c>
      <c r="B31" s="58" t="s">
        <v>171</v>
      </c>
    </row>
    <row r="32" spans="1:4">
      <c r="A32" s="34" t="s">
        <v>172</v>
      </c>
      <c r="B32" s="58" t="s">
        <v>173</v>
      </c>
    </row>
    <row r="33" spans="1:2">
      <c r="A33" s="34" t="s">
        <v>174</v>
      </c>
      <c r="B33" s="58" t="s">
        <v>175</v>
      </c>
    </row>
    <row r="34" spans="1:2">
      <c r="A34" s="34" t="s">
        <v>176</v>
      </c>
      <c r="B34" s="58" t="s">
        <v>177</v>
      </c>
    </row>
    <row r="35" spans="1:2">
      <c r="A35" s="34" t="s">
        <v>178</v>
      </c>
      <c r="B35" s="58" t="s">
        <v>179</v>
      </c>
    </row>
    <row r="36" spans="1:2">
      <c r="A36" s="34" t="s">
        <v>180</v>
      </c>
      <c r="B36" s="58" t="s">
        <v>181</v>
      </c>
    </row>
    <row r="37" spans="1:2">
      <c r="A37" s="34" t="s">
        <v>182</v>
      </c>
      <c r="B37" s="58" t="s">
        <v>183</v>
      </c>
    </row>
    <row r="38" spans="1:2">
      <c r="A38" s="34" t="s">
        <v>184</v>
      </c>
      <c r="B38" s="58" t="s">
        <v>185</v>
      </c>
    </row>
    <row r="39" spans="1:2">
      <c r="A39" s="34" t="s">
        <v>186</v>
      </c>
      <c r="B39" s="58" t="s">
        <v>187</v>
      </c>
    </row>
    <row r="40" spans="1:2">
      <c r="A40" s="34" t="s">
        <v>188</v>
      </c>
      <c r="B40" s="58" t="s">
        <v>189</v>
      </c>
    </row>
    <row r="41" spans="1:2">
      <c r="A41" s="34" t="s">
        <v>190</v>
      </c>
      <c r="B41" s="58" t="s">
        <v>191</v>
      </c>
    </row>
    <row r="42" spans="1:2">
      <c r="A42" s="34" t="s">
        <v>192</v>
      </c>
      <c r="B42" s="58" t="s">
        <v>193</v>
      </c>
    </row>
    <row r="43" spans="1:2">
      <c r="A43" s="34" t="s">
        <v>194</v>
      </c>
      <c r="B43" s="58" t="s">
        <v>195</v>
      </c>
    </row>
    <row r="44" spans="1:2">
      <c r="A44" s="34" t="s">
        <v>196</v>
      </c>
      <c r="B44" s="58" t="s">
        <v>197</v>
      </c>
    </row>
    <row r="45" spans="1:2">
      <c r="A45" s="34" t="s">
        <v>198</v>
      </c>
      <c r="B45" s="58" t="s">
        <v>199</v>
      </c>
    </row>
    <row r="46" spans="1:2">
      <c r="A46" s="34" t="s">
        <v>200</v>
      </c>
      <c r="B46" s="58" t="s">
        <v>201</v>
      </c>
    </row>
    <row r="47" spans="1:2">
      <c r="A47" s="34" t="s">
        <v>202</v>
      </c>
      <c r="B47" s="58" t="s">
        <v>203</v>
      </c>
    </row>
    <row r="48" spans="1:2">
      <c r="A48" s="34" t="s">
        <v>204</v>
      </c>
      <c r="B48" s="58" t="s">
        <v>205</v>
      </c>
    </row>
    <row r="49" spans="1:2">
      <c r="A49" s="34" t="s">
        <v>206</v>
      </c>
      <c r="B49" s="58" t="s">
        <v>207</v>
      </c>
    </row>
    <row r="50" spans="1:2">
      <c r="A50" s="34" t="s">
        <v>208</v>
      </c>
      <c r="B50" s="58" t="s">
        <v>209</v>
      </c>
    </row>
    <row r="51" spans="1:2">
      <c r="A51" s="34" t="s">
        <v>210</v>
      </c>
      <c r="B51" s="58" t="s">
        <v>211</v>
      </c>
    </row>
    <row r="52" spans="1:2">
      <c r="A52" s="34" t="s">
        <v>212</v>
      </c>
      <c r="B52" s="58" t="s">
        <v>213</v>
      </c>
    </row>
    <row r="53" spans="1:2">
      <c r="A53" s="34" t="s">
        <v>214</v>
      </c>
      <c r="B53" s="58" t="s">
        <v>215</v>
      </c>
    </row>
    <row r="54" spans="1:2">
      <c r="A54" s="34" t="s">
        <v>216</v>
      </c>
      <c r="B54" s="58" t="s">
        <v>217</v>
      </c>
    </row>
    <row r="55" spans="1:2">
      <c r="A55" s="34" t="s">
        <v>218</v>
      </c>
      <c r="B55" s="58" t="s">
        <v>219</v>
      </c>
    </row>
    <row r="56" spans="1:2">
      <c r="A56" s="34" t="s">
        <v>220</v>
      </c>
      <c r="B56" s="58" t="s">
        <v>221</v>
      </c>
    </row>
    <row r="57" spans="1:2">
      <c r="A57" s="34" t="s">
        <v>222</v>
      </c>
      <c r="B57" s="58" t="s">
        <v>223</v>
      </c>
    </row>
    <row r="58" spans="1:2">
      <c r="A58" s="34" t="s">
        <v>224</v>
      </c>
      <c r="B58" s="58" t="s">
        <v>225</v>
      </c>
    </row>
    <row r="59" spans="1:2">
      <c r="A59" s="34" t="s">
        <v>226</v>
      </c>
      <c r="B59" s="58" t="s">
        <v>227</v>
      </c>
    </row>
    <row r="60" spans="1:2">
      <c r="A60" s="34" t="s">
        <v>228</v>
      </c>
      <c r="B60" s="58" t="s">
        <v>229</v>
      </c>
    </row>
    <row r="61" spans="1:2">
      <c r="A61" s="34" t="s">
        <v>230</v>
      </c>
      <c r="B61" s="58" t="s">
        <v>231</v>
      </c>
    </row>
    <row r="62" spans="1:2">
      <c r="A62" s="34" t="s">
        <v>232</v>
      </c>
      <c r="B62" s="58" t="s">
        <v>233</v>
      </c>
    </row>
    <row r="63" spans="1:2">
      <c r="A63" s="34" t="s">
        <v>234</v>
      </c>
      <c r="B63" s="58" t="s">
        <v>235</v>
      </c>
    </row>
    <row r="64" spans="1:2">
      <c r="A64" s="34" t="s">
        <v>236</v>
      </c>
      <c r="B64" s="58" t="s">
        <v>237</v>
      </c>
    </row>
    <row r="65" spans="1:2">
      <c r="A65" s="34" t="s">
        <v>238</v>
      </c>
      <c r="B65" s="58" t="s">
        <v>239</v>
      </c>
    </row>
    <row r="66" spans="1:2">
      <c r="A66" s="34" t="s">
        <v>240</v>
      </c>
      <c r="B66" s="58" t="s">
        <v>241</v>
      </c>
    </row>
    <row r="67" spans="1:2">
      <c r="A67" s="34" t="s">
        <v>242</v>
      </c>
      <c r="B67" s="58" t="s">
        <v>243</v>
      </c>
    </row>
    <row r="68" spans="1:2">
      <c r="A68" s="34" t="s">
        <v>244</v>
      </c>
      <c r="B68" s="58" t="s">
        <v>245</v>
      </c>
    </row>
    <row r="69" spans="1:2">
      <c r="A69" s="34" t="s">
        <v>246</v>
      </c>
      <c r="B69" s="58" t="s">
        <v>247</v>
      </c>
    </row>
    <row r="70" spans="1:2">
      <c r="A70" s="34" t="s">
        <v>248</v>
      </c>
      <c r="B70" s="58" t="s">
        <v>249</v>
      </c>
    </row>
    <row r="71" spans="1:2">
      <c r="A71" s="34" t="s">
        <v>250</v>
      </c>
      <c r="B71" s="58" t="s">
        <v>251</v>
      </c>
    </row>
    <row r="72" spans="1:2">
      <c r="A72" s="34" t="s">
        <v>252</v>
      </c>
      <c r="B72" s="58" t="s">
        <v>253</v>
      </c>
    </row>
    <row r="73" spans="1:2">
      <c r="A73" s="34" t="s">
        <v>254</v>
      </c>
      <c r="B73" s="58" t="s">
        <v>255</v>
      </c>
    </row>
    <row r="74" spans="1:2">
      <c r="A74" s="34" t="s">
        <v>256</v>
      </c>
      <c r="B74" s="58" t="s">
        <v>257</v>
      </c>
    </row>
    <row r="75" spans="1:2">
      <c r="A75" s="34" t="s">
        <v>258</v>
      </c>
      <c r="B75" s="58" t="s">
        <v>259</v>
      </c>
    </row>
    <row r="76" spans="1:2">
      <c r="A76" s="34" t="s">
        <v>260</v>
      </c>
      <c r="B76" s="58" t="s">
        <v>261</v>
      </c>
    </row>
    <row r="77" spans="1:2">
      <c r="A77" s="34" t="s">
        <v>262</v>
      </c>
      <c r="B77" s="58" t="s">
        <v>263</v>
      </c>
    </row>
    <row r="78" spans="1:2">
      <c r="A78" s="34" t="s">
        <v>264</v>
      </c>
      <c r="B78" s="58" t="s">
        <v>265</v>
      </c>
    </row>
    <row r="79" spans="1:2">
      <c r="A79" s="34" t="s">
        <v>266</v>
      </c>
      <c r="B79" s="58" t="s">
        <v>267</v>
      </c>
    </row>
    <row r="80" spans="1:2">
      <c r="A80" s="34" t="s">
        <v>268</v>
      </c>
      <c r="B80" s="58" t="s">
        <v>269</v>
      </c>
    </row>
    <row r="81" spans="1:2">
      <c r="A81" s="34" t="s">
        <v>270</v>
      </c>
      <c r="B81" s="58" t="s">
        <v>271</v>
      </c>
    </row>
    <row r="82" spans="1:2">
      <c r="A82" s="34" t="s">
        <v>272</v>
      </c>
      <c r="B82" s="58" t="s">
        <v>273</v>
      </c>
    </row>
    <row r="83" spans="1:2">
      <c r="A83" s="34" t="s">
        <v>274</v>
      </c>
      <c r="B83" s="58" t="s">
        <v>275</v>
      </c>
    </row>
    <row r="84" spans="1:2">
      <c r="A84" s="34" t="s">
        <v>276</v>
      </c>
      <c r="B84" s="58" t="s">
        <v>277</v>
      </c>
    </row>
    <row r="85" spans="1:2">
      <c r="A85" s="34" t="s">
        <v>278</v>
      </c>
      <c r="B85" s="58" t="s">
        <v>279</v>
      </c>
    </row>
    <row r="86" spans="1:2">
      <c r="A86" s="34" t="s">
        <v>280</v>
      </c>
      <c r="B86" s="58" t="s">
        <v>281</v>
      </c>
    </row>
    <row r="87" spans="1:2">
      <c r="A87" s="34" t="s">
        <v>282</v>
      </c>
      <c r="B87" s="58" t="s">
        <v>283</v>
      </c>
    </row>
    <row r="88" spans="1:2">
      <c r="A88" s="34" t="s">
        <v>284</v>
      </c>
      <c r="B88" s="58" t="s">
        <v>285</v>
      </c>
    </row>
    <row r="89" spans="1:2">
      <c r="A89" s="34" t="s">
        <v>286</v>
      </c>
      <c r="B89" s="58" t="s">
        <v>287</v>
      </c>
    </row>
    <row r="90" spans="1:2">
      <c r="A90" s="34" t="s">
        <v>288</v>
      </c>
      <c r="B90" s="58" t="s">
        <v>289</v>
      </c>
    </row>
    <row r="91" spans="1:2">
      <c r="A91" s="34" t="s">
        <v>290</v>
      </c>
      <c r="B91" s="58" t="s">
        <v>291</v>
      </c>
    </row>
    <row r="92" spans="1:2">
      <c r="A92" s="34" t="s">
        <v>292</v>
      </c>
      <c r="B92" s="58" t="s">
        <v>293</v>
      </c>
    </row>
    <row r="93" spans="1:2">
      <c r="A93" s="34" t="s">
        <v>294</v>
      </c>
      <c r="B93" s="58" t="s">
        <v>295</v>
      </c>
    </row>
    <row r="94" spans="1:2">
      <c r="A94" s="34" t="s">
        <v>296</v>
      </c>
      <c r="B94" s="58" t="s">
        <v>297</v>
      </c>
    </row>
    <row r="95" spans="1:2">
      <c r="A95" s="34" t="s">
        <v>298</v>
      </c>
      <c r="B95" s="58" t="s">
        <v>299</v>
      </c>
    </row>
    <row r="96" spans="1:2">
      <c r="A96" s="34" t="s">
        <v>300</v>
      </c>
      <c r="B96" s="58" t="s">
        <v>301</v>
      </c>
    </row>
    <row r="97" spans="1:2">
      <c r="A97" s="34" t="s">
        <v>302</v>
      </c>
      <c r="B97" s="58" t="s">
        <v>303</v>
      </c>
    </row>
    <row r="98" spans="1:2">
      <c r="A98" s="34" t="s">
        <v>304</v>
      </c>
      <c r="B98" s="58" t="s">
        <v>305</v>
      </c>
    </row>
    <row r="99" spans="1:2">
      <c r="A99" s="34" t="s">
        <v>306</v>
      </c>
      <c r="B99" s="58" t="s">
        <v>307</v>
      </c>
    </row>
    <row r="100" spans="1:2">
      <c r="A100" s="34" t="s">
        <v>308</v>
      </c>
      <c r="B100" s="58" t="s">
        <v>309</v>
      </c>
    </row>
    <row r="101" spans="1:2">
      <c r="A101" s="34" t="s">
        <v>310</v>
      </c>
      <c r="B101" s="58" t="s">
        <v>311</v>
      </c>
    </row>
    <row r="102" spans="1:2">
      <c r="A102" s="34" t="s">
        <v>312</v>
      </c>
      <c r="B102" s="58" t="s">
        <v>313</v>
      </c>
    </row>
    <row r="103" spans="1:2">
      <c r="A103" s="34" t="s">
        <v>314</v>
      </c>
      <c r="B103" s="58" t="s">
        <v>315</v>
      </c>
    </row>
    <row r="104" spans="1:2">
      <c r="A104" s="34" t="s">
        <v>316</v>
      </c>
      <c r="B104" s="58" t="s">
        <v>317</v>
      </c>
    </row>
    <row r="105" spans="1:2">
      <c r="A105" s="34" t="s">
        <v>318</v>
      </c>
      <c r="B105" s="58" t="s">
        <v>319</v>
      </c>
    </row>
    <row r="106" spans="1:2">
      <c r="A106" s="34" t="s">
        <v>320</v>
      </c>
      <c r="B106" s="58" t="s">
        <v>321</v>
      </c>
    </row>
    <row r="107" spans="1:2">
      <c r="A107" s="34" t="s">
        <v>322</v>
      </c>
      <c r="B107" s="58" t="s">
        <v>323</v>
      </c>
    </row>
    <row r="108" spans="1:2">
      <c r="A108" s="34" t="s">
        <v>324</v>
      </c>
      <c r="B108" s="58" t="s">
        <v>325</v>
      </c>
    </row>
    <row r="109" spans="1:2">
      <c r="A109" s="34" t="s">
        <v>326</v>
      </c>
      <c r="B109" s="58" t="s">
        <v>327</v>
      </c>
    </row>
    <row r="110" spans="1:2">
      <c r="A110" s="34" t="s">
        <v>328</v>
      </c>
      <c r="B110" s="58" t="s">
        <v>329</v>
      </c>
    </row>
    <row r="111" spans="1:2">
      <c r="A111" s="34" t="s">
        <v>330</v>
      </c>
      <c r="B111" s="58" t="s">
        <v>331</v>
      </c>
    </row>
    <row r="112" spans="1:2">
      <c r="A112" s="34" t="s">
        <v>332</v>
      </c>
      <c r="B112" s="58" t="s">
        <v>333</v>
      </c>
    </row>
    <row r="113" spans="1:2">
      <c r="A113" s="34" t="s">
        <v>334</v>
      </c>
      <c r="B113" s="58" t="s">
        <v>335</v>
      </c>
    </row>
    <row r="114" spans="1:2">
      <c r="A114" s="34" t="s">
        <v>336</v>
      </c>
      <c r="B114" s="58" t="s">
        <v>337</v>
      </c>
    </row>
    <row r="115" spans="1:2">
      <c r="A115" s="34" t="s">
        <v>338</v>
      </c>
      <c r="B115" s="58" t="s">
        <v>339</v>
      </c>
    </row>
    <row r="116" spans="1:2">
      <c r="A116" s="34" t="s">
        <v>340</v>
      </c>
      <c r="B116" s="58" t="s">
        <v>341</v>
      </c>
    </row>
    <row r="117" spans="1:2">
      <c r="A117" s="34" t="s">
        <v>342</v>
      </c>
      <c r="B117" s="58" t="s">
        <v>343</v>
      </c>
    </row>
    <row r="118" spans="1:2">
      <c r="A118" s="34" t="s">
        <v>344</v>
      </c>
      <c r="B118" s="58" t="s">
        <v>345</v>
      </c>
    </row>
    <row r="119" spans="1:2">
      <c r="A119" s="34" t="s">
        <v>346</v>
      </c>
      <c r="B119" s="58" t="s">
        <v>347</v>
      </c>
    </row>
    <row r="120" spans="1:2">
      <c r="A120" s="34" t="s">
        <v>348</v>
      </c>
      <c r="B120" s="58" t="s">
        <v>349</v>
      </c>
    </row>
    <row r="121" spans="1:2">
      <c r="A121" s="34" t="s">
        <v>350</v>
      </c>
      <c r="B121" s="58" t="s">
        <v>351</v>
      </c>
    </row>
    <row r="122" spans="1:2">
      <c r="A122" s="34" t="s">
        <v>352</v>
      </c>
      <c r="B122" s="58" t="s">
        <v>353</v>
      </c>
    </row>
    <row r="123" spans="1:2">
      <c r="A123" s="34" t="s">
        <v>354</v>
      </c>
      <c r="B123" s="58" t="s">
        <v>355</v>
      </c>
    </row>
    <row r="124" spans="1:2">
      <c r="A124" s="34" t="s">
        <v>356</v>
      </c>
      <c r="B124" s="58" t="s">
        <v>357</v>
      </c>
    </row>
    <row r="125" spans="1:2">
      <c r="A125" s="34" t="s">
        <v>358</v>
      </c>
      <c r="B125" s="58" t="s">
        <v>359</v>
      </c>
    </row>
    <row r="126" spans="1:2">
      <c r="A126" s="34" t="s">
        <v>360</v>
      </c>
      <c r="B126" s="58" t="s">
        <v>361</v>
      </c>
    </row>
    <row r="127" spans="1:2">
      <c r="A127" s="34" t="s">
        <v>362</v>
      </c>
      <c r="B127" s="58" t="s">
        <v>363</v>
      </c>
    </row>
    <row r="128" spans="1:2">
      <c r="A128" s="34" t="s">
        <v>364</v>
      </c>
      <c r="B128" s="58" t="s">
        <v>365</v>
      </c>
    </row>
    <row r="129" spans="1:2">
      <c r="A129" s="34" t="s">
        <v>366</v>
      </c>
      <c r="B129" s="58" t="s">
        <v>367</v>
      </c>
    </row>
    <row r="130" spans="1:2">
      <c r="A130" s="34" t="s">
        <v>368</v>
      </c>
      <c r="B130" s="58" t="s">
        <v>369</v>
      </c>
    </row>
    <row r="131" spans="1:2">
      <c r="A131" s="34" t="s">
        <v>370</v>
      </c>
      <c r="B131" s="58" t="s">
        <v>371</v>
      </c>
    </row>
    <row r="132" spans="1:2">
      <c r="A132" s="34" t="s">
        <v>372</v>
      </c>
      <c r="B132" s="58" t="s">
        <v>373</v>
      </c>
    </row>
    <row r="133" spans="1:2">
      <c r="A133" s="34" t="s">
        <v>374</v>
      </c>
      <c r="B133" s="58" t="s">
        <v>375</v>
      </c>
    </row>
    <row r="134" spans="1:2">
      <c r="A134" s="34" t="s">
        <v>376</v>
      </c>
      <c r="B134" s="58" t="s">
        <v>377</v>
      </c>
    </row>
    <row r="135" spans="1:2">
      <c r="A135" s="34" t="s">
        <v>378</v>
      </c>
      <c r="B135" s="58" t="s">
        <v>379</v>
      </c>
    </row>
    <row r="136" spans="1:2">
      <c r="A136" s="34" t="s">
        <v>380</v>
      </c>
      <c r="B136" s="58" t="s">
        <v>381</v>
      </c>
    </row>
    <row r="137" spans="1:2">
      <c r="A137" s="34" t="s">
        <v>382</v>
      </c>
      <c r="B137" s="58" t="s">
        <v>383</v>
      </c>
    </row>
    <row r="138" spans="1:2">
      <c r="A138" s="34" t="s">
        <v>384</v>
      </c>
      <c r="B138" s="58" t="s">
        <v>385</v>
      </c>
    </row>
    <row r="139" spans="1:2">
      <c r="A139" s="34" t="s">
        <v>386</v>
      </c>
      <c r="B139" s="58" t="s">
        <v>387</v>
      </c>
    </row>
    <row r="140" spans="1:2">
      <c r="A140" s="34" t="s">
        <v>388</v>
      </c>
      <c r="B140" s="58" t="s">
        <v>389</v>
      </c>
    </row>
    <row r="141" spans="1:2">
      <c r="A141" s="34" t="s">
        <v>390</v>
      </c>
      <c r="B141" s="58" t="s">
        <v>391</v>
      </c>
    </row>
    <row r="142" spans="1:2">
      <c r="A142" s="34" t="s">
        <v>392</v>
      </c>
      <c r="B142" s="58" t="s">
        <v>393</v>
      </c>
    </row>
    <row r="143" spans="1:2">
      <c r="A143" s="34" t="s">
        <v>394</v>
      </c>
      <c r="B143" s="58" t="s">
        <v>395</v>
      </c>
    </row>
    <row r="144" spans="1:2">
      <c r="A144" s="34" t="s">
        <v>396</v>
      </c>
      <c r="B144" s="58" t="s">
        <v>397</v>
      </c>
    </row>
    <row r="145" spans="1:2">
      <c r="A145" s="34" t="s">
        <v>398</v>
      </c>
      <c r="B145" s="58" t="s">
        <v>399</v>
      </c>
    </row>
    <row r="146" spans="1:2">
      <c r="A146" s="34" t="s">
        <v>400</v>
      </c>
      <c r="B146" s="58" t="s">
        <v>401</v>
      </c>
    </row>
    <row r="147" spans="1:2">
      <c r="A147" s="34" t="s">
        <v>402</v>
      </c>
      <c r="B147" s="58" t="s">
        <v>403</v>
      </c>
    </row>
    <row r="148" spans="1:2">
      <c r="A148" s="34" t="s">
        <v>404</v>
      </c>
      <c r="B148" s="58" t="s">
        <v>405</v>
      </c>
    </row>
    <row r="149" spans="1:2">
      <c r="A149" s="34" t="s">
        <v>406</v>
      </c>
      <c r="B149" s="58" t="s">
        <v>407</v>
      </c>
    </row>
    <row r="150" spans="1:2">
      <c r="A150" s="34" t="s">
        <v>408</v>
      </c>
      <c r="B150" s="58" t="s">
        <v>409</v>
      </c>
    </row>
    <row r="151" spans="1:2">
      <c r="A151" s="34" t="s">
        <v>410</v>
      </c>
      <c r="B151" s="58" t="s">
        <v>411</v>
      </c>
    </row>
    <row r="152" spans="1:2">
      <c r="A152" s="34" t="s">
        <v>412</v>
      </c>
      <c r="B152" s="58" t="s">
        <v>413</v>
      </c>
    </row>
    <row r="153" spans="1:2">
      <c r="A153" s="34" t="s">
        <v>414</v>
      </c>
      <c r="B153" s="58" t="s">
        <v>415</v>
      </c>
    </row>
    <row r="154" spans="1:2">
      <c r="A154" s="34" t="s">
        <v>416</v>
      </c>
      <c r="B154" s="58" t="s">
        <v>417</v>
      </c>
    </row>
    <row r="155" spans="1:2">
      <c r="A155" s="34" t="s">
        <v>418</v>
      </c>
      <c r="B155" s="58" t="s">
        <v>419</v>
      </c>
    </row>
    <row r="156" spans="1:2">
      <c r="A156" s="34" t="s">
        <v>420</v>
      </c>
      <c r="B156" s="58" t="s">
        <v>421</v>
      </c>
    </row>
    <row r="157" spans="1:2">
      <c r="A157" s="34" t="s">
        <v>422</v>
      </c>
      <c r="B157" s="58" t="s">
        <v>423</v>
      </c>
    </row>
    <row r="158" spans="1:2">
      <c r="A158" s="34" t="s">
        <v>424</v>
      </c>
      <c r="B158" s="58" t="s">
        <v>425</v>
      </c>
    </row>
    <row r="159" spans="1:2">
      <c r="A159" s="34" t="s">
        <v>426</v>
      </c>
      <c r="B159" s="58" t="s">
        <v>427</v>
      </c>
    </row>
    <row r="160" spans="1:2">
      <c r="A160" s="34" t="s">
        <v>428</v>
      </c>
      <c r="B160" s="58" t="s">
        <v>146</v>
      </c>
    </row>
    <row r="161" spans="1:2">
      <c r="A161" s="34" t="s">
        <v>429</v>
      </c>
      <c r="B161" s="58" t="s">
        <v>430</v>
      </c>
    </row>
    <row r="162" spans="1:2">
      <c r="A162" s="34" t="s">
        <v>431</v>
      </c>
      <c r="B162" s="58" t="s">
        <v>432</v>
      </c>
    </row>
    <row r="163" spans="1:2">
      <c r="A163" s="34" t="s">
        <v>433</v>
      </c>
      <c r="B163" s="58" t="s">
        <v>434</v>
      </c>
    </row>
    <row r="164" spans="1:2">
      <c r="A164" s="34" t="s">
        <v>435</v>
      </c>
      <c r="B164" s="58" t="s">
        <v>436</v>
      </c>
    </row>
    <row r="165" spans="1:2">
      <c r="A165" s="34" t="s">
        <v>437</v>
      </c>
      <c r="B165" s="58" t="s">
        <v>438</v>
      </c>
    </row>
    <row r="166" spans="1:2">
      <c r="A166" s="34" t="s">
        <v>439</v>
      </c>
      <c r="B166" s="58" t="s">
        <v>440</v>
      </c>
    </row>
    <row r="167" spans="1:2">
      <c r="A167" s="34" t="s">
        <v>441</v>
      </c>
      <c r="B167" s="58" t="s">
        <v>442</v>
      </c>
    </row>
    <row r="168" spans="1:2">
      <c r="A168" s="34" t="s">
        <v>443</v>
      </c>
      <c r="B168" s="58" t="s">
        <v>444</v>
      </c>
    </row>
    <row r="169" spans="1:2">
      <c r="A169" s="34" t="s">
        <v>445</v>
      </c>
      <c r="B169" s="58" t="s">
        <v>446</v>
      </c>
    </row>
    <row r="170" spans="1:2">
      <c r="A170" s="34" t="s">
        <v>447</v>
      </c>
      <c r="B170" s="58" t="s">
        <v>448</v>
      </c>
    </row>
    <row r="171" spans="1:2">
      <c r="A171" s="34" t="s">
        <v>449</v>
      </c>
      <c r="B171" s="58" t="s">
        <v>450</v>
      </c>
    </row>
    <row r="172" spans="1:2">
      <c r="A172" s="34" t="s">
        <v>451</v>
      </c>
      <c r="B172" s="58" t="s">
        <v>452</v>
      </c>
    </row>
    <row r="173" spans="1:2">
      <c r="A173" s="34" t="s">
        <v>453</v>
      </c>
      <c r="B173" s="58" t="s">
        <v>454</v>
      </c>
    </row>
    <row r="174" spans="1:2">
      <c r="A174" s="34" t="s">
        <v>455</v>
      </c>
      <c r="B174" s="58" t="s">
        <v>456</v>
      </c>
    </row>
    <row r="175" spans="1:2">
      <c r="A175" s="34" t="s">
        <v>457</v>
      </c>
      <c r="B175" s="58" t="s">
        <v>458</v>
      </c>
    </row>
    <row r="176" spans="1:2">
      <c r="A176" s="34" t="s">
        <v>459</v>
      </c>
      <c r="B176" s="58" t="s">
        <v>460</v>
      </c>
    </row>
    <row r="177" spans="1:2">
      <c r="A177" s="34" t="s">
        <v>461</v>
      </c>
      <c r="B177" s="58" t="s">
        <v>462</v>
      </c>
    </row>
    <row r="178" spans="1:2">
      <c r="A178" s="34" t="s">
        <v>463</v>
      </c>
      <c r="B178" s="58" t="s">
        <v>464</v>
      </c>
    </row>
    <row r="179" spans="1:2">
      <c r="A179" s="34" t="s">
        <v>465</v>
      </c>
      <c r="B179" s="58" t="s">
        <v>466</v>
      </c>
    </row>
    <row r="180" spans="1:2">
      <c r="A180" s="34" t="s">
        <v>467</v>
      </c>
      <c r="B180" s="58" t="s">
        <v>468</v>
      </c>
    </row>
    <row r="181" spans="1:2">
      <c r="A181" s="34" t="s">
        <v>469</v>
      </c>
      <c r="B181" s="58" t="s">
        <v>470</v>
      </c>
    </row>
    <row r="182" spans="1:2">
      <c r="A182" s="34" t="s">
        <v>471</v>
      </c>
      <c r="B182" s="58" t="s">
        <v>472</v>
      </c>
    </row>
    <row r="183" spans="1:2">
      <c r="A183" s="34" t="s">
        <v>473</v>
      </c>
      <c r="B183" s="58" t="s">
        <v>474</v>
      </c>
    </row>
    <row r="184" spans="1:2">
      <c r="A184" s="34" t="s">
        <v>475</v>
      </c>
      <c r="B184" s="58" t="s">
        <v>476</v>
      </c>
    </row>
    <row r="185" spans="1:2">
      <c r="A185" s="34" t="s">
        <v>477</v>
      </c>
      <c r="B185" s="58" t="s">
        <v>478</v>
      </c>
    </row>
    <row r="186" spans="1:2">
      <c r="A186" s="34" t="s">
        <v>479</v>
      </c>
      <c r="B186" s="58" t="s">
        <v>480</v>
      </c>
    </row>
    <row r="187" spans="1:2">
      <c r="A187" s="34" t="s">
        <v>481</v>
      </c>
      <c r="B187" s="58" t="s">
        <v>482</v>
      </c>
    </row>
    <row r="188" spans="1:2">
      <c r="A188" s="34" t="s">
        <v>483</v>
      </c>
      <c r="B188" s="58" t="s">
        <v>484</v>
      </c>
    </row>
    <row r="189" spans="1:2">
      <c r="A189" s="34" t="s">
        <v>485</v>
      </c>
      <c r="B189" s="58" t="s">
        <v>486</v>
      </c>
    </row>
    <row r="190" spans="1:2">
      <c r="A190" s="34" t="s">
        <v>487</v>
      </c>
      <c r="B190" s="58" t="s">
        <v>488</v>
      </c>
    </row>
    <row r="191" spans="1:2">
      <c r="A191" s="34" t="s">
        <v>489</v>
      </c>
      <c r="B191" s="58" t="s">
        <v>490</v>
      </c>
    </row>
    <row r="192" spans="1:2">
      <c r="A192" s="34" t="s">
        <v>491</v>
      </c>
      <c r="B192" s="58" t="s">
        <v>492</v>
      </c>
    </row>
    <row r="193" spans="1:2">
      <c r="A193" s="34" t="s">
        <v>493</v>
      </c>
      <c r="B193" s="58" t="s">
        <v>494</v>
      </c>
    </row>
    <row r="194" spans="1:2">
      <c r="A194" s="34" t="s">
        <v>495</v>
      </c>
      <c r="B194" s="58" t="s">
        <v>496</v>
      </c>
    </row>
    <row r="195" spans="1:2">
      <c r="A195" s="34" t="s">
        <v>497</v>
      </c>
      <c r="B195" s="58" t="s">
        <v>498</v>
      </c>
    </row>
    <row r="196" spans="1:2">
      <c r="A196" s="34" t="s">
        <v>499</v>
      </c>
      <c r="B196" s="58" t="s">
        <v>500</v>
      </c>
    </row>
    <row r="197" spans="1:2">
      <c r="A197" s="34" t="s">
        <v>501</v>
      </c>
      <c r="B197" s="58" t="s">
        <v>502</v>
      </c>
    </row>
    <row r="198" spans="1:2">
      <c r="A198" s="34" t="s">
        <v>503</v>
      </c>
      <c r="B198" s="58" t="s">
        <v>504</v>
      </c>
    </row>
    <row r="199" spans="1:2">
      <c r="A199" s="34" t="s">
        <v>505</v>
      </c>
      <c r="B199" s="58" t="s">
        <v>506</v>
      </c>
    </row>
    <row r="200" spans="1:2">
      <c r="A200" s="34" t="s">
        <v>507</v>
      </c>
      <c r="B200" s="58" t="s">
        <v>508</v>
      </c>
    </row>
    <row r="201" spans="1:2">
      <c r="A201" s="34" t="s">
        <v>509</v>
      </c>
      <c r="B201" s="58" t="s">
        <v>510</v>
      </c>
    </row>
    <row r="202" spans="1:2">
      <c r="A202" s="34" t="s">
        <v>511</v>
      </c>
      <c r="B202" s="58" t="s">
        <v>512</v>
      </c>
    </row>
    <row r="203" spans="1:2">
      <c r="A203" s="34" t="s">
        <v>513</v>
      </c>
      <c r="B203" s="58" t="s">
        <v>514</v>
      </c>
    </row>
    <row r="204" spans="1:2">
      <c r="A204" s="34" t="s">
        <v>515</v>
      </c>
      <c r="B204" s="58" t="s">
        <v>516</v>
      </c>
    </row>
    <row r="205" spans="1:2">
      <c r="A205" s="34" t="s">
        <v>517</v>
      </c>
      <c r="B205" s="58" t="s">
        <v>518</v>
      </c>
    </row>
    <row r="206" spans="1:2">
      <c r="A206" s="34" t="s">
        <v>519</v>
      </c>
      <c r="B206" s="58" t="s">
        <v>520</v>
      </c>
    </row>
    <row r="207" spans="1:2">
      <c r="A207" s="34" t="s">
        <v>521</v>
      </c>
      <c r="B207" s="58" t="s">
        <v>522</v>
      </c>
    </row>
    <row r="208" spans="1:2">
      <c r="A208" s="34" t="s">
        <v>523</v>
      </c>
      <c r="B208" s="58" t="s">
        <v>524</v>
      </c>
    </row>
    <row r="209" spans="1:2">
      <c r="A209" s="34" t="s">
        <v>525</v>
      </c>
      <c r="B209" s="58" t="s">
        <v>526</v>
      </c>
    </row>
    <row r="210" spans="1:2">
      <c r="A210" s="34" t="s">
        <v>527</v>
      </c>
      <c r="B210" s="58" t="s">
        <v>528</v>
      </c>
    </row>
    <row r="211" spans="1:2">
      <c r="A211" s="34" t="s">
        <v>529</v>
      </c>
      <c r="B211" s="58" t="s">
        <v>530</v>
      </c>
    </row>
    <row r="212" spans="1:2">
      <c r="A212" s="34" t="s">
        <v>531</v>
      </c>
      <c r="B212" s="58" t="s">
        <v>532</v>
      </c>
    </row>
    <row r="213" spans="1:2">
      <c r="A213" s="34" t="s">
        <v>533</v>
      </c>
      <c r="B213" s="58" t="s">
        <v>534</v>
      </c>
    </row>
    <row r="214" spans="1:2">
      <c r="A214" s="34" t="s">
        <v>535</v>
      </c>
      <c r="B214" s="58" t="s">
        <v>536</v>
      </c>
    </row>
    <row r="215" spans="1:2">
      <c r="A215" s="34" t="s">
        <v>537</v>
      </c>
      <c r="B215" s="58" t="s">
        <v>538</v>
      </c>
    </row>
    <row r="216" spans="1:2">
      <c r="A216" s="34" t="s">
        <v>539</v>
      </c>
      <c r="B216" s="58" t="s">
        <v>540</v>
      </c>
    </row>
    <row r="217" spans="1:2">
      <c r="A217" s="34" t="s">
        <v>541</v>
      </c>
      <c r="B217" s="58" t="s">
        <v>542</v>
      </c>
    </row>
    <row r="218" spans="1:2">
      <c r="A218" s="34" t="s">
        <v>543</v>
      </c>
      <c r="B218" s="58" t="s">
        <v>544</v>
      </c>
    </row>
    <row r="219" spans="1:2">
      <c r="A219" s="34" t="s">
        <v>545</v>
      </c>
      <c r="B219" s="58" t="s">
        <v>546</v>
      </c>
    </row>
    <row r="220" spans="1:2">
      <c r="A220" s="34" t="s">
        <v>547</v>
      </c>
      <c r="B220" s="58" t="s">
        <v>548</v>
      </c>
    </row>
    <row r="221" spans="1:2">
      <c r="A221" s="34" t="s">
        <v>549</v>
      </c>
      <c r="B221" s="58" t="s">
        <v>550</v>
      </c>
    </row>
    <row r="222" spans="1:2">
      <c r="A222" s="34" t="s">
        <v>551</v>
      </c>
      <c r="B222" s="58" t="s">
        <v>552</v>
      </c>
    </row>
    <row r="223" spans="1:2">
      <c r="A223" s="34" t="s">
        <v>553</v>
      </c>
      <c r="B223" s="58" t="s">
        <v>554</v>
      </c>
    </row>
    <row r="224" spans="1:2">
      <c r="A224" s="34" t="s">
        <v>555</v>
      </c>
      <c r="B224" s="58" t="s">
        <v>556</v>
      </c>
    </row>
    <row r="225" spans="1:2">
      <c r="A225" s="34" t="s">
        <v>557</v>
      </c>
      <c r="B225" s="58" t="s">
        <v>558</v>
      </c>
    </row>
    <row r="226" spans="1:2">
      <c r="A226" s="34" t="s">
        <v>559</v>
      </c>
      <c r="B226" s="58" t="s">
        <v>560</v>
      </c>
    </row>
    <row r="227" spans="1:2">
      <c r="A227" s="34" t="s">
        <v>561</v>
      </c>
      <c r="B227" s="58" t="s">
        <v>562</v>
      </c>
    </row>
    <row r="228" spans="1:2">
      <c r="A228" s="34" t="s">
        <v>563</v>
      </c>
      <c r="B228" s="58" t="s">
        <v>564</v>
      </c>
    </row>
    <row r="229" spans="1:2">
      <c r="A229" s="34" t="s">
        <v>565</v>
      </c>
      <c r="B229" s="58" t="s">
        <v>566</v>
      </c>
    </row>
    <row r="230" spans="1:2">
      <c r="A230" s="34" t="s">
        <v>567</v>
      </c>
      <c r="B230" s="58" t="s">
        <v>568</v>
      </c>
    </row>
    <row r="231" spans="1:2">
      <c r="A231" s="34" t="s">
        <v>569</v>
      </c>
      <c r="B231" s="58" t="s">
        <v>570</v>
      </c>
    </row>
    <row r="232" spans="1:2">
      <c r="A232" s="34" t="s">
        <v>571</v>
      </c>
      <c r="B232" s="58" t="s">
        <v>572</v>
      </c>
    </row>
    <row r="233" spans="1:2">
      <c r="A233" s="34" t="s">
        <v>573</v>
      </c>
      <c r="B233" s="58" t="s">
        <v>574</v>
      </c>
    </row>
    <row r="234" spans="1:2">
      <c r="A234" s="34" t="s">
        <v>575</v>
      </c>
      <c r="B234" s="58" t="s">
        <v>576</v>
      </c>
    </row>
    <row r="235" spans="1:2">
      <c r="A235" s="34" t="s">
        <v>577</v>
      </c>
      <c r="B235" s="58" t="s">
        <v>578</v>
      </c>
    </row>
    <row r="236" spans="1:2">
      <c r="A236" s="34" t="s">
        <v>579</v>
      </c>
      <c r="B236" s="58" t="s">
        <v>580</v>
      </c>
    </row>
    <row r="237" spans="1:2">
      <c r="A237" s="34" t="s">
        <v>581</v>
      </c>
      <c r="B237" s="58" t="s">
        <v>582</v>
      </c>
    </row>
    <row r="238" spans="1:2">
      <c r="A238" s="34" t="s">
        <v>583</v>
      </c>
      <c r="B238" s="58" t="s">
        <v>584</v>
      </c>
    </row>
    <row r="239" spans="1:2">
      <c r="A239" s="34" t="s">
        <v>585</v>
      </c>
      <c r="B239" s="58" t="s">
        <v>586</v>
      </c>
    </row>
    <row r="240" spans="1:2">
      <c r="A240" s="34" t="s">
        <v>587</v>
      </c>
      <c r="B240" s="58" t="s">
        <v>588</v>
      </c>
    </row>
    <row r="241" spans="1:2">
      <c r="A241" s="34" t="s">
        <v>589</v>
      </c>
      <c r="B241" s="58" t="s">
        <v>590</v>
      </c>
    </row>
    <row r="242" spans="1:2">
      <c r="A242" s="34" t="s">
        <v>591</v>
      </c>
      <c r="B242" s="58" t="s">
        <v>592</v>
      </c>
    </row>
    <row r="243" spans="1:2">
      <c r="A243" s="34" t="s">
        <v>593</v>
      </c>
      <c r="B243" s="58" t="s">
        <v>594</v>
      </c>
    </row>
    <row r="244" spans="1:2">
      <c r="A244" s="34" t="s">
        <v>595</v>
      </c>
      <c r="B244" s="58" t="s">
        <v>596</v>
      </c>
    </row>
    <row r="245" spans="1:2">
      <c r="A245" s="34" t="s">
        <v>597</v>
      </c>
      <c r="B245" s="58" t="s">
        <v>598</v>
      </c>
    </row>
    <row r="246" spans="1:2">
      <c r="A246" s="34" t="s">
        <v>599</v>
      </c>
      <c r="B246" s="58" t="s">
        <v>600</v>
      </c>
    </row>
    <row r="247" spans="1:2">
      <c r="A247" s="34" t="s">
        <v>601</v>
      </c>
      <c r="B247" s="58" t="s">
        <v>602</v>
      </c>
    </row>
    <row r="248" spans="1:2">
      <c r="A248" s="34" t="s">
        <v>603</v>
      </c>
      <c r="B248" s="58" t="s">
        <v>604</v>
      </c>
    </row>
    <row r="249" spans="1:2">
      <c r="A249" s="34" t="s">
        <v>605</v>
      </c>
      <c r="B249" s="58" t="s">
        <v>606</v>
      </c>
    </row>
    <row r="250" spans="1:2">
      <c r="A250" s="34" t="s">
        <v>607</v>
      </c>
      <c r="B250" s="58" t="s">
        <v>608</v>
      </c>
    </row>
    <row r="251" spans="1:2">
      <c r="A251" s="34" t="s">
        <v>609</v>
      </c>
      <c r="B251" s="58" t="s">
        <v>610</v>
      </c>
    </row>
    <row r="252" spans="1:2">
      <c r="A252" s="34" t="s">
        <v>611</v>
      </c>
      <c r="B252" s="58" t="s">
        <v>612</v>
      </c>
    </row>
    <row r="253" spans="1:2">
      <c r="A253" s="34" t="s">
        <v>613</v>
      </c>
      <c r="B253" s="58" t="s">
        <v>614</v>
      </c>
    </row>
    <row r="254" spans="1:2">
      <c r="A254" s="34" t="s">
        <v>615</v>
      </c>
      <c r="B254" s="58" t="s">
        <v>616</v>
      </c>
    </row>
    <row r="255" spans="1:2">
      <c r="A255" s="34" t="s">
        <v>617</v>
      </c>
      <c r="B255" s="58" t="s">
        <v>618</v>
      </c>
    </row>
    <row r="256" spans="1:2">
      <c r="A256" s="34" t="s">
        <v>619</v>
      </c>
      <c r="B256" s="58" t="s">
        <v>620</v>
      </c>
    </row>
    <row r="257" spans="1:2">
      <c r="A257" s="34" t="s">
        <v>621</v>
      </c>
      <c r="B257" s="58" t="s">
        <v>622</v>
      </c>
    </row>
    <row r="258" spans="1:2">
      <c r="A258" s="34" t="s">
        <v>623</v>
      </c>
      <c r="B258" s="58" t="s">
        <v>624</v>
      </c>
    </row>
    <row r="259" spans="1:2">
      <c r="A259" s="34" t="s">
        <v>625</v>
      </c>
      <c r="B259" s="58" t="s">
        <v>626</v>
      </c>
    </row>
    <row r="260" spans="1:2">
      <c r="A260" s="34" t="s">
        <v>627</v>
      </c>
      <c r="B260" s="58" t="s">
        <v>628</v>
      </c>
    </row>
    <row r="261" spans="1:2">
      <c r="A261" s="34" t="s">
        <v>629</v>
      </c>
      <c r="B261" s="58" t="s">
        <v>630</v>
      </c>
    </row>
    <row r="262" spans="1:2">
      <c r="A262" s="34" t="s">
        <v>631</v>
      </c>
      <c r="B262" s="58" t="s">
        <v>632</v>
      </c>
    </row>
    <row r="263" spans="1:2">
      <c r="A263" s="34" t="s">
        <v>633</v>
      </c>
      <c r="B263" s="58" t="s">
        <v>634</v>
      </c>
    </row>
    <row r="264" spans="1:2">
      <c r="A264" s="34" t="s">
        <v>635</v>
      </c>
      <c r="B264" s="58" t="s">
        <v>636</v>
      </c>
    </row>
    <row r="265" spans="1:2">
      <c r="A265" s="34" t="s">
        <v>637</v>
      </c>
      <c r="B265" s="58" t="s">
        <v>638</v>
      </c>
    </row>
    <row r="266" spans="1:2">
      <c r="A266" s="34" t="s">
        <v>639</v>
      </c>
      <c r="B266" s="58" t="s">
        <v>640</v>
      </c>
    </row>
    <row r="267" spans="1:2">
      <c r="A267" s="34" t="s">
        <v>641</v>
      </c>
      <c r="B267" s="58" t="s">
        <v>642</v>
      </c>
    </row>
    <row r="268" spans="1:2">
      <c r="A268" s="34" t="s">
        <v>643</v>
      </c>
      <c r="B268" s="58" t="s">
        <v>644</v>
      </c>
    </row>
    <row r="269" spans="1:2">
      <c r="A269" s="34" t="s">
        <v>645</v>
      </c>
      <c r="B269" s="58" t="s">
        <v>646</v>
      </c>
    </row>
    <row r="270" spans="1:2">
      <c r="A270" s="34" t="s">
        <v>647</v>
      </c>
      <c r="B270" s="58" t="s">
        <v>648</v>
      </c>
    </row>
    <row r="271" spans="1:2" ht="15.75" thickBot="1">
      <c r="A271" s="35" t="s">
        <v>649</v>
      </c>
      <c r="B271" s="45" t="s">
        <v>650</v>
      </c>
    </row>
    <row r="276" spans="1:3">
      <c r="A276" t="s">
        <v>651</v>
      </c>
    </row>
    <row r="277" spans="1:3">
      <c r="A277" s="140" t="s">
        <v>652</v>
      </c>
      <c r="B277" s="144" t="s">
        <v>653</v>
      </c>
      <c r="C277" s="142" t="s">
        <v>654</v>
      </c>
    </row>
    <row r="278" spans="1:3" ht="15.75" thickBot="1">
      <c r="A278" s="141"/>
      <c r="B278" s="145"/>
      <c r="C278" s="143"/>
    </row>
    <row r="279" spans="1:3">
      <c r="A279" s="68" t="s">
        <v>655</v>
      </c>
      <c r="B279" s="69" t="s">
        <v>656</v>
      </c>
      <c r="C279" s="70" t="s">
        <v>657</v>
      </c>
    </row>
    <row r="280" spans="1:3">
      <c r="A280" s="71" t="s">
        <v>658</v>
      </c>
      <c r="B280" s="63" t="s">
        <v>659</v>
      </c>
      <c r="C280" s="67" t="s">
        <v>660</v>
      </c>
    </row>
    <row r="281" spans="1:3">
      <c r="A281" s="71" t="s">
        <v>661</v>
      </c>
      <c r="B281" s="63" t="s">
        <v>662</v>
      </c>
      <c r="C281" s="67" t="s">
        <v>663</v>
      </c>
    </row>
    <row r="282" spans="1:3">
      <c r="A282" s="71" t="s">
        <v>664</v>
      </c>
      <c r="B282" s="63" t="s">
        <v>665</v>
      </c>
      <c r="C282" s="67" t="s">
        <v>666</v>
      </c>
    </row>
    <row r="283" spans="1:3">
      <c r="A283" s="71" t="s">
        <v>667</v>
      </c>
      <c r="B283" s="63" t="s">
        <v>668</v>
      </c>
      <c r="C283" s="67" t="s">
        <v>669</v>
      </c>
    </row>
    <row r="284" spans="1:3">
      <c r="A284" s="71" t="s">
        <v>670</v>
      </c>
      <c r="B284" s="63" t="s">
        <v>671</v>
      </c>
      <c r="C284" s="67" t="s">
        <v>672</v>
      </c>
    </row>
    <row r="285" spans="1:3">
      <c r="A285" s="71" t="s">
        <v>673</v>
      </c>
      <c r="B285" s="63" t="s">
        <v>674</v>
      </c>
      <c r="C285" s="67" t="s">
        <v>675</v>
      </c>
    </row>
    <row r="286" spans="1:3">
      <c r="A286" s="72" t="s">
        <v>676</v>
      </c>
      <c r="B286" s="62" t="s">
        <v>82</v>
      </c>
      <c r="C286" s="65" t="s">
        <v>677</v>
      </c>
    </row>
    <row r="287" spans="1:3">
      <c r="A287" s="72" t="s">
        <v>678</v>
      </c>
      <c r="B287" s="62" t="s">
        <v>679</v>
      </c>
      <c r="C287" s="65" t="s">
        <v>680</v>
      </c>
    </row>
    <row r="288" spans="1:3">
      <c r="A288" s="72" t="s">
        <v>678</v>
      </c>
      <c r="B288" s="62" t="s">
        <v>681</v>
      </c>
      <c r="C288" s="65" t="s">
        <v>682</v>
      </c>
    </row>
    <row r="289" spans="1:3">
      <c r="A289" s="72" t="s">
        <v>683</v>
      </c>
      <c r="B289" s="62" t="s">
        <v>684</v>
      </c>
      <c r="C289" s="64" t="s">
        <v>685</v>
      </c>
    </row>
    <row r="290" spans="1:3">
      <c r="A290" s="72" t="s">
        <v>686</v>
      </c>
      <c r="B290" s="62" t="s">
        <v>687</v>
      </c>
      <c r="C290" s="65" t="s">
        <v>688</v>
      </c>
    </row>
    <row r="291" spans="1:3">
      <c r="A291" s="72" t="s">
        <v>689</v>
      </c>
      <c r="B291" s="62" t="s">
        <v>690</v>
      </c>
      <c r="C291" s="65" t="s">
        <v>691</v>
      </c>
    </row>
    <row r="292" spans="1:3">
      <c r="A292" s="72" t="s">
        <v>692</v>
      </c>
      <c r="B292" s="62" t="s">
        <v>693</v>
      </c>
      <c r="C292" s="65" t="s">
        <v>694</v>
      </c>
    </row>
    <row r="293" spans="1:3">
      <c r="A293" s="72" t="s">
        <v>695</v>
      </c>
      <c r="B293" s="62" t="s">
        <v>696</v>
      </c>
      <c r="C293" s="65" t="s">
        <v>697</v>
      </c>
    </row>
    <row r="294" spans="1:3">
      <c r="A294" s="72" t="s">
        <v>698</v>
      </c>
      <c r="B294" s="62" t="s">
        <v>699</v>
      </c>
      <c r="C294" s="65" t="s">
        <v>700</v>
      </c>
    </row>
    <row r="295" spans="1:3">
      <c r="A295" s="72" t="s">
        <v>701</v>
      </c>
      <c r="B295" s="62" t="s">
        <v>702</v>
      </c>
      <c r="C295" s="65" t="s">
        <v>703</v>
      </c>
    </row>
    <row r="296" spans="1:3">
      <c r="A296" s="72" t="s">
        <v>704</v>
      </c>
      <c r="B296" s="62" t="s">
        <v>705</v>
      </c>
      <c r="C296" s="65" t="s">
        <v>706</v>
      </c>
    </row>
    <row r="297" spans="1:3">
      <c r="A297" s="72" t="s">
        <v>707</v>
      </c>
      <c r="B297" s="62" t="s">
        <v>708</v>
      </c>
      <c r="C297" s="65" t="s">
        <v>709</v>
      </c>
    </row>
    <row r="298" spans="1:3">
      <c r="A298" s="72" t="s">
        <v>707</v>
      </c>
      <c r="B298" s="62" t="s">
        <v>710</v>
      </c>
      <c r="C298" s="65" t="s">
        <v>709</v>
      </c>
    </row>
    <row r="299" spans="1:3">
      <c r="A299" s="72" t="s">
        <v>711</v>
      </c>
      <c r="B299" s="62" t="s">
        <v>712</v>
      </c>
      <c r="C299" s="65" t="s">
        <v>713</v>
      </c>
    </row>
    <row r="300" spans="1:3">
      <c r="A300" s="72" t="s">
        <v>714</v>
      </c>
      <c r="B300" s="62" t="s">
        <v>715</v>
      </c>
      <c r="C300" s="65" t="s">
        <v>716</v>
      </c>
    </row>
    <row r="301" spans="1:3">
      <c r="A301" s="72" t="s">
        <v>717</v>
      </c>
      <c r="B301" s="62" t="s">
        <v>718</v>
      </c>
      <c r="C301" s="65" t="s">
        <v>719</v>
      </c>
    </row>
    <row r="302" spans="1:3">
      <c r="A302" s="72" t="s">
        <v>720</v>
      </c>
      <c r="B302" s="62" t="s">
        <v>721</v>
      </c>
      <c r="C302" s="65" t="s">
        <v>722</v>
      </c>
    </row>
    <row r="303" spans="1:3">
      <c r="A303" s="72" t="s">
        <v>720</v>
      </c>
      <c r="B303" s="62" t="s">
        <v>723</v>
      </c>
      <c r="C303" s="65" t="s">
        <v>722</v>
      </c>
    </row>
    <row r="304" spans="1:3">
      <c r="A304" s="72" t="s">
        <v>724</v>
      </c>
      <c r="B304" s="62" t="s">
        <v>725</v>
      </c>
      <c r="C304" s="65" t="s">
        <v>726</v>
      </c>
    </row>
    <row r="305" spans="1:3">
      <c r="A305" s="72" t="s">
        <v>727</v>
      </c>
      <c r="B305" s="62" t="s">
        <v>728</v>
      </c>
      <c r="C305" s="65" t="s">
        <v>729</v>
      </c>
    </row>
    <row r="306" spans="1:3">
      <c r="A306" s="72" t="s">
        <v>730</v>
      </c>
      <c r="B306" s="62" t="s">
        <v>731</v>
      </c>
      <c r="C306" s="65" t="s">
        <v>732</v>
      </c>
    </row>
    <row r="307" spans="1:3">
      <c r="A307" s="72" t="s">
        <v>733</v>
      </c>
      <c r="B307" s="62" t="s">
        <v>734</v>
      </c>
      <c r="C307" s="65" t="s">
        <v>735</v>
      </c>
    </row>
    <row r="308" spans="1:3">
      <c r="A308" s="72" t="s">
        <v>736</v>
      </c>
      <c r="B308" s="62" t="s">
        <v>737</v>
      </c>
      <c r="C308" s="65" t="s">
        <v>738</v>
      </c>
    </row>
    <row r="309" spans="1:3">
      <c r="A309" s="72" t="s">
        <v>739</v>
      </c>
      <c r="B309" s="62" t="s">
        <v>740</v>
      </c>
      <c r="C309" s="65" t="s">
        <v>741</v>
      </c>
    </row>
    <row r="310" spans="1:3">
      <c r="A310" s="72" t="s">
        <v>742</v>
      </c>
      <c r="B310" s="62" t="s">
        <v>743</v>
      </c>
      <c r="C310" s="65" t="s">
        <v>744</v>
      </c>
    </row>
    <row r="311" spans="1:3">
      <c r="A311" s="72" t="s">
        <v>745</v>
      </c>
      <c r="B311" s="62" t="s">
        <v>746</v>
      </c>
      <c r="C311" s="65" t="s">
        <v>747</v>
      </c>
    </row>
    <row r="312" spans="1:3">
      <c r="A312" s="72" t="s">
        <v>745</v>
      </c>
      <c r="B312" s="62" t="s">
        <v>748</v>
      </c>
      <c r="C312" s="65" t="s">
        <v>747</v>
      </c>
    </row>
    <row r="313" spans="1:3">
      <c r="A313" s="72" t="s">
        <v>749</v>
      </c>
      <c r="B313" s="62" t="s">
        <v>750</v>
      </c>
      <c r="C313" s="65" t="s">
        <v>751</v>
      </c>
    </row>
    <row r="314" spans="1:3">
      <c r="A314" s="72" t="s">
        <v>752</v>
      </c>
      <c r="B314" s="62" t="s">
        <v>753</v>
      </c>
      <c r="C314" s="79" t="s">
        <v>754</v>
      </c>
    </row>
    <row r="315" spans="1:3">
      <c r="A315" s="72" t="s">
        <v>752</v>
      </c>
      <c r="B315" s="62" t="s">
        <v>755</v>
      </c>
      <c r="C315" s="79" t="s">
        <v>754</v>
      </c>
    </row>
    <row r="316" spans="1:3">
      <c r="A316" s="72" t="s">
        <v>756</v>
      </c>
      <c r="B316" s="62" t="s">
        <v>757</v>
      </c>
      <c r="C316" s="73" t="s">
        <v>758</v>
      </c>
    </row>
    <row r="317" spans="1:3">
      <c r="A317" s="72" t="s">
        <v>759</v>
      </c>
      <c r="B317" s="62" t="s">
        <v>760</v>
      </c>
      <c r="C317" s="65" t="s">
        <v>761</v>
      </c>
    </row>
    <row r="318" spans="1:3">
      <c r="A318" s="72" t="s">
        <v>762</v>
      </c>
      <c r="B318" s="63" t="s">
        <v>763</v>
      </c>
      <c r="C318" s="66" t="s">
        <v>764</v>
      </c>
    </row>
    <row r="319" spans="1:3">
      <c r="A319" s="72" t="s">
        <v>765</v>
      </c>
      <c r="B319" s="62" t="s">
        <v>766</v>
      </c>
      <c r="C319" s="65" t="s">
        <v>767</v>
      </c>
    </row>
    <row r="320" spans="1:3">
      <c r="A320" s="72" t="s">
        <v>768</v>
      </c>
      <c r="B320" s="62" t="s">
        <v>769</v>
      </c>
      <c r="C320" s="65" t="s">
        <v>770</v>
      </c>
    </row>
    <row r="321" spans="1:3">
      <c r="A321" s="72" t="s">
        <v>771</v>
      </c>
      <c r="B321" s="62" t="s">
        <v>772</v>
      </c>
      <c r="C321" s="65" t="s">
        <v>773</v>
      </c>
    </row>
    <row r="322" spans="1:3">
      <c r="A322" s="71" t="s">
        <v>774</v>
      </c>
      <c r="B322" s="63" t="s">
        <v>775</v>
      </c>
      <c r="C322" s="65" t="s">
        <v>776</v>
      </c>
    </row>
    <row r="323" spans="1:3">
      <c r="A323" s="71" t="s">
        <v>777</v>
      </c>
      <c r="B323" s="63" t="s">
        <v>778</v>
      </c>
      <c r="C323" s="65" t="s">
        <v>779</v>
      </c>
    </row>
    <row r="324" spans="1:3">
      <c r="A324" s="71" t="s">
        <v>780</v>
      </c>
      <c r="B324" s="63" t="s">
        <v>781</v>
      </c>
      <c r="C324" s="65" t="s">
        <v>782</v>
      </c>
    </row>
    <row r="325" spans="1:3">
      <c r="A325" s="71" t="s">
        <v>783</v>
      </c>
      <c r="B325" s="63" t="s">
        <v>784</v>
      </c>
      <c r="C325" s="65" t="s">
        <v>785</v>
      </c>
    </row>
    <row r="326" spans="1:3">
      <c r="A326" s="71" t="s">
        <v>786</v>
      </c>
      <c r="B326" s="63" t="s">
        <v>787</v>
      </c>
      <c r="C326" s="65" t="s">
        <v>788</v>
      </c>
    </row>
    <row r="327" spans="1:3">
      <c r="A327" s="71" t="s">
        <v>786</v>
      </c>
      <c r="B327" s="63" t="s">
        <v>789</v>
      </c>
      <c r="C327" s="65" t="s">
        <v>788</v>
      </c>
    </row>
    <row r="328" spans="1:3">
      <c r="A328" s="71" t="s">
        <v>790</v>
      </c>
      <c r="B328" s="63" t="s">
        <v>791</v>
      </c>
      <c r="C328" s="65" t="s">
        <v>792</v>
      </c>
    </row>
    <row r="329" spans="1:3">
      <c r="A329" s="71" t="s">
        <v>793</v>
      </c>
      <c r="B329" s="63" t="s">
        <v>794</v>
      </c>
      <c r="C329" s="65" t="s">
        <v>795</v>
      </c>
    </row>
    <row r="330" spans="1:3">
      <c r="A330" s="71" t="s">
        <v>796</v>
      </c>
      <c r="B330" s="63" t="s">
        <v>797</v>
      </c>
      <c r="C330" s="65" t="s">
        <v>798</v>
      </c>
    </row>
    <row r="331" spans="1:3">
      <c r="A331" s="71" t="s">
        <v>799</v>
      </c>
      <c r="B331" s="63" t="s">
        <v>800</v>
      </c>
      <c r="C331" s="65" t="s">
        <v>801</v>
      </c>
    </row>
    <row r="332" spans="1:3">
      <c r="A332" s="71" t="s">
        <v>802</v>
      </c>
      <c r="B332" s="63" t="s">
        <v>803</v>
      </c>
      <c r="C332" s="65" t="s">
        <v>804</v>
      </c>
    </row>
    <row r="333" spans="1:3">
      <c r="A333" s="71" t="s">
        <v>805</v>
      </c>
      <c r="B333" s="63" t="s">
        <v>806</v>
      </c>
      <c r="C333" s="65" t="s">
        <v>807</v>
      </c>
    </row>
    <row r="334" spans="1:3">
      <c r="A334" s="77" t="s">
        <v>808</v>
      </c>
      <c r="B334" s="78" t="s">
        <v>809</v>
      </c>
      <c r="C334" s="66" t="s">
        <v>810</v>
      </c>
    </row>
    <row r="335" spans="1:3" ht="15.75" thickBot="1">
      <c r="A335" s="74" t="s">
        <v>811</v>
      </c>
      <c r="B335" s="75" t="s">
        <v>812</v>
      </c>
      <c r="C335" s="76" t="s">
        <v>813</v>
      </c>
    </row>
  </sheetData>
  <sheetProtection algorithmName="SHA-512" hashValue="eQ2L5mUhg4DfOfOyxZPj00g3HysQLZkVO8uMVb6PYJB8tygwPYGz1x34fXi9ARkEQgiuO93j9nBdyRrJSOKJLw==" saltValue="ASiZPPM6mW1xDAB4REx9oA==" spinCount="100000" sheet="1" formatColumns="0" selectLockedCells="1"/>
  <mergeCells count="6">
    <mergeCell ref="C5:I5"/>
    <mergeCell ref="C6:I6"/>
    <mergeCell ref="C7:I7"/>
    <mergeCell ref="A277:A278"/>
    <mergeCell ref="C277:C278"/>
    <mergeCell ref="B277:B278"/>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Header Record</vt:lpstr>
      <vt:lpstr>Payment Information Record</vt:lpstr>
      <vt:lpstr>Credit Instruction Record</vt:lpstr>
      <vt:lpstr>Control</vt:lpstr>
      <vt:lpstr>Client Payee Data</vt:lpstr>
      <vt:lpstr>Control Data (Hidden)</vt:lpstr>
      <vt:lpstr>Payee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chribonn@gmail.com</dc:creator>
  <cp:lastModifiedBy>chribonn@outlook.com</cp:lastModifiedBy>
  <dcterms:created xsi:type="dcterms:W3CDTF">2020-09-21T07:24:46Z</dcterms:created>
  <dcterms:modified xsi:type="dcterms:W3CDTF">2025-10-18T07:45:07Z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2021-01-25T13:59:22Z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5aa85f67-29da-40e7-8a32-07d9ba4f8c45</vt:lpwstr>
  </property>
  <property fmtid="{D5CDD505-2E9C-101B-9397-08002B2CF9AE}" pid="8" name="MSIP_Label_2fd53d93-3f4c-4b90-b511-bd6bdbb4fba9_ContentBits">
    <vt:lpwstr>0</vt:lpwstr>
  </property>
</Properties>
</file>