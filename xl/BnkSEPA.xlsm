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showInkAnnotation="0" backupFile="1" codeName="ThisWorkbook"/>
  <mc:AlternateContent xmlns:mc="http://schemas.openxmlformats.org/markup-compatibility/2006">
    <mc:Choice Requires="x15">
      <x15ac:absPath xmlns:x15ac="http://schemas.microsoft.com/office/spreadsheetml/2010/11/ac" url="C:\Users\chribonn\PythonProjects\bovSEPA\xl\"/>
    </mc:Choice>
  </mc:AlternateContent>
  <xr:revisionPtr revIDLastSave="0" documentId="8_{EBB169D7-7D8A-405C-AB81-8EDEC5774ED6}" xr6:coauthVersionLast="47" xr6:coauthVersionMax="47" xr10:uidLastSave="{00000000-0000-0000-0000-000000000000}"/>
  <workbookProtection workbookAlgorithmName="SHA-512" workbookHashValue="CRau5oItCf5CKOdrbGvlhIax3JfBwc1kGBWArIYXCModPE9WwQbj7dAHFi239k+yFTSVr5bNbyE9x6vILA1Trw==" workbookSaltValue="CeW5JbGggurpre9wmTkWbA==" workbookSpinCount="100000" lockStructure="1"/>
  <bookViews>
    <workbookView xWindow="28680" yWindow="-120" windowWidth="29040" windowHeight="16440" tabRatio="508" firstSheet="1" activeTab="2"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 i="5" l="1"/>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I6" i="2"/>
  <c r="C6" i="2"/>
  <c r="E6" i="1"/>
  <c r="B6" i="1"/>
  <c r="F6" i="1" l="1"/>
</calcChain>
</file>

<file path=xl/sharedStrings.xml><?xml version="1.0" encoding="utf-8"?>
<sst xmlns="http://schemas.openxmlformats.org/spreadsheetml/2006/main" count="345" uniqueCount="147">
  <si>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</si>
  <si>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</si>
  <si>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</si>
  <si>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</si>
  <si>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</si>
  <si>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</si>
  <si>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</si>
  <si>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</si>
  <si>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</si>
  <si>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</si>
  <si>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</si>
  <si>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</si>
  <si>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</si>
  <si>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</si>
  <si>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</si>
  <si>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</si>
  <si>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</si>
  <si>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</si>
  <si>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</si>
  <si>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</si>
  <si>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</si>
  <si>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</si>
  <si>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</si>
  <si>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</si>
  <si>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</si>
  <si>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</si>
  <si>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</si>
  <si>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</si>
  <si>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</si>
  <si>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</si>
  <si>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</si>
  <si>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1 ( Optional )</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</si>
  <si>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</si>
  <si>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</si>
  <si>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</si>
  <si>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</si>
  <si>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</si>
  <si>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</si>
  <si>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</si>
  <si>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</si>
  <si>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</si>
  <si>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</si>
  <si>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</si>
  <si>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</si>
  <si>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</si>
  <si>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</si>
  <si>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</si>
  <si>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</si>
  <si>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</si>
  <si>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</si>
  <si>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</si>
  <si>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</si>
  <si>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</si>
  <si>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</si>
  <si>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</si>
  <si>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</si>
  <si>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</si>
  <si>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</si>
  <si>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</si>
  <si>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</si>
  <si>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</si>
  <si>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</si>
  <si>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</si>
  <si>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</si>
  <si>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</si>
  <si>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</si>
  <si>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</si>
  <si>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</si>
  <si>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</si>
  <si>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</si>
  <si>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</si>
  <si>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</si>
  <si>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</si>
  <si>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</si>
  <si>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</si>
  <si>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</si>
  <si>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</si>
  <si>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</si>
  <si>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</si>
  <si>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</si>
  <si>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</si>
  <si>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</si>
  <si>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</si>
  <si>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</si>
  <si>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</si>
  <si>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</si>
  <si>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</si>
  <si>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</si>
  <si>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BOV Documention</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</si>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</sst>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3" fillId="0" borderId="0" xfId="0" applyFont="1" applyAlignment="1">
      <alignment horizontal="center" vertical="center"/>
    </xf>
    <xf numFmtId="0" fontId="0" fillId="0" borderId="0" xfId="0" applyFill="1" applyAlignment="1" applyProtection="1">
      <alignment horizontal="center"/>
      <protection hidden="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bonn" refreshedDate="44684.699523958334" createdVersion="5" refreshedVersion="7"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0" applyNumberFormats="0" applyBorderFormats="0" applyFontFormats="0" applyPatternFormats="0" applyAlignmentFormats="0" applyWidthHeightFormats="1" dataCaption="Values" updatedVersion="7"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C1" sqref="C1:D1048576"/>
    </sheetView>
  </sheetViews>
  <sheetFormatPr defaultRowHeight="15" x14ac:dyDescent="0.25"/>
  <cols>
    <col min="1" max="1" width="37" customWidth="1"/>
    <col min="2" max="2" width="34.28515625" customWidth="1"/>
    <col min="3" max="3" width="32" style="3" hidden="1" customWidth="1"/>
    <col min="4" max="4" width="29.28515625" style="3" hidden="1" customWidth="1"/>
    <col min="5" max="5" width="33.7109375" style="3" customWidth="1"/>
    <col min="6" max="6" width="36.5703125" customWidth="1"/>
  </cols>
  <sheetData>
    <row r="1" spans="1:8" s="11" customFormat="1" x14ac:dyDescent="0.25">
      <c r="A1" s="11" t="s">
        <v>0</v>
      </c>
      <c r="B1" s="11" t="s">
        <v>1</v>
      </c>
      <c r="C1" s="12" t="s">
        <v>2</v>
      </c>
      <c r="D1" s="12" t="s">
        <v>4</v>
      </c>
      <c r="E1" s="12" t="s">
        <v>6</v>
      </c>
      <c r="F1" s="11" t="s">
        <v>8</v>
      </c>
      <c r="H1" s="11" t="s">
        <v>10</v>
      </c>
    </row>
    <row r="2" spans="1:8" s="2" customFormat="1" ht="180" x14ac:dyDescent="0.25">
      <c r="A2" s="1" t="s">
        <v>101</v>
      </c>
      <c r="B2" s="1" t="s">
        <v>14</v>
      </c>
      <c r="C2" s="4" t="s">
        <v>3</v>
      </c>
      <c r="D2" s="4" t="s">
        <v>5</v>
      </c>
      <c r="E2" s="4" t="s">
        <v>7</v>
      </c>
      <c r="F2" s="1" t="s">
        <v>9</v>
      </c>
      <c r="H2" s="2" t="s">
        <v>11</v>
      </c>
    </row>
    <row r="3" spans="1:8" s="2" customFormat="1" ht="45" x14ac:dyDescent="0.25">
      <c r="A3" s="1" t="s">
        <v>17</v>
      </c>
      <c r="B3" s="1" t="s">
        <v>16</v>
      </c>
      <c r="C3" s="4" t="s">
        <v>18</v>
      </c>
      <c r="D3" s="4" t="s">
        <v>19</v>
      </c>
      <c r="E3" s="4" t="s">
        <v>20</v>
      </c>
      <c r="F3" s="1" t="s">
        <v>73</v>
      </c>
      <c r="H3" s="2" t="s">
        <v>66</v>
      </c>
    </row>
    <row r="4" spans="1:8" s="2" customFormat="1" ht="15.75" thickBot="1" x14ac:dyDescent="0.3">
      <c r="A4" s="2" t="s">
        <v>68</v>
      </c>
      <c r="C4" s="3"/>
      <c r="D4" s="3"/>
      <c r="E4" s="21" t="s">
        <v>72</v>
      </c>
      <c r="F4" s="2" t="s">
        <v>74</v>
      </c>
      <c r="H4" s="2" t="s">
        <v>69</v>
      </c>
    </row>
    <row r="5" spans="1:8" s="5" customFormat="1" ht="15.75" thickBot="1" x14ac:dyDescent="0.3">
      <c r="A5" s="34"/>
      <c r="B5" s="57">
        <f ca="1">NOW()</f>
        <v>44684.702301041667</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137</v>
      </c>
      <c r="H5" s="5" t="s">
        <v>12</v>
      </c>
    </row>
    <row r="6" spans="1:8" s="1" customFormat="1" x14ac:dyDescent="0.25">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25">
      <c r="B7" s="7"/>
    </row>
    <row r="9" spans="1:8" x14ac:dyDescent="0.25">
      <c r="B9" s="6"/>
    </row>
  </sheetData>
  <sheetProtection formatColumns="0" selectLockedCells="1"/>
  <dataValidations disablePrompts="1"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C5" sqref="C5"/>
    </sheetView>
  </sheetViews>
  <sheetFormatPr defaultRowHeight="15" x14ac:dyDescent="0.2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17.28515625" customWidth="1"/>
    <col min="10" max="10" width="19.28515625" customWidth="1"/>
    <col min="11" max="11" width="13" customWidth="1"/>
    <col min="12" max="12" width="11.7109375" style="3" customWidth="1"/>
    <col min="13" max="13" width="10.42578125" customWidth="1"/>
  </cols>
  <sheetData>
    <row r="1" spans="1:15" s="1" customFormat="1" x14ac:dyDescent="0.25">
      <c r="A1" s="1" t="s">
        <v>15</v>
      </c>
      <c r="B1" s="3" t="s">
        <v>78</v>
      </c>
      <c r="C1" s="1" t="s">
        <v>21</v>
      </c>
      <c r="D1" s="3" t="s">
        <v>2</v>
      </c>
      <c r="E1" s="3" t="s">
        <v>4</v>
      </c>
      <c r="F1" s="3" t="s">
        <v>39</v>
      </c>
      <c r="G1" s="1" t="s">
        <v>27</v>
      </c>
      <c r="H1" s="1" t="s">
        <v>6</v>
      </c>
      <c r="I1" s="1" t="s">
        <v>30</v>
      </c>
      <c r="J1" s="1" t="s">
        <v>30</v>
      </c>
      <c r="K1" s="1" t="s">
        <v>34</v>
      </c>
      <c r="L1" s="3" t="s">
        <v>83</v>
      </c>
      <c r="M1" s="1" t="s">
        <v>36</v>
      </c>
      <c r="O1" t="s">
        <v>10</v>
      </c>
    </row>
    <row r="2" spans="1:15" s="1" customFormat="1" ht="120" x14ac:dyDescent="0.25">
      <c r="A2" s="1" t="s">
        <v>102</v>
      </c>
      <c r="B2" s="4" t="s">
        <v>79</v>
      </c>
      <c r="C2" s="1" t="s">
        <v>22</v>
      </c>
      <c r="D2" s="4" t="s">
        <v>3</v>
      </c>
      <c r="E2" s="4" t="s">
        <v>5</v>
      </c>
      <c r="F2" s="4" t="s">
        <v>79</v>
      </c>
      <c r="G2" s="1" t="s">
        <v>28</v>
      </c>
      <c r="H2" s="1" t="s">
        <v>7</v>
      </c>
      <c r="I2" s="1" t="s">
        <v>31</v>
      </c>
      <c r="J2" s="1" t="s">
        <v>32</v>
      </c>
      <c r="K2" s="1" t="s">
        <v>35</v>
      </c>
      <c r="L2" s="4" t="s">
        <v>79</v>
      </c>
      <c r="M2" s="1" t="s">
        <v>37</v>
      </c>
      <c r="O2" s="2" t="s">
        <v>11</v>
      </c>
    </row>
    <row r="3" spans="1:15" s="1" customFormat="1" ht="75" x14ac:dyDescent="0.25">
      <c r="A3" s="1" t="s">
        <v>75</v>
      </c>
      <c r="B3" s="4"/>
      <c r="C3" s="1" t="s">
        <v>23</v>
      </c>
      <c r="D3" s="4" t="s">
        <v>77</v>
      </c>
      <c r="E3" s="4" t="s">
        <v>19</v>
      </c>
      <c r="F3" s="4"/>
      <c r="G3" s="1" t="s">
        <v>29</v>
      </c>
      <c r="H3" s="1" t="s">
        <v>20</v>
      </c>
      <c r="I3" s="1" t="s">
        <v>33</v>
      </c>
      <c r="J3" s="1" t="s">
        <v>33</v>
      </c>
      <c r="L3" s="4"/>
      <c r="O3" s="2" t="s">
        <v>66</v>
      </c>
    </row>
    <row r="4" spans="1:15" s="1" customFormat="1" x14ac:dyDescent="0.25">
      <c r="A4" s="1" t="s">
        <v>76</v>
      </c>
      <c r="B4" s="4"/>
      <c r="C4" s="1" t="s">
        <v>70</v>
      </c>
      <c r="D4" s="4" t="s">
        <v>71</v>
      </c>
      <c r="E4" s="4"/>
      <c r="F4" s="4"/>
      <c r="L4" s="4"/>
      <c r="O4" s="1" t="s">
        <v>69</v>
      </c>
    </row>
    <row r="5" spans="1:15" s="1" customFormat="1" x14ac:dyDescent="0.25">
      <c r="A5" s="13"/>
      <c r="B5" s="16" t="s">
        <v>80</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6" t="s">
        <v>81</v>
      </c>
      <c r="G5" s="17">
        <v>44742</v>
      </c>
      <c r="H5" s="14" t="s">
        <v>135</v>
      </c>
      <c r="I5" s="14"/>
      <c r="J5" s="14"/>
      <c r="K5" s="70" t="s">
        <v>136</v>
      </c>
      <c r="L5" s="16" t="s">
        <v>84</v>
      </c>
      <c r="M5" s="71" t="s">
        <v>85</v>
      </c>
      <c r="O5" s="5" t="s">
        <v>12</v>
      </c>
    </row>
    <row r="6" spans="1:15" s="9" customFormat="1" x14ac:dyDescent="0.25">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IF(LEN(I5)&gt;70,"Address cannot be longer than 70 characters","")</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25">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25">
      <c r="B8" s="3"/>
      <c r="D8" s="3"/>
      <c r="E8" s="3"/>
      <c r="F8" s="3"/>
      <c r="L8" s="3"/>
    </row>
    <row r="9" spans="1:15" s="1" customFormat="1" x14ac:dyDescent="0.25">
      <c r="B9" s="3"/>
      <c r="D9" s="3"/>
      <c r="E9" s="3"/>
      <c r="F9" s="3"/>
      <c r="L9" s="3"/>
    </row>
    <row r="10" spans="1:15" s="1" customFormat="1" x14ac:dyDescent="0.25">
      <c r="B10" s="3"/>
      <c r="D10" s="3"/>
      <c r="E10" s="3"/>
      <c r="F10" s="3"/>
      <c r="L10" s="3"/>
    </row>
    <row r="11" spans="1:15" s="1" customFormat="1" x14ac:dyDescent="0.25">
      <c r="B11" s="3"/>
      <c r="D11" s="3"/>
      <c r="E11" s="3"/>
      <c r="F11" s="3"/>
      <c r="L11" s="3"/>
    </row>
    <row r="12" spans="1:15" s="1" customFormat="1" x14ac:dyDescent="0.25">
      <c r="B12" s="3"/>
      <c r="D12" s="3"/>
      <c r="E12" s="3"/>
      <c r="F12" s="3"/>
      <c r="L12" s="3"/>
    </row>
    <row r="13" spans="1:15" s="1" customFormat="1" x14ac:dyDescent="0.25">
      <c r="B13" s="3"/>
      <c r="D13" s="3"/>
      <c r="E13" s="3"/>
      <c r="F13" s="3"/>
      <c r="L13" s="3"/>
    </row>
    <row r="14" spans="1:15" s="1" customFormat="1" x14ac:dyDescent="0.25">
      <c r="B14" s="3"/>
      <c r="D14" s="3"/>
      <c r="E14" s="3"/>
      <c r="F14" s="3"/>
      <c r="L14" s="3"/>
    </row>
    <row r="15" spans="1:15" s="1" customFormat="1" x14ac:dyDescent="0.25">
      <c r="B15" s="3"/>
      <c r="D15" s="3"/>
      <c r="E15" s="3"/>
      <c r="F15" s="3"/>
      <c r="L15" s="3"/>
    </row>
    <row r="16" spans="1:15" s="1" customFormat="1" x14ac:dyDescent="0.25">
      <c r="B16" s="3"/>
      <c r="D16" s="3"/>
      <c r="E16" s="3"/>
      <c r="F16" s="3"/>
      <c r="L16" s="3"/>
    </row>
    <row r="17" spans="2:12" s="1" customFormat="1" x14ac:dyDescent="0.25">
      <c r="B17" s="3"/>
      <c r="D17" s="3"/>
      <c r="E17" s="3"/>
      <c r="F17" s="3"/>
      <c r="L17" s="3"/>
    </row>
    <row r="18" spans="2:12" s="1" customFormat="1" x14ac:dyDescent="0.25">
      <c r="B18" s="3"/>
      <c r="D18" s="3"/>
      <c r="E18" s="3"/>
      <c r="F18" s="3"/>
      <c r="L18" s="3"/>
    </row>
    <row r="19" spans="2:12" s="1" customFormat="1" x14ac:dyDescent="0.25">
      <c r="B19" s="3"/>
      <c r="D19" s="3"/>
      <c r="E19" s="3"/>
      <c r="F19" s="3"/>
      <c r="L19" s="3"/>
    </row>
    <row r="20" spans="2:12" s="1" customFormat="1" x14ac:dyDescent="0.25">
      <c r="B20" s="3"/>
      <c r="D20" s="3"/>
      <c r="E20" s="3"/>
      <c r="F20" s="3"/>
      <c r="L20" s="3"/>
    </row>
    <row r="21" spans="2:12" s="1" customFormat="1" x14ac:dyDescent="0.25">
      <c r="B21" s="3"/>
      <c r="D21" s="3"/>
      <c r="E21" s="3"/>
      <c r="F21" s="3"/>
      <c r="L21" s="3"/>
    </row>
    <row r="22" spans="2:12" s="1" customFormat="1" x14ac:dyDescent="0.25">
      <c r="B22" s="3"/>
      <c r="D22" s="3"/>
      <c r="E22" s="3"/>
      <c r="F22" s="3"/>
      <c r="L22" s="3"/>
    </row>
  </sheetData>
  <sheetProtection algorithmName="SHA-512" hashValue="d9uxUxsbZpxhZIbJYt44j6InX7c4ic3jeBk1EqzPdV9Dzm7JEzOycD/XRU3iOREPXWIU0r/AIUqFNneMof3R2w==" saltValue="flyv4SPvL7KL6QFmk+Rl+w==" spinCount="100000" sheet="1" objects="1" scenarios="1" formatColumns="0" selectLockedCells="1"/>
  <dataValidations count="6">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I5: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6000000}">
          <x14:formula1>
            <xm:f>'Control Data (Hidden)'!$D$9:$E$9</xm:f>
          </x14:formula1>
          <xm:sqref>C5</xm:sqref>
        </x14:dataValidation>
        <x14:dataValidation type="date" allowBlank="1" showInputMessage="1" showErrorMessage="1" errorTitle="Pay Info Rec: ReqdExctnDt" error="The date is invalid" xr:uid="{00000000-0002-0000-0100-000007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M106"/>
  <sheetViews>
    <sheetView tabSelected="1" zoomScale="80" zoomScaleNormal="80" workbookViewId="0">
      <pane ySplit="4" topLeftCell="A5" activePane="bottomLeft" state="frozen"/>
      <selection activeCell="A2" sqref="A2"/>
      <selection pane="bottomLeft" activeCell="A5" sqref="A5"/>
    </sheetView>
  </sheetViews>
  <sheetFormatPr defaultRowHeight="15" x14ac:dyDescent="0.25"/>
  <cols>
    <col min="1" max="1" width="39.28515625" customWidth="1"/>
    <col min="2" max="2" width="25.28515625" customWidth="1"/>
    <col min="3" max="3" width="8.28515625" style="3" hidden="1" customWidth="1"/>
    <col min="4" max="4" width="21.28515625" customWidth="1"/>
    <col min="5" max="5" width="19.7109375" customWidth="1"/>
    <col min="6" max="6" width="32.7109375" customWidth="1"/>
    <col min="7" max="7" width="17.28515625" customWidth="1"/>
    <col min="8" max="8" width="19.28515625" customWidth="1"/>
    <col min="9" max="9" width="33.28515625" customWidth="1"/>
    <col min="10" max="10" width="9.7109375" customWidth="1"/>
    <col min="11" max="11" width="29.28515625" customWidth="1"/>
  </cols>
  <sheetData>
    <row r="1" spans="1:13" s="1" customFormat="1" x14ac:dyDescent="0.25">
      <c r="A1" s="1" t="s">
        <v>54</v>
      </c>
      <c r="B1" s="1" t="s">
        <v>56</v>
      </c>
      <c r="C1" s="3" t="s">
        <v>83</v>
      </c>
      <c r="D1" s="1" t="s">
        <v>58</v>
      </c>
      <c r="E1" s="1" t="s">
        <v>36</v>
      </c>
      <c r="F1" s="1" t="s">
        <v>6</v>
      </c>
      <c r="G1" s="1" t="s">
        <v>30</v>
      </c>
      <c r="H1" s="1" t="s">
        <v>30</v>
      </c>
      <c r="I1" s="1" t="s">
        <v>34</v>
      </c>
      <c r="J1" s="1" t="s">
        <v>39</v>
      </c>
      <c r="K1" s="1" t="s">
        <v>63</v>
      </c>
      <c r="M1" t="s">
        <v>10</v>
      </c>
    </row>
    <row r="2" spans="1:13" s="1" customFormat="1" ht="120" x14ac:dyDescent="0.25">
      <c r="A2" s="1" t="s">
        <v>55</v>
      </c>
      <c r="B2" s="1" t="s">
        <v>57</v>
      </c>
      <c r="C2" s="4" t="s">
        <v>79</v>
      </c>
      <c r="D2" s="1" t="s">
        <v>59</v>
      </c>
      <c r="E2" s="1" t="s">
        <v>60</v>
      </c>
      <c r="F2" s="1" t="s">
        <v>61</v>
      </c>
      <c r="G2" s="1" t="s">
        <v>106</v>
      </c>
      <c r="H2" s="1" t="s">
        <v>107</v>
      </c>
      <c r="I2" s="1" t="s">
        <v>62</v>
      </c>
      <c r="J2" s="1" t="s">
        <v>86</v>
      </c>
      <c r="K2" s="1" t="s">
        <v>64</v>
      </c>
      <c r="M2" s="2" t="s">
        <v>11</v>
      </c>
    </row>
    <row r="3" spans="1:13" s="1" customFormat="1" ht="210" x14ac:dyDescent="0.25">
      <c r="A3" s="1" t="s">
        <v>17</v>
      </c>
      <c r="B3" s="1" t="s">
        <v>17</v>
      </c>
      <c r="C3" s="4"/>
      <c r="D3" s="1" t="s">
        <v>19</v>
      </c>
      <c r="E3" s="59" t="s">
        <v>114</v>
      </c>
      <c r="F3" s="1" t="s">
        <v>105</v>
      </c>
      <c r="G3" s="1" t="s">
        <v>111</v>
      </c>
      <c r="H3" s="1" t="s">
        <v>112</v>
      </c>
      <c r="I3" s="59" t="s">
        <v>113</v>
      </c>
      <c r="K3" s="1" t="s">
        <v>65</v>
      </c>
      <c r="M3" s="2" t="s">
        <v>66</v>
      </c>
    </row>
    <row r="4" spans="1:13" s="1" customFormat="1" x14ac:dyDescent="0.25">
      <c r="A4" s="1" t="s">
        <v>68</v>
      </c>
      <c r="B4" s="1" t="s">
        <v>68</v>
      </c>
      <c r="C4" s="4"/>
      <c r="D4" s="10" t="s">
        <v>67</v>
      </c>
      <c r="M4" s="1" t="s">
        <v>69</v>
      </c>
    </row>
    <row r="5" spans="1:13" x14ac:dyDescent="0.25">
      <c r="A5" s="58"/>
      <c r="B5" s="58"/>
      <c r="C5" s="58" t="s">
        <v>84</v>
      </c>
      <c r="D5" s="58"/>
      <c r="E5" s="58"/>
      <c r="F5" s="58"/>
      <c r="G5" s="58"/>
      <c r="H5" s="58"/>
      <c r="I5" s="58"/>
      <c r="J5" s="58"/>
      <c r="K5" s="58"/>
      <c r="M5" s="5" t="s">
        <v>12</v>
      </c>
    </row>
    <row r="6" spans="1:13" ht="45" x14ac:dyDescent="0.2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25">
      <c r="A7" s="58"/>
      <c r="B7" s="58"/>
      <c r="C7" s="58" t="s">
        <v>84</v>
      </c>
      <c r="D7" s="58"/>
      <c r="E7" s="58"/>
      <c r="F7" s="58"/>
      <c r="G7" s="58"/>
      <c r="H7" s="58"/>
      <c r="I7" s="58"/>
      <c r="J7" s="58"/>
      <c r="K7" s="58"/>
      <c r="M7" s="5" t="s">
        <v>12</v>
      </c>
    </row>
    <row r="8" spans="1:13" ht="45" x14ac:dyDescent="0.2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25">
      <c r="A9" s="58"/>
      <c r="B9" s="58"/>
      <c r="C9" s="58" t="s">
        <v>84</v>
      </c>
      <c r="D9" s="58"/>
      <c r="E9" s="58"/>
      <c r="F9" s="58"/>
      <c r="G9" s="58"/>
      <c r="H9" s="58"/>
      <c r="I9" s="58"/>
      <c r="J9" s="58"/>
      <c r="K9" s="58"/>
      <c r="M9" s="5" t="s">
        <v>12</v>
      </c>
    </row>
    <row r="10" spans="1:13" ht="45" x14ac:dyDescent="0.2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25">
      <c r="A11" s="58"/>
      <c r="B11" s="58"/>
      <c r="C11" s="58" t="s">
        <v>84</v>
      </c>
      <c r="D11" s="58"/>
      <c r="E11" s="58"/>
      <c r="F11" s="58"/>
      <c r="G11" s="58"/>
      <c r="H11" s="58"/>
      <c r="I11" s="58"/>
      <c r="J11" s="58"/>
      <c r="K11" s="58"/>
      <c r="M11" s="5" t="s">
        <v>12</v>
      </c>
    </row>
    <row r="12" spans="1:13" ht="45" x14ac:dyDescent="0.2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25">
      <c r="A13" s="58"/>
      <c r="B13" s="58"/>
      <c r="C13" s="58" t="s">
        <v>84</v>
      </c>
      <c r="D13" s="58"/>
      <c r="E13" s="58"/>
      <c r="F13" s="58"/>
      <c r="G13" s="58"/>
      <c r="H13" s="58"/>
      <c r="I13" s="58"/>
      <c r="J13" s="58"/>
      <c r="K13" s="58"/>
      <c r="M13" s="5" t="s">
        <v>12</v>
      </c>
    </row>
    <row r="14" spans="1:13" ht="45" x14ac:dyDescent="0.2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25">
      <c r="A15" s="58"/>
      <c r="B15" s="58"/>
      <c r="C15" s="58" t="s">
        <v>84</v>
      </c>
      <c r="D15" s="58"/>
      <c r="E15" s="58"/>
      <c r="F15" s="58"/>
      <c r="G15" s="58"/>
      <c r="H15" s="58"/>
      <c r="I15" s="58"/>
      <c r="J15" s="58"/>
      <c r="K15" s="58"/>
      <c r="M15" s="5" t="s">
        <v>12</v>
      </c>
    </row>
    <row r="16" spans="1:13" ht="45" x14ac:dyDescent="0.2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25">
      <c r="A17" s="58"/>
      <c r="B17" s="58"/>
      <c r="C17" s="58" t="s">
        <v>84</v>
      </c>
      <c r="D17" s="58"/>
      <c r="E17" s="58"/>
      <c r="F17" s="58"/>
      <c r="G17" s="58"/>
      <c r="H17" s="58"/>
      <c r="I17" s="58"/>
      <c r="J17" s="58"/>
      <c r="K17" s="58"/>
      <c r="M17" s="5" t="s">
        <v>12</v>
      </c>
    </row>
    <row r="18" spans="1:13" ht="45" x14ac:dyDescent="0.2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25">
      <c r="A19" s="58"/>
      <c r="B19" s="58"/>
      <c r="C19" s="58" t="s">
        <v>84</v>
      </c>
      <c r="D19" s="58"/>
      <c r="E19" s="58"/>
      <c r="F19" s="58"/>
      <c r="G19" s="58"/>
      <c r="H19" s="58"/>
      <c r="I19" s="58"/>
      <c r="J19" s="58"/>
      <c r="K19" s="58"/>
      <c r="M19" s="5" t="s">
        <v>12</v>
      </c>
    </row>
    <row r="20" spans="1:13" ht="45" x14ac:dyDescent="0.2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25">
      <c r="A21" s="58"/>
      <c r="B21" s="58"/>
      <c r="C21" s="58" t="s">
        <v>84</v>
      </c>
      <c r="D21" s="58"/>
      <c r="E21" s="58"/>
      <c r="F21" s="58"/>
      <c r="G21" s="58"/>
      <c r="H21" s="58"/>
      <c r="I21" s="58"/>
      <c r="J21" s="58"/>
      <c r="K21" s="58"/>
      <c r="M21" s="5" t="s">
        <v>12</v>
      </c>
    </row>
    <row r="22" spans="1:13" ht="45" x14ac:dyDescent="0.2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25">
      <c r="A23" s="58"/>
      <c r="B23" s="58"/>
      <c r="C23" s="58" t="s">
        <v>84</v>
      </c>
      <c r="D23" s="58"/>
      <c r="E23" s="58"/>
      <c r="F23" s="58"/>
      <c r="G23" s="58"/>
      <c r="H23" s="58"/>
      <c r="I23" s="58"/>
      <c r="J23" s="58"/>
      <c r="K23" s="58"/>
      <c r="M23" s="5" t="s">
        <v>12</v>
      </c>
    </row>
    <row r="24" spans="1:13" ht="45" x14ac:dyDescent="0.2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25">
      <c r="A25" s="58"/>
      <c r="B25" s="58"/>
      <c r="C25" s="58" t="s">
        <v>84</v>
      </c>
      <c r="D25" s="58"/>
      <c r="E25" s="58"/>
      <c r="F25" s="58"/>
      <c r="G25" s="58"/>
      <c r="H25" s="58"/>
      <c r="I25" s="58"/>
      <c r="J25" s="58"/>
      <c r="K25" s="58"/>
      <c r="M25" s="5" t="s">
        <v>12</v>
      </c>
    </row>
    <row r="26" spans="1:13" ht="45" x14ac:dyDescent="0.2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25">
      <c r="A27" s="58"/>
      <c r="B27" s="58"/>
      <c r="C27" s="58" t="s">
        <v>84</v>
      </c>
      <c r="D27" s="58"/>
      <c r="E27" s="58"/>
      <c r="F27" s="58"/>
      <c r="G27" s="58"/>
      <c r="H27" s="58"/>
      <c r="I27" s="58"/>
      <c r="J27" s="58"/>
      <c r="K27" s="58"/>
      <c r="M27" s="5" t="s">
        <v>12</v>
      </c>
    </row>
    <row r="28" spans="1:13" ht="45" x14ac:dyDescent="0.2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25">
      <c r="A29" s="58"/>
      <c r="B29" s="58"/>
      <c r="C29" s="58" t="s">
        <v>84</v>
      </c>
      <c r="D29" s="58"/>
      <c r="E29" s="58"/>
      <c r="F29" s="58"/>
      <c r="G29" s="58"/>
      <c r="H29" s="58"/>
      <c r="I29" s="58"/>
      <c r="J29" s="58"/>
      <c r="K29" s="58"/>
      <c r="M29" s="5" t="s">
        <v>12</v>
      </c>
    </row>
    <row r="30" spans="1:13" ht="45" x14ac:dyDescent="0.2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25">
      <c r="A31" s="58"/>
      <c r="B31" s="58"/>
      <c r="C31" s="58" t="s">
        <v>84</v>
      </c>
      <c r="D31" s="58"/>
      <c r="E31" s="58"/>
      <c r="F31" s="58"/>
      <c r="G31" s="58"/>
      <c r="H31" s="58"/>
      <c r="I31" s="58"/>
      <c r="J31" s="58"/>
      <c r="K31" s="58"/>
      <c r="M31" s="5" t="s">
        <v>12</v>
      </c>
    </row>
    <row r="32" spans="1:13" ht="45" x14ac:dyDescent="0.2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25">
      <c r="A33" s="58"/>
      <c r="B33" s="58"/>
      <c r="C33" s="58" t="s">
        <v>84</v>
      </c>
      <c r="D33" s="58"/>
      <c r="E33" s="58"/>
      <c r="F33" s="58"/>
      <c r="G33" s="58"/>
      <c r="H33" s="58"/>
      <c r="I33" s="58"/>
      <c r="J33" s="58"/>
      <c r="K33" s="58"/>
      <c r="M33" s="5" t="s">
        <v>12</v>
      </c>
    </row>
    <row r="34" spans="1:13" ht="45" x14ac:dyDescent="0.2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25">
      <c r="A35" s="58"/>
      <c r="B35" s="58"/>
      <c r="C35" s="58" t="s">
        <v>84</v>
      </c>
      <c r="D35" s="58"/>
      <c r="E35" s="58"/>
      <c r="F35" s="58"/>
      <c r="G35" s="58"/>
      <c r="H35" s="58"/>
      <c r="I35" s="58"/>
      <c r="J35" s="58"/>
      <c r="K35" s="58"/>
      <c r="M35" s="5" t="s">
        <v>12</v>
      </c>
    </row>
    <row r="36" spans="1:13" ht="45" x14ac:dyDescent="0.2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25">
      <c r="A37" s="58"/>
      <c r="B37" s="58"/>
      <c r="C37" s="58" t="s">
        <v>84</v>
      </c>
      <c r="D37" s="58"/>
      <c r="E37" s="58"/>
      <c r="F37" s="58"/>
      <c r="G37" s="58"/>
      <c r="H37" s="58"/>
      <c r="I37" s="58"/>
      <c r="J37" s="58"/>
      <c r="K37" s="58"/>
      <c r="M37" s="5" t="s">
        <v>12</v>
      </c>
    </row>
    <row r="38" spans="1:13" ht="45" x14ac:dyDescent="0.2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25">
      <c r="A39" s="58"/>
      <c r="B39" s="58"/>
      <c r="C39" s="58" t="s">
        <v>84</v>
      </c>
      <c r="D39" s="58"/>
      <c r="E39" s="58"/>
      <c r="F39" s="58"/>
      <c r="G39" s="58"/>
      <c r="H39" s="58"/>
      <c r="I39" s="58"/>
      <c r="J39" s="58"/>
      <c r="K39" s="58"/>
      <c r="M39" s="5" t="s">
        <v>12</v>
      </c>
    </row>
    <row r="40" spans="1:13" ht="45" x14ac:dyDescent="0.2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25">
      <c r="A41" s="58"/>
      <c r="B41" s="58"/>
      <c r="C41" s="58" t="s">
        <v>84</v>
      </c>
      <c r="D41" s="58"/>
      <c r="E41" s="58"/>
      <c r="F41" s="58"/>
      <c r="G41" s="58"/>
      <c r="H41" s="58"/>
      <c r="I41" s="58"/>
      <c r="J41" s="58"/>
      <c r="K41" s="58"/>
      <c r="M41" s="5" t="s">
        <v>12</v>
      </c>
    </row>
    <row r="42" spans="1:13" ht="45" x14ac:dyDescent="0.2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25">
      <c r="A43" s="58"/>
      <c r="B43" s="58"/>
      <c r="C43" s="58" t="s">
        <v>84</v>
      </c>
      <c r="D43" s="58"/>
      <c r="E43" s="58"/>
      <c r="F43" s="58"/>
      <c r="G43" s="58"/>
      <c r="H43" s="58"/>
      <c r="I43" s="58"/>
      <c r="J43" s="58"/>
      <c r="K43" s="58"/>
      <c r="M43" s="5" t="s">
        <v>12</v>
      </c>
    </row>
    <row r="44" spans="1:13" ht="45" x14ac:dyDescent="0.2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25">
      <c r="A45" s="58"/>
      <c r="B45" s="58"/>
      <c r="C45" s="58" t="s">
        <v>84</v>
      </c>
      <c r="D45" s="58"/>
      <c r="E45" s="58"/>
      <c r="F45" s="58"/>
      <c r="G45" s="58"/>
      <c r="H45" s="58"/>
      <c r="I45" s="58"/>
      <c r="J45" s="58"/>
      <c r="K45" s="58"/>
      <c r="M45" s="5" t="s">
        <v>12</v>
      </c>
    </row>
    <row r="46" spans="1:13" ht="45" x14ac:dyDescent="0.2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25">
      <c r="A47" s="58"/>
      <c r="B47" s="58"/>
      <c r="C47" s="58" t="s">
        <v>84</v>
      </c>
      <c r="D47" s="58"/>
      <c r="E47" s="58"/>
      <c r="F47" s="58"/>
      <c r="G47" s="58"/>
      <c r="H47" s="58"/>
      <c r="I47" s="58"/>
      <c r="J47" s="58"/>
      <c r="K47" s="58"/>
      <c r="M47" s="5" t="s">
        <v>12</v>
      </c>
    </row>
    <row r="48" spans="1:13" ht="45" x14ac:dyDescent="0.2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25">
      <c r="A49" s="58"/>
      <c r="B49" s="58"/>
      <c r="C49" s="58" t="s">
        <v>84</v>
      </c>
      <c r="D49" s="58"/>
      <c r="E49" s="58"/>
      <c r="F49" s="58"/>
      <c r="G49" s="58"/>
      <c r="H49" s="58"/>
      <c r="I49" s="58"/>
      <c r="J49" s="58"/>
      <c r="K49" s="58"/>
      <c r="M49" s="5" t="s">
        <v>12</v>
      </c>
    </row>
    <row r="50" spans="1:13" ht="45" x14ac:dyDescent="0.2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25">
      <c r="A51" s="58"/>
      <c r="B51" s="58"/>
      <c r="C51" s="58" t="s">
        <v>84</v>
      </c>
      <c r="D51" s="58"/>
      <c r="E51" s="58"/>
      <c r="F51" s="58"/>
      <c r="G51" s="58"/>
      <c r="H51" s="58"/>
      <c r="I51" s="58"/>
      <c r="J51" s="58"/>
      <c r="K51" s="58"/>
      <c r="M51" s="5" t="s">
        <v>12</v>
      </c>
    </row>
    <row r="52" spans="1:13" ht="45" x14ac:dyDescent="0.2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25">
      <c r="A53" s="58"/>
      <c r="B53" s="58"/>
      <c r="C53" s="58" t="s">
        <v>84</v>
      </c>
      <c r="D53" s="58"/>
      <c r="E53" s="58"/>
      <c r="F53" s="58"/>
      <c r="G53" s="58"/>
      <c r="H53" s="58"/>
      <c r="I53" s="58"/>
      <c r="J53" s="58"/>
      <c r="K53" s="58"/>
      <c r="M53" s="5" t="s">
        <v>12</v>
      </c>
    </row>
    <row r="54" spans="1:13" ht="45" x14ac:dyDescent="0.2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25">
      <c r="A55" s="58"/>
      <c r="B55" s="58"/>
      <c r="C55" s="58" t="s">
        <v>84</v>
      </c>
      <c r="D55" s="58"/>
      <c r="E55" s="58"/>
      <c r="F55" s="58"/>
      <c r="G55" s="58"/>
      <c r="H55" s="58"/>
      <c r="I55" s="58"/>
      <c r="J55" s="58"/>
      <c r="K55" s="58"/>
      <c r="M55" s="5" t="s">
        <v>12</v>
      </c>
    </row>
    <row r="56" spans="1:13" ht="45" x14ac:dyDescent="0.2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25">
      <c r="A57" s="58"/>
      <c r="B57" s="58"/>
      <c r="C57" s="58" t="s">
        <v>84</v>
      </c>
      <c r="D57" s="58"/>
      <c r="E57" s="58"/>
      <c r="F57" s="58"/>
      <c r="G57" s="58"/>
      <c r="H57" s="58"/>
      <c r="I57" s="58"/>
      <c r="J57" s="58"/>
      <c r="K57" s="58"/>
      <c r="M57" s="5" t="s">
        <v>12</v>
      </c>
    </row>
    <row r="58" spans="1:13" ht="45" x14ac:dyDescent="0.2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25">
      <c r="A59" s="58"/>
      <c r="B59" s="58"/>
      <c r="C59" s="58" t="s">
        <v>84</v>
      </c>
      <c r="D59" s="58"/>
      <c r="E59" s="58"/>
      <c r="F59" s="58"/>
      <c r="G59" s="58"/>
      <c r="H59" s="58"/>
      <c r="I59" s="58"/>
      <c r="J59" s="58"/>
      <c r="K59" s="58"/>
      <c r="M59" s="5" t="s">
        <v>12</v>
      </c>
    </row>
    <row r="60" spans="1:13" ht="45" x14ac:dyDescent="0.2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25">
      <c r="A61" s="58"/>
      <c r="B61" s="58"/>
      <c r="C61" s="58" t="s">
        <v>84</v>
      </c>
      <c r="D61" s="58"/>
      <c r="E61" s="58"/>
      <c r="F61" s="58"/>
      <c r="G61" s="58"/>
      <c r="H61" s="58"/>
      <c r="I61" s="58"/>
      <c r="J61" s="58"/>
      <c r="K61" s="58"/>
      <c r="M61" s="5" t="s">
        <v>12</v>
      </c>
    </row>
    <row r="62" spans="1:13" ht="45" x14ac:dyDescent="0.2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25">
      <c r="A63" s="58"/>
      <c r="B63" s="58"/>
      <c r="C63" s="58" t="s">
        <v>84</v>
      </c>
      <c r="D63" s="58"/>
      <c r="E63" s="58"/>
      <c r="F63" s="58"/>
      <c r="G63" s="58"/>
      <c r="H63" s="58"/>
      <c r="I63" s="58"/>
      <c r="J63" s="58"/>
      <c r="K63" s="58"/>
      <c r="M63" s="5" t="s">
        <v>12</v>
      </c>
    </row>
    <row r="64" spans="1:13" ht="45" x14ac:dyDescent="0.2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25">
      <c r="A65" s="58"/>
      <c r="B65" s="58"/>
      <c r="C65" s="58" t="s">
        <v>84</v>
      </c>
      <c r="D65" s="58"/>
      <c r="E65" s="58"/>
      <c r="F65" s="58"/>
      <c r="G65" s="58"/>
      <c r="H65" s="58"/>
      <c r="I65" s="58"/>
      <c r="J65" s="58"/>
      <c r="K65" s="58"/>
      <c r="M65" s="5" t="s">
        <v>12</v>
      </c>
    </row>
    <row r="66" spans="1:13" ht="45" x14ac:dyDescent="0.2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25">
      <c r="A67" s="58"/>
      <c r="B67" s="58"/>
      <c r="C67" s="58" t="s">
        <v>84</v>
      </c>
      <c r="D67" s="58"/>
      <c r="E67" s="58"/>
      <c r="F67" s="58"/>
      <c r="G67" s="58"/>
      <c r="H67" s="58"/>
      <c r="I67" s="58"/>
      <c r="J67" s="58"/>
      <c r="K67" s="58"/>
      <c r="M67" s="5" t="s">
        <v>12</v>
      </c>
    </row>
    <row r="68" spans="1:13" ht="45" x14ac:dyDescent="0.2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25">
      <c r="A69" s="58"/>
      <c r="B69" s="58"/>
      <c r="C69" s="58" t="s">
        <v>84</v>
      </c>
      <c r="D69" s="58"/>
      <c r="E69" s="58"/>
      <c r="F69" s="58"/>
      <c r="G69" s="58"/>
      <c r="H69" s="58"/>
      <c r="I69" s="58"/>
      <c r="J69" s="58"/>
      <c r="K69" s="58"/>
      <c r="M69" s="5" t="s">
        <v>12</v>
      </c>
    </row>
    <row r="70" spans="1:13" ht="45" x14ac:dyDescent="0.2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25">
      <c r="A71" s="58"/>
      <c r="B71" s="58"/>
      <c r="C71" s="58" t="s">
        <v>84</v>
      </c>
      <c r="D71" s="58"/>
      <c r="E71" s="58"/>
      <c r="F71" s="58"/>
      <c r="G71" s="58"/>
      <c r="H71" s="58"/>
      <c r="I71" s="58"/>
      <c r="J71" s="58"/>
      <c r="K71" s="58"/>
      <c r="M71" s="5" t="s">
        <v>12</v>
      </c>
    </row>
    <row r="72" spans="1:13" ht="45" x14ac:dyDescent="0.2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25">
      <c r="A73" s="58"/>
      <c r="B73" s="58"/>
      <c r="C73" s="58" t="s">
        <v>84</v>
      </c>
      <c r="D73" s="58"/>
      <c r="E73" s="58"/>
      <c r="F73" s="58"/>
      <c r="G73" s="58"/>
      <c r="H73" s="58"/>
      <c r="I73" s="58"/>
      <c r="J73" s="58"/>
      <c r="K73" s="58"/>
      <c r="M73" s="5" t="s">
        <v>12</v>
      </c>
    </row>
    <row r="74" spans="1:13" ht="45" x14ac:dyDescent="0.2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25">
      <c r="A75" s="58"/>
      <c r="B75" s="58"/>
      <c r="C75" s="58" t="s">
        <v>84</v>
      </c>
      <c r="D75" s="58"/>
      <c r="E75" s="58"/>
      <c r="F75" s="58"/>
      <c r="G75" s="58"/>
      <c r="H75" s="58"/>
      <c r="I75" s="58"/>
      <c r="J75" s="58"/>
      <c r="K75" s="58"/>
      <c r="M75" s="5" t="s">
        <v>12</v>
      </c>
    </row>
    <row r="76" spans="1:13" ht="45" x14ac:dyDescent="0.2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25">
      <c r="A77" s="58"/>
      <c r="B77" s="58"/>
      <c r="C77" s="58" t="s">
        <v>84</v>
      </c>
      <c r="D77" s="58"/>
      <c r="E77" s="58"/>
      <c r="F77" s="58"/>
      <c r="G77" s="58"/>
      <c r="H77" s="58"/>
      <c r="I77" s="58"/>
      <c r="J77" s="58"/>
      <c r="K77" s="58"/>
      <c r="M77" s="5" t="s">
        <v>12</v>
      </c>
    </row>
    <row r="78" spans="1:13" ht="45" x14ac:dyDescent="0.2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25">
      <c r="A79" s="58"/>
      <c r="B79" s="58"/>
      <c r="C79" s="58" t="s">
        <v>84</v>
      </c>
      <c r="D79" s="58"/>
      <c r="E79" s="58"/>
      <c r="F79" s="58"/>
      <c r="G79" s="58"/>
      <c r="H79" s="58"/>
      <c r="I79" s="58"/>
      <c r="J79" s="58"/>
      <c r="K79" s="58"/>
      <c r="M79" s="5" t="s">
        <v>12</v>
      </c>
    </row>
    <row r="80" spans="1:13" ht="45" x14ac:dyDescent="0.2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25">
      <c r="A81" s="58"/>
      <c r="B81" s="58"/>
      <c r="C81" s="58" t="s">
        <v>84</v>
      </c>
      <c r="D81" s="58"/>
      <c r="E81" s="58"/>
      <c r="F81" s="58"/>
      <c r="G81" s="58"/>
      <c r="H81" s="58"/>
      <c r="I81" s="58"/>
      <c r="J81" s="58"/>
      <c r="K81" s="58"/>
      <c r="M81" s="5" t="s">
        <v>12</v>
      </c>
    </row>
    <row r="82" spans="1:13" ht="45" x14ac:dyDescent="0.2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25">
      <c r="A83" s="58"/>
      <c r="B83" s="58"/>
      <c r="C83" s="58" t="s">
        <v>84</v>
      </c>
      <c r="D83" s="58"/>
      <c r="E83" s="58"/>
      <c r="F83" s="58"/>
      <c r="G83" s="58"/>
      <c r="H83" s="58"/>
      <c r="I83" s="58"/>
      <c r="J83" s="58"/>
      <c r="K83" s="58"/>
      <c r="M83" s="5" t="s">
        <v>12</v>
      </c>
    </row>
    <row r="84" spans="1:13" ht="45" x14ac:dyDescent="0.2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25">
      <c r="A85" s="58"/>
      <c r="B85" s="58"/>
      <c r="C85" s="58" t="s">
        <v>84</v>
      </c>
      <c r="D85" s="58"/>
      <c r="E85" s="58"/>
      <c r="F85" s="58"/>
      <c r="G85" s="58"/>
      <c r="H85" s="58"/>
      <c r="I85" s="58"/>
      <c r="J85" s="58"/>
      <c r="K85" s="58"/>
      <c r="M85" s="5" t="s">
        <v>12</v>
      </c>
    </row>
    <row r="86" spans="1:13" ht="45" x14ac:dyDescent="0.2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25">
      <c r="A87" s="58"/>
      <c r="B87" s="58"/>
      <c r="C87" s="58" t="s">
        <v>84</v>
      </c>
      <c r="D87" s="58"/>
      <c r="E87" s="58"/>
      <c r="F87" s="58"/>
      <c r="G87" s="58"/>
      <c r="H87" s="58"/>
      <c r="I87" s="58"/>
      <c r="J87" s="58"/>
      <c r="K87" s="58"/>
      <c r="M87" s="5" t="s">
        <v>12</v>
      </c>
    </row>
    <row r="88" spans="1:13" ht="45" x14ac:dyDescent="0.2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25">
      <c r="A89" s="58"/>
      <c r="B89" s="58"/>
      <c r="C89" s="58" t="s">
        <v>84</v>
      </c>
      <c r="D89" s="58"/>
      <c r="E89" s="58"/>
      <c r="F89" s="58"/>
      <c r="G89" s="58"/>
      <c r="H89" s="58"/>
      <c r="I89" s="58"/>
      <c r="J89" s="58"/>
      <c r="K89" s="58"/>
      <c r="M89" s="5" t="s">
        <v>12</v>
      </c>
    </row>
    <row r="90" spans="1:13" ht="45" x14ac:dyDescent="0.2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25">
      <c r="A91" s="58"/>
      <c r="B91" s="58"/>
      <c r="C91" s="58" t="s">
        <v>84</v>
      </c>
      <c r="D91" s="58"/>
      <c r="E91" s="58"/>
      <c r="F91" s="58"/>
      <c r="G91" s="58"/>
      <c r="H91" s="58"/>
      <c r="I91" s="58"/>
      <c r="J91" s="58"/>
      <c r="K91" s="58"/>
      <c r="M91" s="5" t="s">
        <v>12</v>
      </c>
    </row>
    <row r="92" spans="1:13" ht="45" x14ac:dyDescent="0.2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25">
      <c r="A93" s="58"/>
      <c r="B93" s="58"/>
      <c r="C93" s="58" t="s">
        <v>84</v>
      </c>
      <c r="D93" s="58"/>
      <c r="E93" s="58"/>
      <c r="F93" s="58"/>
      <c r="G93" s="58"/>
      <c r="H93" s="58"/>
      <c r="I93" s="58"/>
      <c r="J93" s="58"/>
      <c r="K93" s="58"/>
      <c r="M93" s="5" t="s">
        <v>12</v>
      </c>
    </row>
    <row r="94" spans="1:13" ht="45" x14ac:dyDescent="0.2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25">
      <c r="A95" s="58"/>
      <c r="B95" s="58"/>
      <c r="C95" s="58" t="s">
        <v>84</v>
      </c>
      <c r="D95" s="58"/>
      <c r="E95" s="58"/>
      <c r="F95" s="58"/>
      <c r="G95" s="58"/>
      <c r="H95" s="58"/>
      <c r="I95" s="58"/>
      <c r="J95" s="58"/>
      <c r="K95" s="58"/>
      <c r="M95" s="5" t="s">
        <v>12</v>
      </c>
    </row>
    <row r="96" spans="1:13" ht="45" x14ac:dyDescent="0.2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25">
      <c r="A97" s="58"/>
      <c r="B97" s="58"/>
      <c r="C97" s="58" t="s">
        <v>84</v>
      </c>
      <c r="D97" s="58"/>
      <c r="E97" s="58"/>
      <c r="F97" s="58"/>
      <c r="G97" s="58"/>
      <c r="H97" s="58"/>
      <c r="I97" s="58"/>
      <c r="J97" s="58"/>
      <c r="K97" s="58"/>
      <c r="M97" s="5" t="s">
        <v>12</v>
      </c>
    </row>
    <row r="98" spans="1:13" ht="45" x14ac:dyDescent="0.2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25">
      <c r="A99" s="58"/>
      <c r="B99" s="58"/>
      <c r="C99" s="58" t="s">
        <v>84</v>
      </c>
      <c r="D99" s="58"/>
      <c r="E99" s="58"/>
      <c r="F99" s="58"/>
      <c r="G99" s="58"/>
      <c r="H99" s="58"/>
      <c r="I99" s="58"/>
      <c r="J99" s="58"/>
      <c r="K99" s="58"/>
      <c r="M99" s="5" t="s">
        <v>12</v>
      </c>
    </row>
    <row r="100" spans="1:13" ht="45" x14ac:dyDescent="0.2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25">
      <c r="A101" s="58"/>
      <c r="B101" s="58"/>
      <c r="C101" s="58" t="s">
        <v>84</v>
      </c>
      <c r="D101" s="58"/>
      <c r="E101" s="58"/>
      <c r="F101" s="58"/>
      <c r="G101" s="58"/>
      <c r="H101" s="58"/>
      <c r="I101" s="58"/>
      <c r="J101" s="58"/>
      <c r="K101" s="58"/>
      <c r="M101" s="5" t="s">
        <v>12</v>
      </c>
    </row>
    <row r="102" spans="1:13" ht="45" x14ac:dyDescent="0.2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25">
      <c r="A103" s="58"/>
      <c r="B103" s="58"/>
      <c r="C103" s="58" t="s">
        <v>84</v>
      </c>
      <c r="D103" s="58"/>
      <c r="E103" s="58"/>
      <c r="F103" s="58"/>
      <c r="G103" s="58"/>
      <c r="H103" s="58"/>
      <c r="I103" s="58"/>
      <c r="J103" s="58"/>
      <c r="K103" s="58"/>
      <c r="M103" s="5" t="s">
        <v>12</v>
      </c>
    </row>
    <row r="104" spans="1:13" ht="45" x14ac:dyDescent="0.2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25">
      <c r="A105" s="58"/>
      <c r="B105" s="58"/>
      <c r="C105" s="58" t="s">
        <v>84</v>
      </c>
      <c r="D105" s="58"/>
      <c r="E105" s="58"/>
      <c r="F105" s="58"/>
      <c r="G105" s="58"/>
      <c r="H105" s="58"/>
      <c r="I105" s="58"/>
      <c r="J105" s="58"/>
      <c r="K105" s="58"/>
      <c r="M105" s="5" t="s">
        <v>12</v>
      </c>
    </row>
    <row r="106" spans="1:13" ht="45" x14ac:dyDescent="0.2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w9EESmVUCn24gPeKowfBiiHR61hS8KbQ1TLuP1rve9HvtrpSySuHfyMm6+SMo0SSX9W8p4kfXLmn7jJAj/pNGg==" saltValue="DqNymkQRSxB7fLxZ2gaWdg==" spinCount="100000" sheet="1" formatColumn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69CF074E-09B7-4075-96E0-8CDE039E8216}">
          <x14:formula1>
            <xm:f>'Control Data (Hidden)'!D41:J41</xm:f>
          </x14:formula1>
          <xm:sqref>J59 J35 J77</xm:sqref>
        </x14:dataValidation>
        <x14:dataValidation type="list" allowBlank="1" showInputMessage="1" showErrorMessage="1" xr:uid="{53334998-2E16-405B-888E-4C5789BE01A1}">
          <x14:formula1>
            <xm:f>'Control Data (Hidden)'!$D$11:$J$11</xm:f>
          </x14:formula1>
          <xm:sqref>J5 J7 J9 J11 J13 J15 J17 J19 J21 J23 J25 J27 J29 J31 J33 J37 J39 J41 J43 J45 J47 J49 J51 J53 J55 J57 J61 J63 J65 J67 J69 J71 J73 J75 J79 J81 J83 J85 J87 J89 J91 J93 J95 J97 J99 J101 J103 J105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296"/>
  <sheetViews>
    <sheetView workbookViewId="0">
      <selection activeCell="A7" sqref="A7"/>
    </sheetView>
  </sheetViews>
  <sheetFormatPr defaultRowHeight="15" x14ac:dyDescent="0.25"/>
  <cols>
    <col min="1" max="1" width="13.140625" customWidth="1"/>
    <col min="2" max="2" width="15.85546875" customWidth="1"/>
    <col min="3" max="3" width="2.85546875" customWidth="1"/>
    <col min="15" max="15" width="12" bestFit="1" customWidth="1"/>
    <col min="17" max="17" width="2.28515625" customWidth="1"/>
  </cols>
  <sheetData>
    <row r="1" spans="1:24" ht="15.75" thickBot="1" x14ac:dyDescent="0.3">
      <c r="A1" s="97" t="s">
        <v>90</v>
      </c>
      <c r="B1" s="19" t="s">
        <v>97</v>
      </c>
      <c r="D1" s="84" t="s">
        <v>115</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127</v>
      </c>
    </row>
    <row r="2" spans="1:24" x14ac:dyDescent="0.25">
      <c r="A2" s="98" t="str">
        <f>'Control Data (Hidden)'!C1</f>
        <v>1.35.00</v>
      </c>
      <c r="B2" t="str">
        <f ca="1">CONCATENATE("BOV_",TEXT(NOW(),"YYYY-MM-DD-HHmmSS"),"000_",'Header Record'!F5)</f>
        <v>BOV_2022-05-03-165119000_XXX000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EUR</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9" t="s">
        <v>128</v>
      </c>
      <c r="S2" s="100"/>
      <c r="T2" s="100"/>
      <c r="U2" s="100"/>
      <c r="V2" s="100"/>
      <c r="W2" s="100"/>
      <c r="X2" s="101"/>
    </row>
    <row r="3" spans="1:24" x14ac:dyDescent="0.25">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EUR</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2"/>
      <c r="S3" s="103"/>
      <c r="T3" s="103"/>
      <c r="U3" s="103"/>
      <c r="V3" s="103"/>
      <c r="W3" s="103"/>
      <c r="X3" s="104"/>
    </row>
    <row r="4" spans="1:24" ht="30" x14ac:dyDescent="0.25">
      <c r="A4" s="75" t="s">
        <v>96</v>
      </c>
      <c r="B4" s="75" t="s">
        <v>126</v>
      </c>
      <c r="D4" s="87">
        <v>3</v>
      </c>
      <c r="E4" s="88" t="str">
        <f>IF(ISBLANK('Credit Instruction Record'!A9),"",'Credit Instruction Record'!A9)</f>
        <v/>
      </c>
      <c r="F4" s="88" t="str">
        <f>IF(ISBLANK('Credit Instruction Record'!B9),"",'Credit Instruction Record'!B9)</f>
        <v/>
      </c>
      <c r="G4" s="88" t="str">
        <f>IF(ISBLANK('Credit Instruction Record'!C9),"",'Credit Instruction Record'!C9)</f>
        <v>EUR</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2"/>
      <c r="S4" s="103"/>
      <c r="T4" s="103"/>
      <c r="U4" s="103"/>
      <c r="V4" s="103"/>
      <c r="W4" s="103"/>
      <c r="X4" s="104"/>
    </row>
    <row r="5" spans="1:24" x14ac:dyDescent="0.25">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EUR</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2"/>
      <c r="S5" s="103"/>
      <c r="T5" s="103"/>
      <c r="U5" s="103"/>
      <c r="V5" s="103"/>
      <c r="W5" s="103"/>
      <c r="X5" s="104"/>
    </row>
    <row r="6" spans="1:24" x14ac:dyDescent="0.25">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EUR</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2"/>
      <c r="S6" s="103"/>
      <c r="T6" s="103"/>
      <c r="U6" s="103"/>
      <c r="V6" s="103"/>
      <c r="W6" s="103"/>
      <c r="X6" s="104"/>
    </row>
    <row r="7" spans="1:24" x14ac:dyDescent="0.25">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EUR</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2"/>
      <c r="S7" s="103"/>
      <c r="T7" s="103"/>
      <c r="U7" s="103"/>
      <c r="V7" s="103"/>
      <c r="W7" s="103"/>
      <c r="X7" s="104"/>
    </row>
    <row r="8" spans="1:24" x14ac:dyDescent="0.25">
      <c r="A8" s="67" t="s">
        <v>127</v>
      </c>
      <c r="B8" s="37" t="s">
        <v>145</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EUR</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2"/>
      <c r="S8" s="103"/>
      <c r="T8" s="103"/>
      <c r="U8" s="103"/>
      <c r="V8" s="103"/>
      <c r="W8" s="103"/>
      <c r="X8" s="104"/>
    </row>
    <row r="9" spans="1:24" x14ac:dyDescent="0.25">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EUR</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2"/>
      <c r="S9" s="103"/>
      <c r="T9" s="103"/>
      <c r="U9" s="103"/>
      <c r="V9" s="103"/>
      <c r="W9" s="103"/>
      <c r="X9" s="104"/>
    </row>
    <row r="10" spans="1:24" x14ac:dyDescent="0.25">
      <c r="A10" s="67" t="s">
        <v>116</v>
      </c>
      <c r="B10" s="37" t="s">
        <v>118</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EUR</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2"/>
      <c r="S10" s="103"/>
      <c r="T10" s="103"/>
      <c r="U10" s="103"/>
      <c r="V10" s="103"/>
      <c r="W10" s="103"/>
      <c r="X10" s="104"/>
    </row>
    <row r="11" spans="1:24" x14ac:dyDescent="0.25">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EUR</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2"/>
      <c r="S11" s="103"/>
      <c r="T11" s="103"/>
      <c r="U11" s="103"/>
      <c r="V11" s="103"/>
      <c r="W11" s="103"/>
      <c r="X11" s="104"/>
    </row>
    <row r="12" spans="1:24" x14ac:dyDescent="0.25">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EUR</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2"/>
      <c r="S12" s="103"/>
      <c r="T12" s="103"/>
      <c r="U12" s="103"/>
      <c r="V12" s="103"/>
      <c r="W12" s="103"/>
      <c r="X12" s="104"/>
    </row>
    <row r="13" spans="1:24" x14ac:dyDescent="0.25">
      <c r="A13" s="68" t="s">
        <v>117</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EUR</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2"/>
      <c r="S13" s="103"/>
      <c r="T13" s="103"/>
      <c r="U13" s="103"/>
      <c r="V13" s="103"/>
      <c r="W13" s="103"/>
      <c r="X13" s="104"/>
    </row>
    <row r="14" spans="1:24" ht="15.75" thickBot="1" x14ac:dyDescent="0.3">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EUR</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5"/>
      <c r="S14" s="106"/>
      <c r="T14" s="106"/>
      <c r="U14" s="106"/>
      <c r="V14" s="106"/>
      <c r="W14" s="106"/>
      <c r="X14" s="107"/>
    </row>
    <row r="15" spans="1:24" ht="15.75" thickBot="1" x14ac:dyDescent="0.3">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EUR</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25">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EUR</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8" t="s">
        <v>129</v>
      </c>
      <c r="S16" s="109"/>
      <c r="T16" s="109"/>
      <c r="U16" s="109"/>
      <c r="V16" s="109"/>
      <c r="W16" s="109"/>
      <c r="X16" s="110"/>
    </row>
    <row r="17" spans="3:24" x14ac:dyDescent="0.25">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EUR</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11"/>
      <c r="S17" s="112"/>
      <c r="T17" s="112"/>
      <c r="U17" s="112"/>
      <c r="V17" s="112"/>
      <c r="W17" s="112"/>
      <c r="X17" s="113"/>
    </row>
    <row r="18" spans="3:24" x14ac:dyDescent="0.25">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EUR</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11"/>
      <c r="S18" s="112"/>
      <c r="T18" s="112"/>
      <c r="U18" s="112"/>
      <c r="V18" s="112"/>
      <c r="W18" s="112"/>
      <c r="X18" s="113"/>
    </row>
    <row r="19" spans="3:24" x14ac:dyDescent="0.25">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EUR</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11"/>
      <c r="S19" s="112"/>
      <c r="T19" s="112"/>
      <c r="U19" s="112"/>
      <c r="V19" s="112"/>
      <c r="W19" s="112"/>
      <c r="X19" s="113"/>
    </row>
    <row r="20" spans="3:24" x14ac:dyDescent="0.25">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EUR</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11"/>
      <c r="S20" s="112"/>
      <c r="T20" s="112"/>
      <c r="U20" s="112"/>
      <c r="V20" s="112"/>
      <c r="W20" s="112"/>
      <c r="X20" s="113"/>
    </row>
    <row r="21" spans="3:24" x14ac:dyDescent="0.25">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EUR</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11"/>
      <c r="S21" s="112"/>
      <c r="T21" s="112"/>
      <c r="U21" s="112"/>
      <c r="V21" s="112"/>
      <c r="W21" s="112"/>
      <c r="X21" s="113"/>
    </row>
    <row r="22" spans="3:24" x14ac:dyDescent="0.25">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EUR</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11"/>
      <c r="S22" s="112"/>
      <c r="T22" s="112"/>
      <c r="U22" s="112"/>
      <c r="V22" s="112"/>
      <c r="W22" s="112"/>
      <c r="X22" s="113"/>
    </row>
    <row r="23" spans="3:24" x14ac:dyDescent="0.25">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EUR</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11"/>
      <c r="S23" s="112"/>
      <c r="T23" s="112"/>
      <c r="U23" s="112"/>
      <c r="V23" s="112"/>
      <c r="W23" s="112"/>
      <c r="X23" s="113"/>
    </row>
    <row r="24" spans="3:24" x14ac:dyDescent="0.25">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EUR</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11"/>
      <c r="S24" s="112"/>
      <c r="T24" s="112"/>
      <c r="U24" s="112"/>
      <c r="V24" s="112"/>
      <c r="W24" s="112"/>
      <c r="X24" s="113"/>
    </row>
    <row r="25" spans="3:24" x14ac:dyDescent="0.25">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EUR</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11"/>
      <c r="S25" s="112"/>
      <c r="T25" s="112"/>
      <c r="U25" s="112"/>
      <c r="V25" s="112"/>
      <c r="W25" s="112"/>
      <c r="X25" s="113"/>
    </row>
    <row r="26" spans="3:24" x14ac:dyDescent="0.25">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EUR</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11"/>
      <c r="S26" s="112"/>
      <c r="T26" s="112"/>
      <c r="U26" s="112"/>
      <c r="V26" s="112"/>
      <c r="W26" s="112"/>
      <c r="X26" s="113"/>
    </row>
    <row r="27" spans="3:24" x14ac:dyDescent="0.25">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EUR</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11"/>
      <c r="S27" s="112"/>
      <c r="T27" s="112"/>
      <c r="U27" s="112"/>
      <c r="V27" s="112"/>
      <c r="W27" s="112"/>
      <c r="X27" s="113"/>
    </row>
    <row r="28" spans="3:24" ht="15.75" thickBot="1" x14ac:dyDescent="0.3">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EUR</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4"/>
      <c r="S28" s="115"/>
      <c r="T28" s="115"/>
      <c r="U28" s="115"/>
      <c r="V28" s="115"/>
      <c r="W28" s="115"/>
      <c r="X28" s="116"/>
    </row>
    <row r="29" spans="3:24" ht="15" customHeight="1" x14ac:dyDescent="0.25">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EUR</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25">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EUR</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25">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EUR</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25">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EUR</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25">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EUR</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25">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EUR</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25">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EUR</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25">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EUR</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25">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EUR</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25">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EUR</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25">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EUR</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25">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EUR</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25">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EUR</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25">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EUR</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25">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EUR</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25">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EUR</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25">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EUR</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25">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EUR</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25">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EUR</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25">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EUR</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25">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EUR</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25">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EUR</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25">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EUR</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75" thickBot="1" x14ac:dyDescent="0.3">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EUR</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25">
      <c r="A53" s="37"/>
      <c r="B53" s="37"/>
      <c r="C53" s="37"/>
    </row>
    <row r="54" spans="1:16" x14ac:dyDescent="0.25">
      <c r="A54" s="37"/>
      <c r="B54" s="37"/>
      <c r="C54" s="37"/>
    </row>
    <row r="55" spans="1:16" x14ac:dyDescent="0.25">
      <c r="A55" s="37"/>
      <c r="B55" s="37"/>
      <c r="C55" s="37"/>
    </row>
    <row r="56" spans="1:16" x14ac:dyDescent="0.25">
      <c r="A56" s="37"/>
      <c r="B56" s="37"/>
      <c r="C56" s="37"/>
    </row>
    <row r="57" spans="1:16" x14ac:dyDescent="0.25">
      <c r="A57" s="37"/>
      <c r="B57" s="37"/>
      <c r="C57" s="37"/>
    </row>
    <row r="58" spans="1:16" x14ac:dyDescent="0.25">
      <c r="A58" s="37"/>
      <c r="B58" s="37"/>
      <c r="C58" s="37"/>
    </row>
    <row r="59" spans="1:16" x14ac:dyDescent="0.25">
      <c r="A59" s="37"/>
      <c r="B59" s="37"/>
      <c r="C59" s="37"/>
    </row>
    <row r="60" spans="1:16" x14ac:dyDescent="0.25">
      <c r="A60" s="37"/>
      <c r="B60" s="37"/>
      <c r="C60" s="37"/>
    </row>
    <row r="61" spans="1:16" x14ac:dyDescent="0.25">
      <c r="A61" s="37"/>
      <c r="B61" s="37"/>
      <c r="C61" s="37"/>
    </row>
    <row r="62" spans="1:16" x14ac:dyDescent="0.25">
      <c r="A62" s="37"/>
      <c r="B62" s="37"/>
      <c r="C62" s="37"/>
    </row>
    <row r="63" spans="1:16" x14ac:dyDescent="0.25">
      <c r="A63" s="37"/>
      <c r="B63" s="37"/>
      <c r="C63" s="37"/>
    </row>
    <row r="64" spans="1:16" x14ac:dyDescent="0.25">
      <c r="A64" s="37"/>
      <c r="B64" s="37"/>
      <c r="C64" s="37"/>
    </row>
    <row r="65" spans="1:3" x14ac:dyDescent="0.25">
      <c r="A65" s="37"/>
      <c r="B65" s="37"/>
      <c r="C65" s="37"/>
    </row>
    <row r="66" spans="1:3" x14ac:dyDescent="0.25">
      <c r="A66" s="37"/>
      <c r="B66" s="37"/>
      <c r="C66" s="37"/>
    </row>
    <row r="67" spans="1:3" x14ac:dyDescent="0.25">
      <c r="A67" s="37"/>
      <c r="B67" s="37"/>
      <c r="C67" s="37"/>
    </row>
    <row r="68" spans="1:3" x14ac:dyDescent="0.25">
      <c r="A68" s="37"/>
      <c r="B68" s="37"/>
      <c r="C68" s="37"/>
    </row>
    <row r="69" spans="1:3" x14ac:dyDescent="0.25">
      <c r="A69" s="37"/>
      <c r="B69" s="37"/>
      <c r="C69" s="37"/>
    </row>
    <row r="70" spans="1:3" x14ac:dyDescent="0.25">
      <c r="A70" s="37"/>
      <c r="B70" s="37"/>
      <c r="C70" s="37"/>
    </row>
    <row r="71" spans="1:3" x14ac:dyDescent="0.25">
      <c r="A71" s="37"/>
      <c r="B71" s="37"/>
      <c r="C71" s="37"/>
    </row>
    <row r="72" spans="1:3" x14ac:dyDescent="0.25">
      <c r="A72" s="37"/>
      <c r="B72" s="37"/>
      <c r="C72" s="37"/>
    </row>
    <row r="73" spans="1:3" x14ac:dyDescent="0.25">
      <c r="A73" s="37"/>
      <c r="B73" s="37"/>
      <c r="C73" s="37"/>
    </row>
    <row r="74" spans="1:3" x14ac:dyDescent="0.25">
      <c r="A74" s="37"/>
      <c r="B74" s="37"/>
      <c r="C74" s="37"/>
    </row>
    <row r="75" spans="1:3" x14ac:dyDescent="0.25">
      <c r="A75" s="37"/>
      <c r="B75" s="37"/>
      <c r="C75" s="37"/>
    </row>
    <row r="76" spans="1:3" x14ac:dyDescent="0.25">
      <c r="A76" s="37"/>
      <c r="B76" s="37"/>
      <c r="C76" s="37"/>
    </row>
    <row r="77" spans="1:3" x14ac:dyDescent="0.25">
      <c r="A77" s="37"/>
      <c r="B77" s="37"/>
      <c r="C77" s="37"/>
    </row>
    <row r="78" spans="1:3" x14ac:dyDescent="0.25">
      <c r="A78" s="37"/>
      <c r="B78" s="37"/>
      <c r="C78" s="37"/>
    </row>
    <row r="79" spans="1:3" x14ac:dyDescent="0.25">
      <c r="A79" s="37"/>
      <c r="B79" s="37"/>
      <c r="C79" s="37"/>
    </row>
    <row r="80" spans="1:3" x14ac:dyDescent="0.25">
      <c r="A80" s="37"/>
      <c r="B80" s="37"/>
      <c r="C80" s="37"/>
    </row>
    <row r="81" spans="1:3" x14ac:dyDescent="0.25">
      <c r="A81" s="37"/>
      <c r="B81" s="37"/>
      <c r="C81" s="37"/>
    </row>
    <row r="82" spans="1:3" x14ac:dyDescent="0.25">
      <c r="A82" s="37"/>
      <c r="B82" s="37"/>
      <c r="C82" s="37"/>
    </row>
    <row r="83" spans="1:3" x14ac:dyDescent="0.25">
      <c r="A83" s="37"/>
      <c r="B83" s="37"/>
      <c r="C83" s="37"/>
    </row>
    <row r="84" spans="1:3" x14ac:dyDescent="0.25">
      <c r="A84" s="37"/>
      <c r="B84" s="37"/>
      <c r="C84" s="37"/>
    </row>
    <row r="85" spans="1:3" x14ac:dyDescent="0.25">
      <c r="A85" s="37"/>
      <c r="B85" s="37"/>
      <c r="C85" s="37"/>
    </row>
    <row r="86" spans="1:3" x14ac:dyDescent="0.25">
      <c r="A86" s="37"/>
      <c r="B86" s="37"/>
      <c r="C86" s="37"/>
    </row>
    <row r="87" spans="1:3" x14ac:dyDescent="0.25">
      <c r="A87" s="37"/>
      <c r="B87" s="37"/>
      <c r="C87" s="37"/>
    </row>
    <row r="88" spans="1:3" x14ac:dyDescent="0.25">
      <c r="A88" s="37"/>
      <c r="B88" s="37"/>
      <c r="C88" s="37"/>
    </row>
    <row r="89" spans="1:3" x14ac:dyDescent="0.25">
      <c r="A89" s="37"/>
      <c r="B89" s="37"/>
      <c r="C89" s="37"/>
    </row>
    <row r="90" spans="1:3" x14ac:dyDescent="0.25">
      <c r="A90" s="37"/>
      <c r="B90" s="37"/>
      <c r="C90" s="37"/>
    </row>
    <row r="91" spans="1:3" x14ac:dyDescent="0.25">
      <c r="A91" s="37"/>
      <c r="B91" s="37"/>
      <c r="C91" s="37"/>
    </row>
    <row r="92" spans="1:3" x14ac:dyDescent="0.25">
      <c r="A92" s="37"/>
      <c r="B92" s="37"/>
      <c r="C92" s="37"/>
    </row>
    <row r="93" spans="1:3" x14ac:dyDescent="0.25">
      <c r="A93" s="37"/>
      <c r="B93" s="37"/>
      <c r="C93" s="37"/>
    </row>
    <row r="94" spans="1:3" x14ac:dyDescent="0.25">
      <c r="A94" s="37"/>
      <c r="B94" s="37"/>
      <c r="C94" s="37"/>
    </row>
    <row r="95" spans="1:3" x14ac:dyDescent="0.25">
      <c r="A95" s="37"/>
      <c r="B95" s="37"/>
      <c r="C95" s="37"/>
    </row>
    <row r="96" spans="1:3" x14ac:dyDescent="0.25">
      <c r="A96" s="37"/>
      <c r="B96" s="37"/>
      <c r="C96" s="37"/>
    </row>
    <row r="97" spans="1:3" x14ac:dyDescent="0.25">
      <c r="A97" s="37"/>
      <c r="B97" s="37"/>
      <c r="C97" s="37"/>
    </row>
    <row r="98" spans="1:3" x14ac:dyDescent="0.25">
      <c r="A98" s="37"/>
      <c r="B98" s="37"/>
      <c r="C98" s="37"/>
    </row>
    <row r="99" spans="1:3" x14ac:dyDescent="0.25">
      <c r="A99" s="37"/>
      <c r="B99" s="37"/>
      <c r="C99" s="37"/>
    </row>
    <row r="100" spans="1:3" x14ac:dyDescent="0.25">
      <c r="A100" s="37"/>
      <c r="B100" s="37"/>
      <c r="C100" s="37"/>
    </row>
    <row r="101" spans="1:3" x14ac:dyDescent="0.25">
      <c r="A101" s="37"/>
      <c r="B101" s="37"/>
      <c r="C101" s="37"/>
    </row>
    <row r="102" spans="1:3" x14ac:dyDescent="0.25">
      <c r="A102" s="37"/>
      <c r="B102" s="37"/>
      <c r="C102" s="37"/>
    </row>
    <row r="103" spans="1:3" x14ac:dyDescent="0.25">
      <c r="A103" s="37"/>
      <c r="B103" s="37"/>
      <c r="C103" s="37"/>
    </row>
    <row r="104" spans="1:3" x14ac:dyDescent="0.25">
      <c r="A104" s="37"/>
      <c r="B104" s="37"/>
      <c r="C104" s="37"/>
    </row>
    <row r="105" spans="1:3" x14ac:dyDescent="0.25">
      <c r="A105" s="37"/>
      <c r="B105" s="37"/>
      <c r="C105" s="37"/>
    </row>
    <row r="106" spans="1:3" x14ac:dyDescent="0.25">
      <c r="A106" s="37"/>
      <c r="B106" s="37"/>
      <c r="C106" s="37"/>
    </row>
    <row r="107" spans="1:3" x14ac:dyDescent="0.25">
      <c r="A107" s="37"/>
      <c r="B107" s="37"/>
      <c r="C107" s="37"/>
    </row>
    <row r="108" spans="1:3" x14ac:dyDescent="0.25">
      <c r="A108" s="37"/>
      <c r="B108" s="37"/>
      <c r="C108" s="37"/>
    </row>
    <row r="109" spans="1:3" x14ac:dyDescent="0.25">
      <c r="A109" s="37"/>
      <c r="B109" s="37"/>
      <c r="C109" s="37"/>
    </row>
    <row r="110" spans="1:3" x14ac:dyDescent="0.25">
      <c r="A110" s="37"/>
      <c r="B110" s="37"/>
      <c r="C110" s="37"/>
    </row>
    <row r="111" spans="1:3" x14ac:dyDescent="0.25">
      <c r="A111" s="37"/>
      <c r="B111" s="37"/>
      <c r="C111" s="37"/>
    </row>
    <row r="112" spans="1:3" x14ac:dyDescent="0.25">
      <c r="A112" s="37"/>
      <c r="B112" s="37"/>
      <c r="C112" s="37"/>
    </row>
    <row r="113" spans="1:3" x14ac:dyDescent="0.25">
      <c r="A113" s="37"/>
      <c r="B113" s="37"/>
      <c r="C113" s="37"/>
    </row>
    <row r="114" spans="1:3" x14ac:dyDescent="0.25">
      <c r="A114" s="37"/>
      <c r="B114" s="37"/>
      <c r="C114" s="37"/>
    </row>
    <row r="115" spans="1:3" x14ac:dyDescent="0.25">
      <c r="A115" s="37"/>
      <c r="B115" s="37"/>
      <c r="C115" s="37"/>
    </row>
    <row r="116" spans="1:3" x14ac:dyDescent="0.25">
      <c r="A116" s="37"/>
      <c r="B116" s="37"/>
      <c r="C116" s="37"/>
    </row>
    <row r="117" spans="1:3" x14ac:dyDescent="0.25">
      <c r="A117" s="37"/>
      <c r="B117" s="37"/>
      <c r="C117" s="37"/>
    </row>
    <row r="118" spans="1:3" x14ac:dyDescent="0.25">
      <c r="A118" s="37"/>
      <c r="B118" s="37"/>
      <c r="C118" s="37"/>
    </row>
    <row r="119" spans="1:3" x14ac:dyDescent="0.25">
      <c r="A119" s="37"/>
      <c r="B119" s="37"/>
      <c r="C119" s="37"/>
    </row>
    <row r="120" spans="1:3" x14ac:dyDescent="0.25">
      <c r="A120" s="37"/>
      <c r="B120" s="37"/>
      <c r="C120" s="37"/>
    </row>
    <row r="121" spans="1:3" x14ac:dyDescent="0.25">
      <c r="A121" s="37"/>
      <c r="B121" s="37"/>
      <c r="C121" s="37"/>
    </row>
    <row r="122" spans="1:3" x14ac:dyDescent="0.25">
      <c r="A122" s="37"/>
      <c r="B122" s="37"/>
      <c r="C122" s="37"/>
    </row>
    <row r="123" spans="1:3" x14ac:dyDescent="0.25">
      <c r="A123" s="37"/>
      <c r="B123" s="37"/>
      <c r="C123" s="37"/>
    </row>
    <row r="124" spans="1:3" x14ac:dyDescent="0.25">
      <c r="A124" s="37"/>
      <c r="B124" s="37"/>
      <c r="C124" s="37"/>
    </row>
    <row r="125" spans="1:3" x14ac:dyDescent="0.25">
      <c r="A125" s="37"/>
      <c r="B125" s="37"/>
      <c r="C125" s="37"/>
    </row>
    <row r="126" spans="1:3" x14ac:dyDescent="0.25">
      <c r="A126" s="37"/>
      <c r="B126" s="37"/>
      <c r="C126" s="37"/>
    </row>
    <row r="127" spans="1:3" x14ac:dyDescent="0.25">
      <c r="A127" s="37"/>
      <c r="B127" s="37"/>
      <c r="C127" s="37"/>
    </row>
    <row r="128" spans="1:3" x14ac:dyDescent="0.25">
      <c r="A128" s="37"/>
      <c r="B128" s="37"/>
      <c r="C128" s="37"/>
    </row>
    <row r="129" spans="1:3" x14ac:dyDescent="0.25">
      <c r="A129" s="37"/>
      <c r="B129" s="37"/>
      <c r="C129" s="37"/>
    </row>
    <row r="130" spans="1:3" x14ac:dyDescent="0.25">
      <c r="A130" s="37"/>
      <c r="B130" s="37"/>
      <c r="C130" s="37"/>
    </row>
    <row r="131" spans="1:3" x14ac:dyDescent="0.25">
      <c r="A131" s="37"/>
      <c r="B131" s="37"/>
      <c r="C131" s="37"/>
    </row>
    <row r="132" spans="1:3" x14ac:dyDescent="0.25">
      <c r="A132" s="37"/>
      <c r="B132" s="37"/>
      <c r="C132" s="37"/>
    </row>
    <row r="133" spans="1:3" x14ac:dyDescent="0.25">
      <c r="A133" s="37"/>
      <c r="B133" s="37"/>
      <c r="C133" s="37"/>
    </row>
    <row r="134" spans="1:3" x14ac:dyDescent="0.25">
      <c r="A134" s="37"/>
      <c r="B134" s="37"/>
      <c r="C134" s="37"/>
    </row>
    <row r="135" spans="1:3" x14ac:dyDescent="0.25">
      <c r="A135" s="37"/>
      <c r="B135" s="37"/>
      <c r="C135" s="37"/>
    </row>
    <row r="136" spans="1:3" x14ac:dyDescent="0.25">
      <c r="A136" s="37"/>
      <c r="B136" s="37"/>
      <c r="C136" s="37"/>
    </row>
    <row r="137" spans="1:3" x14ac:dyDescent="0.25">
      <c r="A137" s="37"/>
      <c r="B137" s="37"/>
      <c r="C137" s="37"/>
    </row>
    <row r="138" spans="1:3" x14ac:dyDescent="0.25">
      <c r="A138" s="37"/>
      <c r="B138" s="37"/>
      <c r="C138" s="37"/>
    </row>
    <row r="139" spans="1:3" x14ac:dyDescent="0.25">
      <c r="A139" s="37"/>
      <c r="B139" s="37"/>
      <c r="C139" s="37"/>
    </row>
    <row r="140" spans="1:3" x14ac:dyDescent="0.25">
      <c r="A140" s="37"/>
      <c r="B140" s="37"/>
      <c r="C140" s="37"/>
    </row>
    <row r="141" spans="1:3" x14ac:dyDescent="0.25">
      <c r="A141" s="37"/>
      <c r="B141" s="37"/>
      <c r="C141" s="37"/>
    </row>
    <row r="142" spans="1:3" x14ac:dyDescent="0.25">
      <c r="A142" s="37"/>
      <c r="B142" s="37"/>
      <c r="C142" s="37"/>
    </row>
    <row r="143" spans="1:3" x14ac:dyDescent="0.25">
      <c r="A143" s="37"/>
      <c r="B143" s="37"/>
      <c r="C143" s="37"/>
    </row>
    <row r="144" spans="1:3" x14ac:dyDescent="0.25">
      <c r="A144" s="37"/>
      <c r="B144" s="37"/>
      <c r="C144" s="37"/>
    </row>
    <row r="145" spans="1:3" x14ac:dyDescent="0.25">
      <c r="A145" s="37"/>
      <c r="B145" s="37"/>
      <c r="C145" s="37"/>
    </row>
    <row r="146" spans="1:3" x14ac:dyDescent="0.25">
      <c r="A146" s="37"/>
      <c r="B146" s="37"/>
      <c r="C146" s="37"/>
    </row>
    <row r="147" spans="1:3" x14ac:dyDescent="0.25">
      <c r="A147" s="37"/>
      <c r="B147" s="37"/>
      <c r="C147" s="37"/>
    </row>
    <row r="148" spans="1:3" x14ac:dyDescent="0.25">
      <c r="A148" s="37"/>
      <c r="B148" s="37"/>
      <c r="C148" s="37"/>
    </row>
    <row r="149" spans="1:3" x14ac:dyDescent="0.25">
      <c r="A149" s="37"/>
      <c r="B149" s="37"/>
      <c r="C149" s="37"/>
    </row>
    <row r="150" spans="1:3" x14ac:dyDescent="0.25">
      <c r="A150" s="37"/>
      <c r="B150" s="37"/>
      <c r="C150" s="37"/>
    </row>
    <row r="151" spans="1:3" x14ac:dyDescent="0.25">
      <c r="A151" s="37"/>
      <c r="B151" s="37"/>
      <c r="C151" s="37"/>
    </row>
    <row r="152" spans="1:3" x14ac:dyDescent="0.25">
      <c r="A152" s="37"/>
      <c r="B152" s="37"/>
      <c r="C152" s="37"/>
    </row>
    <row r="153" spans="1:3" x14ac:dyDescent="0.25">
      <c r="A153" s="37"/>
      <c r="B153" s="37"/>
      <c r="C153" s="37"/>
    </row>
    <row r="154" spans="1:3" x14ac:dyDescent="0.25">
      <c r="A154" s="37"/>
      <c r="B154" s="37"/>
      <c r="C154" s="37"/>
    </row>
    <row r="155" spans="1:3" x14ac:dyDescent="0.25">
      <c r="A155" s="37"/>
      <c r="B155" s="37"/>
      <c r="C155" s="37"/>
    </row>
    <row r="156" spans="1:3" x14ac:dyDescent="0.25">
      <c r="A156" s="37"/>
      <c r="B156" s="37"/>
      <c r="C156" s="37"/>
    </row>
    <row r="157" spans="1:3" x14ac:dyDescent="0.25">
      <c r="A157" s="37"/>
      <c r="B157" s="37"/>
      <c r="C157" s="37"/>
    </row>
    <row r="158" spans="1:3" x14ac:dyDescent="0.25">
      <c r="A158" s="37"/>
      <c r="B158" s="37"/>
      <c r="C158" s="37"/>
    </row>
    <row r="159" spans="1:3" x14ac:dyDescent="0.25">
      <c r="A159" s="37"/>
      <c r="B159" s="37"/>
      <c r="C159" s="37"/>
    </row>
    <row r="160" spans="1:3" x14ac:dyDescent="0.25">
      <c r="A160" s="37"/>
      <c r="B160" s="37"/>
      <c r="C160" s="37"/>
    </row>
    <row r="161" spans="1:3" x14ac:dyDescent="0.25">
      <c r="A161" s="37"/>
      <c r="B161" s="37"/>
      <c r="C161" s="37"/>
    </row>
    <row r="162" spans="1:3" x14ac:dyDescent="0.25">
      <c r="A162" s="37"/>
      <c r="B162" s="37"/>
      <c r="C162" s="37"/>
    </row>
    <row r="163" spans="1:3" x14ac:dyDescent="0.25">
      <c r="A163" s="37"/>
      <c r="B163" s="37"/>
      <c r="C163" s="37"/>
    </row>
    <row r="164" spans="1:3" x14ac:dyDescent="0.25">
      <c r="A164" s="37"/>
      <c r="B164" s="37"/>
      <c r="C164" s="37"/>
    </row>
    <row r="165" spans="1:3" x14ac:dyDescent="0.25">
      <c r="A165" s="37"/>
      <c r="B165" s="37"/>
      <c r="C165" s="37"/>
    </row>
    <row r="166" spans="1:3" x14ac:dyDescent="0.25">
      <c r="A166" s="37"/>
      <c r="B166" s="37"/>
      <c r="C166" s="37"/>
    </row>
    <row r="167" spans="1:3" x14ac:dyDescent="0.25">
      <c r="A167" s="37"/>
      <c r="B167" s="37"/>
      <c r="C167" s="37"/>
    </row>
    <row r="168" spans="1:3" x14ac:dyDescent="0.25">
      <c r="A168" s="37"/>
      <c r="B168" s="37"/>
      <c r="C168" s="37"/>
    </row>
    <row r="169" spans="1:3" x14ac:dyDescent="0.25">
      <c r="A169" s="37"/>
      <c r="B169" s="37"/>
      <c r="C169" s="37"/>
    </row>
    <row r="170" spans="1:3" x14ac:dyDescent="0.25">
      <c r="A170" s="37"/>
      <c r="B170" s="37"/>
      <c r="C170" s="37"/>
    </row>
    <row r="171" spans="1:3" x14ac:dyDescent="0.25">
      <c r="A171" s="37"/>
      <c r="B171" s="37"/>
      <c r="C171" s="37"/>
    </row>
    <row r="172" spans="1:3" x14ac:dyDescent="0.25">
      <c r="A172" s="37"/>
      <c r="B172" s="37"/>
      <c r="C172" s="37"/>
    </row>
    <row r="173" spans="1:3" x14ac:dyDescent="0.25">
      <c r="A173" s="37"/>
      <c r="B173" s="37"/>
      <c r="C173" s="37"/>
    </row>
    <row r="174" spans="1:3" x14ac:dyDescent="0.25">
      <c r="A174" s="37"/>
      <c r="B174" s="37"/>
      <c r="C174" s="37"/>
    </row>
    <row r="175" spans="1:3" x14ac:dyDescent="0.25">
      <c r="A175" s="37"/>
      <c r="B175" s="37"/>
      <c r="C175" s="37"/>
    </row>
    <row r="176" spans="1:3" x14ac:dyDescent="0.25">
      <c r="A176" s="37"/>
      <c r="B176" s="37"/>
      <c r="C176" s="37"/>
    </row>
    <row r="177" spans="1:3" x14ac:dyDescent="0.25">
      <c r="A177" s="37"/>
      <c r="B177" s="37"/>
      <c r="C177" s="37"/>
    </row>
    <row r="178" spans="1:3" x14ac:dyDescent="0.25">
      <c r="A178" s="37"/>
      <c r="B178" s="37"/>
      <c r="C178" s="37"/>
    </row>
    <row r="179" spans="1:3" x14ac:dyDescent="0.25">
      <c r="A179" s="37"/>
      <c r="B179" s="37"/>
      <c r="C179" s="37"/>
    </row>
    <row r="180" spans="1:3" x14ac:dyDescent="0.25">
      <c r="A180" s="37"/>
      <c r="B180" s="37"/>
      <c r="C180" s="37"/>
    </row>
    <row r="181" spans="1:3" x14ac:dyDescent="0.25">
      <c r="A181" s="37"/>
      <c r="B181" s="37"/>
      <c r="C181" s="37"/>
    </row>
    <row r="182" spans="1:3" x14ac:dyDescent="0.25">
      <c r="A182" s="37"/>
      <c r="B182" s="37"/>
      <c r="C182" s="37"/>
    </row>
    <row r="183" spans="1:3" x14ac:dyDescent="0.25">
      <c r="A183" s="37"/>
      <c r="B183" s="37"/>
      <c r="C183" s="37"/>
    </row>
    <row r="184" spans="1:3" x14ac:dyDescent="0.25">
      <c r="A184" s="37"/>
      <c r="B184" s="37"/>
      <c r="C184" s="37"/>
    </row>
    <row r="185" spans="1:3" x14ac:dyDescent="0.25">
      <c r="A185" s="37"/>
      <c r="B185" s="37"/>
      <c r="C185" s="37"/>
    </row>
    <row r="186" spans="1:3" x14ac:dyDescent="0.25">
      <c r="A186" s="37"/>
      <c r="B186" s="37"/>
      <c r="C186" s="37"/>
    </row>
    <row r="187" spans="1:3" x14ac:dyDescent="0.25">
      <c r="A187" s="37"/>
      <c r="B187" s="37"/>
      <c r="C187" s="37"/>
    </row>
    <row r="188" spans="1:3" x14ac:dyDescent="0.25">
      <c r="A188" s="37"/>
      <c r="B188" s="37"/>
      <c r="C188" s="37"/>
    </row>
    <row r="189" spans="1:3" x14ac:dyDescent="0.25">
      <c r="A189" s="37"/>
      <c r="B189" s="37"/>
      <c r="C189" s="37"/>
    </row>
    <row r="190" spans="1:3" x14ac:dyDescent="0.25">
      <c r="A190" s="37"/>
      <c r="B190" s="37"/>
      <c r="C190" s="37"/>
    </row>
    <row r="191" spans="1:3" x14ac:dyDescent="0.25">
      <c r="A191" s="37"/>
      <c r="B191" s="37"/>
      <c r="C191" s="37"/>
    </row>
    <row r="192" spans="1:3" x14ac:dyDescent="0.25">
      <c r="A192" s="37"/>
      <c r="B192" s="37"/>
      <c r="C192" s="37"/>
    </row>
    <row r="193" spans="1:3" x14ac:dyDescent="0.25">
      <c r="A193" s="37"/>
      <c r="B193" s="37"/>
      <c r="C193" s="37"/>
    </row>
    <row r="194" spans="1:3" x14ac:dyDescent="0.25">
      <c r="A194" s="37"/>
      <c r="B194" s="37"/>
      <c r="C194" s="37"/>
    </row>
    <row r="195" spans="1:3" x14ac:dyDescent="0.25">
      <c r="A195" s="37"/>
      <c r="B195" s="37"/>
      <c r="C195" s="37"/>
    </row>
    <row r="196" spans="1:3" x14ac:dyDescent="0.25">
      <c r="A196" s="37"/>
      <c r="B196" s="37"/>
      <c r="C196" s="37"/>
    </row>
    <row r="197" spans="1:3" x14ac:dyDescent="0.25">
      <c r="A197" s="37"/>
      <c r="B197" s="37"/>
      <c r="C197" s="37"/>
    </row>
    <row r="198" spans="1:3" x14ac:dyDescent="0.25">
      <c r="A198" s="37"/>
      <c r="B198" s="37"/>
      <c r="C198" s="37"/>
    </row>
    <row r="199" spans="1:3" x14ac:dyDescent="0.25">
      <c r="A199" s="37"/>
      <c r="B199" s="37"/>
      <c r="C199" s="37"/>
    </row>
    <row r="200" spans="1:3" x14ac:dyDescent="0.25">
      <c r="A200" s="37"/>
      <c r="B200" s="37"/>
      <c r="C200" s="37"/>
    </row>
    <row r="201" spans="1:3" x14ac:dyDescent="0.25">
      <c r="A201" s="37"/>
      <c r="B201" s="37"/>
      <c r="C201" s="37"/>
    </row>
    <row r="202" spans="1:3" x14ac:dyDescent="0.25">
      <c r="A202" s="37"/>
      <c r="B202" s="37"/>
      <c r="C202" s="37"/>
    </row>
    <row r="203" spans="1:3" x14ac:dyDescent="0.25">
      <c r="A203" s="37"/>
      <c r="B203" s="37"/>
      <c r="C203" s="37"/>
    </row>
    <row r="204" spans="1:3" x14ac:dyDescent="0.25">
      <c r="A204" s="37"/>
      <c r="B204" s="37"/>
      <c r="C204" s="37"/>
    </row>
    <row r="205" spans="1:3" x14ac:dyDescent="0.25">
      <c r="A205" s="37"/>
      <c r="B205" s="37"/>
      <c r="C205" s="37"/>
    </row>
    <row r="206" spans="1:3" x14ac:dyDescent="0.25">
      <c r="A206" s="37"/>
      <c r="B206" s="37"/>
      <c r="C206" s="37"/>
    </row>
    <row r="207" spans="1:3" x14ac:dyDescent="0.25">
      <c r="A207" s="37"/>
      <c r="B207" s="37"/>
      <c r="C207" s="37"/>
    </row>
    <row r="208" spans="1:3" x14ac:dyDescent="0.25">
      <c r="A208" s="37"/>
      <c r="B208" s="37"/>
      <c r="C208" s="37"/>
    </row>
    <row r="209" spans="1:3" x14ac:dyDescent="0.25">
      <c r="A209" s="37"/>
      <c r="B209" s="37"/>
      <c r="C209" s="37"/>
    </row>
    <row r="210" spans="1:3" x14ac:dyDescent="0.25">
      <c r="A210" s="37"/>
      <c r="B210" s="37"/>
      <c r="C210" s="37"/>
    </row>
    <row r="211" spans="1:3" x14ac:dyDescent="0.25">
      <c r="A211" s="37"/>
      <c r="B211" s="37"/>
      <c r="C211" s="37"/>
    </row>
    <row r="212" spans="1:3" x14ac:dyDescent="0.25">
      <c r="A212" s="37"/>
      <c r="B212" s="37"/>
      <c r="C212" s="37"/>
    </row>
    <row r="213" spans="1:3" x14ac:dyDescent="0.25">
      <c r="A213" s="37"/>
      <c r="B213" s="37"/>
      <c r="C213" s="37"/>
    </row>
    <row r="214" spans="1:3" x14ac:dyDescent="0.25">
      <c r="A214" s="37"/>
      <c r="B214" s="37"/>
      <c r="C214" s="37"/>
    </row>
    <row r="215" spans="1:3" x14ac:dyDescent="0.25">
      <c r="A215" s="37"/>
      <c r="B215" s="37"/>
      <c r="C215" s="37"/>
    </row>
    <row r="216" spans="1:3" x14ac:dyDescent="0.25">
      <c r="A216" s="37"/>
      <c r="B216" s="37"/>
      <c r="C216" s="37"/>
    </row>
    <row r="217" spans="1:3" x14ac:dyDescent="0.25">
      <c r="A217" s="37"/>
      <c r="B217" s="37"/>
      <c r="C217" s="37"/>
    </row>
    <row r="218" spans="1:3" x14ac:dyDescent="0.25">
      <c r="A218" s="37"/>
      <c r="B218" s="37"/>
      <c r="C218" s="37"/>
    </row>
    <row r="219" spans="1:3" x14ac:dyDescent="0.25">
      <c r="A219" s="37"/>
      <c r="B219" s="37"/>
      <c r="C219" s="37"/>
    </row>
    <row r="220" spans="1:3" x14ac:dyDescent="0.25">
      <c r="A220" s="37"/>
      <c r="B220" s="37"/>
      <c r="C220" s="37"/>
    </row>
    <row r="221" spans="1:3" x14ac:dyDescent="0.25">
      <c r="A221" s="37"/>
      <c r="B221" s="37"/>
      <c r="C221" s="37"/>
    </row>
    <row r="222" spans="1:3" x14ac:dyDescent="0.25">
      <c r="A222" s="37"/>
      <c r="B222" s="37"/>
      <c r="C222" s="37"/>
    </row>
    <row r="223" spans="1:3" x14ac:dyDescent="0.25">
      <c r="A223" s="37"/>
      <c r="B223" s="37"/>
      <c r="C223" s="37"/>
    </row>
    <row r="224" spans="1:3" x14ac:dyDescent="0.25">
      <c r="A224" s="37"/>
      <c r="B224" s="37"/>
      <c r="C224" s="37"/>
    </row>
    <row r="225" spans="1:3" x14ac:dyDescent="0.25">
      <c r="A225" s="37"/>
      <c r="B225" s="37"/>
      <c r="C225" s="37"/>
    </row>
    <row r="226" spans="1:3" x14ac:dyDescent="0.25">
      <c r="A226" s="37"/>
      <c r="B226" s="37"/>
      <c r="C226" s="37"/>
    </row>
    <row r="227" spans="1:3" x14ac:dyDescent="0.25">
      <c r="A227" s="37"/>
      <c r="B227" s="37"/>
      <c r="C227" s="37"/>
    </row>
    <row r="228" spans="1:3" x14ac:dyDescent="0.25">
      <c r="A228" s="37"/>
      <c r="B228" s="37"/>
      <c r="C228" s="37"/>
    </row>
    <row r="229" spans="1:3" x14ac:dyDescent="0.25">
      <c r="A229" s="37"/>
      <c r="B229" s="37"/>
      <c r="C229" s="37"/>
    </row>
    <row r="230" spans="1:3" x14ac:dyDescent="0.25">
      <c r="A230" s="37"/>
      <c r="B230" s="37"/>
      <c r="C230" s="37"/>
    </row>
    <row r="231" spans="1:3" x14ac:dyDescent="0.25">
      <c r="A231" s="37"/>
      <c r="B231" s="37"/>
      <c r="C231" s="37"/>
    </row>
    <row r="232" spans="1:3" x14ac:dyDescent="0.25">
      <c r="A232" s="37"/>
      <c r="B232" s="37"/>
      <c r="C232" s="37"/>
    </row>
    <row r="233" spans="1:3" x14ac:dyDescent="0.25">
      <c r="A233" s="37"/>
      <c r="B233" s="37"/>
      <c r="C233" s="37"/>
    </row>
    <row r="234" spans="1:3" x14ac:dyDescent="0.25">
      <c r="A234" s="37"/>
      <c r="B234" s="37"/>
      <c r="C234" s="37"/>
    </row>
    <row r="235" spans="1:3" x14ac:dyDescent="0.25">
      <c r="A235" s="37"/>
      <c r="B235" s="37"/>
      <c r="C235" s="37"/>
    </row>
    <row r="236" spans="1:3" x14ac:dyDescent="0.25">
      <c r="A236" s="37"/>
      <c r="B236" s="37"/>
      <c r="C236" s="37"/>
    </row>
    <row r="237" spans="1:3" x14ac:dyDescent="0.25">
      <c r="A237" s="37"/>
      <c r="B237" s="37"/>
      <c r="C237" s="37"/>
    </row>
    <row r="238" spans="1:3" x14ac:dyDescent="0.25">
      <c r="A238" s="37"/>
      <c r="B238" s="37"/>
      <c r="C238" s="37"/>
    </row>
    <row r="239" spans="1:3" x14ac:dyDescent="0.25">
      <c r="A239" s="37"/>
      <c r="B239" s="37"/>
      <c r="C239" s="37"/>
    </row>
    <row r="240" spans="1:3" x14ac:dyDescent="0.25">
      <c r="A240" s="37"/>
      <c r="B240" s="37"/>
      <c r="C240" s="37"/>
    </row>
    <row r="241" spans="1:3" x14ac:dyDescent="0.25">
      <c r="A241" s="37"/>
      <c r="B241" s="37"/>
      <c r="C241" s="37"/>
    </row>
    <row r="242" spans="1:3" x14ac:dyDescent="0.25">
      <c r="A242" s="37"/>
      <c r="B242" s="37"/>
      <c r="C242" s="37"/>
    </row>
    <row r="243" spans="1:3" x14ac:dyDescent="0.25">
      <c r="A243" s="37"/>
      <c r="B243" s="37"/>
      <c r="C243" s="37"/>
    </row>
    <row r="244" spans="1:3" x14ac:dyDescent="0.25">
      <c r="A244" s="37"/>
      <c r="B244" s="37"/>
      <c r="C244" s="37"/>
    </row>
    <row r="245" spans="1:3" x14ac:dyDescent="0.25">
      <c r="A245" s="37"/>
      <c r="B245" s="37"/>
      <c r="C245" s="37"/>
    </row>
    <row r="246" spans="1:3" x14ac:dyDescent="0.25">
      <c r="A246" s="37"/>
      <c r="B246" s="37"/>
      <c r="C246" s="37"/>
    </row>
    <row r="247" spans="1:3" x14ac:dyDescent="0.25">
      <c r="A247" s="37"/>
      <c r="B247" s="37"/>
      <c r="C247" s="37"/>
    </row>
    <row r="248" spans="1:3" x14ac:dyDescent="0.25">
      <c r="A248" s="37"/>
      <c r="B248" s="37"/>
      <c r="C248" s="37"/>
    </row>
    <row r="249" spans="1:3" x14ac:dyDescent="0.25">
      <c r="A249" s="37"/>
      <c r="B249" s="37"/>
      <c r="C249" s="37"/>
    </row>
    <row r="250" spans="1:3" x14ac:dyDescent="0.25">
      <c r="A250" s="37"/>
      <c r="B250" s="37"/>
      <c r="C250" s="37"/>
    </row>
    <row r="251" spans="1:3" x14ac:dyDescent="0.25">
      <c r="A251" s="37"/>
      <c r="B251" s="37"/>
      <c r="C251" s="37"/>
    </row>
    <row r="252" spans="1:3" x14ac:dyDescent="0.25">
      <c r="A252" s="37"/>
      <c r="B252" s="37"/>
      <c r="C252" s="37"/>
    </row>
    <row r="253" spans="1:3" x14ac:dyDescent="0.25">
      <c r="A253" s="37"/>
      <c r="B253" s="37"/>
      <c r="C253" s="37"/>
    </row>
    <row r="254" spans="1:3" x14ac:dyDescent="0.25">
      <c r="A254" s="37"/>
      <c r="B254" s="37"/>
      <c r="C254" s="37"/>
    </row>
    <row r="255" spans="1:3" x14ac:dyDescent="0.25">
      <c r="A255" s="37"/>
      <c r="B255" s="37"/>
      <c r="C255" s="37"/>
    </row>
    <row r="256" spans="1:3" x14ac:dyDescent="0.25">
      <c r="A256" s="37"/>
      <c r="B256" s="37"/>
      <c r="C256" s="37"/>
    </row>
    <row r="257" spans="1:3" x14ac:dyDescent="0.25">
      <c r="A257" s="37"/>
      <c r="B257" s="37"/>
      <c r="C257" s="37"/>
    </row>
    <row r="258" spans="1:3" x14ac:dyDescent="0.25">
      <c r="A258" s="37"/>
      <c r="B258" s="37"/>
      <c r="C258" s="37"/>
    </row>
    <row r="259" spans="1:3" x14ac:dyDescent="0.25">
      <c r="A259" s="37"/>
      <c r="B259" s="37"/>
      <c r="C259" s="37"/>
    </row>
    <row r="260" spans="1:3" x14ac:dyDescent="0.25">
      <c r="A260" s="37"/>
      <c r="B260" s="37"/>
      <c r="C260" s="37"/>
    </row>
    <row r="261" spans="1:3" x14ac:dyDescent="0.25">
      <c r="A261" s="37"/>
      <c r="B261" s="37"/>
      <c r="C261" s="37"/>
    </row>
    <row r="262" spans="1:3" x14ac:dyDescent="0.25">
      <c r="A262" s="37"/>
      <c r="B262" s="37"/>
      <c r="C262" s="37"/>
    </row>
    <row r="263" spans="1:3" x14ac:dyDescent="0.25">
      <c r="A263" s="37"/>
      <c r="B263" s="37"/>
      <c r="C263" s="37"/>
    </row>
    <row r="264" spans="1:3" x14ac:dyDescent="0.25">
      <c r="A264" s="37"/>
      <c r="B264" s="37"/>
      <c r="C264" s="37"/>
    </row>
    <row r="265" spans="1:3" x14ac:dyDescent="0.25">
      <c r="A265" s="37"/>
      <c r="B265" s="37"/>
      <c r="C265" s="37"/>
    </row>
    <row r="266" spans="1:3" x14ac:dyDescent="0.25">
      <c r="A266" s="37"/>
      <c r="B266" s="37"/>
      <c r="C266" s="37"/>
    </row>
    <row r="267" spans="1:3" x14ac:dyDescent="0.25">
      <c r="A267" s="37"/>
      <c r="B267" s="37"/>
      <c r="C267" s="37"/>
    </row>
    <row r="268" spans="1:3" x14ac:dyDescent="0.25">
      <c r="A268" s="37"/>
      <c r="B268" s="37"/>
      <c r="C268" s="37"/>
    </row>
    <row r="269" spans="1:3" x14ac:dyDescent="0.25">
      <c r="A269" s="37"/>
      <c r="B269" s="37"/>
      <c r="C269" s="37"/>
    </row>
    <row r="270" spans="1:3" x14ac:dyDescent="0.25">
      <c r="A270" s="37"/>
      <c r="B270" s="37"/>
      <c r="C270" s="37"/>
    </row>
    <row r="271" spans="1:3" x14ac:dyDescent="0.25">
      <c r="A271" s="37"/>
      <c r="B271" s="37"/>
      <c r="C271" s="37"/>
    </row>
    <row r="272" spans="1:3" x14ac:dyDescent="0.25">
      <c r="A272" s="37"/>
      <c r="B272" s="37"/>
      <c r="C272" s="37"/>
    </row>
    <row r="273" spans="1:3" x14ac:dyDescent="0.25">
      <c r="A273" s="37"/>
      <c r="B273" s="37"/>
      <c r="C273" s="37"/>
    </row>
    <row r="274" spans="1:3" x14ac:dyDescent="0.25">
      <c r="A274" s="37"/>
      <c r="B274" s="37"/>
      <c r="C274" s="37"/>
    </row>
    <row r="275" spans="1:3" x14ac:dyDescent="0.25">
      <c r="A275" s="37"/>
      <c r="B275" s="37"/>
      <c r="C275" s="37"/>
    </row>
    <row r="276" spans="1:3" x14ac:dyDescent="0.25">
      <c r="A276" s="37"/>
      <c r="B276" s="37"/>
      <c r="C276" s="37"/>
    </row>
    <row r="277" spans="1:3" x14ac:dyDescent="0.25">
      <c r="A277" s="37"/>
      <c r="B277" s="37"/>
      <c r="C277" s="37"/>
    </row>
    <row r="278" spans="1:3" x14ac:dyDescent="0.25">
      <c r="A278" s="37"/>
      <c r="B278" s="37"/>
      <c r="C278" s="37"/>
    </row>
    <row r="279" spans="1:3" x14ac:dyDescent="0.25">
      <c r="A279" s="37"/>
      <c r="B279" s="37"/>
      <c r="C279" s="37"/>
    </row>
    <row r="280" spans="1:3" x14ac:dyDescent="0.25">
      <c r="A280" s="37"/>
      <c r="B280" s="37"/>
      <c r="C280" s="37"/>
    </row>
    <row r="281" spans="1:3" x14ac:dyDescent="0.25">
      <c r="A281" s="37"/>
      <c r="B281" s="37"/>
      <c r="C281" s="37"/>
    </row>
    <row r="282" spans="1:3" x14ac:dyDescent="0.25">
      <c r="A282" s="37"/>
      <c r="B282" s="37"/>
      <c r="C282" s="37"/>
    </row>
    <row r="283" spans="1:3" x14ac:dyDescent="0.25">
      <c r="A283" s="37"/>
      <c r="B283" s="37"/>
      <c r="C283" s="37"/>
    </row>
    <row r="284" spans="1:3" x14ac:dyDescent="0.25">
      <c r="A284" s="37"/>
      <c r="B284" s="37"/>
      <c r="C284" s="37"/>
    </row>
    <row r="285" spans="1:3" x14ac:dyDescent="0.25">
      <c r="A285" s="37"/>
      <c r="B285" s="37"/>
      <c r="C285" s="37"/>
    </row>
    <row r="286" spans="1:3" x14ac:dyDescent="0.25">
      <c r="A286" s="37"/>
      <c r="B286" s="37"/>
      <c r="C286" s="37"/>
    </row>
    <row r="287" spans="1:3" x14ac:dyDescent="0.25">
      <c r="A287" s="37"/>
      <c r="B287" s="37"/>
      <c r="C287" s="37"/>
    </row>
    <row r="288" spans="1:3" x14ac:dyDescent="0.25">
      <c r="A288" s="37"/>
      <c r="B288" s="37"/>
      <c r="C288" s="37"/>
    </row>
    <row r="289" spans="1:3" x14ac:dyDescent="0.25">
      <c r="A289" s="37"/>
      <c r="B289" s="37"/>
      <c r="C289" s="37"/>
    </row>
    <row r="290" spans="1:3" x14ac:dyDescent="0.25">
      <c r="A290" s="37"/>
      <c r="B290" s="37"/>
      <c r="C290" s="37"/>
    </row>
    <row r="291" spans="1:3" x14ac:dyDescent="0.25">
      <c r="A291" s="37"/>
      <c r="B291" s="37"/>
      <c r="C291" s="37"/>
    </row>
    <row r="292" spans="1:3" x14ac:dyDescent="0.25">
      <c r="A292" s="37"/>
      <c r="B292" s="37"/>
      <c r="C292" s="37"/>
    </row>
    <row r="293" spans="1:3" x14ac:dyDescent="0.25">
      <c r="A293" s="37"/>
      <c r="B293" s="37"/>
      <c r="C293" s="37"/>
    </row>
    <row r="294" spans="1:3" x14ac:dyDescent="0.25">
      <c r="A294" s="37"/>
      <c r="B294" s="37"/>
      <c r="C294" s="37"/>
    </row>
    <row r="295" spans="1:3" x14ac:dyDescent="0.25">
      <c r="A295" s="37"/>
      <c r="B295" s="37"/>
      <c r="C295" s="37"/>
    </row>
    <row r="296" spans="1:3" x14ac:dyDescent="0.25">
      <c r="A296" s="37"/>
      <c r="B296" s="37"/>
      <c r="C296" s="37"/>
    </row>
  </sheetData>
  <sheetProtection algorithmName="SHA-512" hashValue="Yjtx2a8SuJ2qtK9N4SD4Pcumpt3AVzPqxF3zG7ZUTvPZd7m6NQp81JVHa8zykCBf8LAEbITMSXInLwChLhTnRA==" saltValue="W6q8Mbb7ygwg9SFXjGeyhw=="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85"/>
  <sheetViews>
    <sheetView workbookViewId="0">
      <selection activeCell="A3" sqref="A3"/>
    </sheetView>
  </sheetViews>
  <sheetFormatPr defaultRowHeight="15" x14ac:dyDescent="0.25"/>
  <cols>
    <col min="1" max="1" width="25.28515625" style="58" bestFit="1" customWidth="1"/>
    <col min="2" max="2" width="12" style="58" bestFit="1" customWidth="1"/>
    <col min="3" max="3" width="38.28515625" style="58" bestFit="1" customWidth="1"/>
    <col min="4" max="4" width="34.7109375" style="58" bestFit="1" customWidth="1"/>
    <col min="5" max="5" width="15.5703125" style="58" customWidth="1"/>
    <col min="6" max="6" width="35.28515625" style="58" bestFit="1" customWidth="1"/>
    <col min="7" max="7" width="18.42578125" style="58" bestFit="1" customWidth="1"/>
    <col min="8" max="8" width="1.140625" style="58" customWidth="1"/>
    <col min="9" max="14" width="9.28515625" style="37"/>
    <col min="15" max="26" width="9.28515625" style="58"/>
  </cols>
  <sheetData>
    <row r="1" spans="1:26" s="63" customFormat="1" ht="31.5" x14ac:dyDescent="0.25">
      <c r="A1" s="60" t="s">
        <v>104</v>
      </c>
      <c r="B1" s="60" t="s">
        <v>36</v>
      </c>
      <c r="C1" s="61" t="s">
        <v>10</v>
      </c>
      <c r="D1" s="64" t="s">
        <v>108</v>
      </c>
      <c r="E1" s="64" t="s">
        <v>109</v>
      </c>
      <c r="F1" s="60" t="s">
        <v>34</v>
      </c>
      <c r="G1" s="64" t="s">
        <v>110</v>
      </c>
      <c r="H1" s="62"/>
      <c r="I1" s="65"/>
      <c r="J1" s="65"/>
      <c r="K1" s="65"/>
      <c r="L1" s="65"/>
      <c r="M1" s="65"/>
      <c r="N1" s="65"/>
      <c r="O1" s="62"/>
      <c r="P1" s="62"/>
      <c r="Q1" s="62"/>
      <c r="R1" s="62"/>
      <c r="S1" s="62"/>
      <c r="T1" s="62"/>
      <c r="U1" s="62"/>
      <c r="V1" s="62"/>
      <c r="W1" s="62"/>
      <c r="X1" s="62"/>
      <c r="Y1" s="62"/>
      <c r="Z1" s="62"/>
    </row>
    <row r="2" spans="1:26" x14ac:dyDescent="0.25">
      <c r="A2" t="s">
        <v>130</v>
      </c>
      <c r="B2" t="s">
        <v>131</v>
      </c>
      <c r="C2" t="s">
        <v>132</v>
      </c>
      <c r="E2"/>
      <c r="F2" t="s">
        <v>134</v>
      </c>
      <c r="G2" s="77" t="s">
        <v>133</v>
      </c>
    </row>
    <row r="3" spans="1:26" ht="15.75" thickBot="1" x14ac:dyDescent="0.3">
      <c r="A3" s="78"/>
      <c r="B3" s="78"/>
      <c r="C3" s="78"/>
      <c r="D3" s="79"/>
      <c r="E3" s="78"/>
      <c r="F3" s="78"/>
      <c r="G3" s="80"/>
    </row>
    <row r="4" spans="1:26" x14ac:dyDescent="0.25">
      <c r="A4" s="81"/>
      <c r="B4" s="81"/>
      <c r="C4" s="81"/>
      <c r="D4" s="82"/>
      <c r="E4" s="81"/>
      <c r="F4" s="81"/>
      <c r="G4" s="80"/>
      <c r="I4" s="117" t="s">
        <v>125</v>
      </c>
      <c r="J4" s="118"/>
      <c r="K4" s="118"/>
      <c r="L4" s="118"/>
      <c r="M4" s="119"/>
    </row>
    <row r="5" spans="1:26" x14ac:dyDescent="0.25">
      <c r="A5" s="81"/>
      <c r="B5" s="81"/>
      <c r="C5" s="81"/>
      <c r="D5" s="82"/>
      <c r="E5" s="81"/>
      <c r="F5" s="81"/>
      <c r="G5" s="80"/>
      <c r="I5" s="120"/>
      <c r="J5" s="121"/>
      <c r="K5" s="121"/>
      <c r="L5" s="121"/>
      <c r="M5" s="122"/>
    </row>
    <row r="6" spans="1:26" x14ac:dyDescent="0.25">
      <c r="A6" s="81"/>
      <c r="B6" s="81"/>
      <c r="C6" s="81"/>
      <c r="D6" s="82"/>
      <c r="E6" s="81"/>
      <c r="F6" s="81"/>
      <c r="G6" s="80"/>
      <c r="I6" s="120"/>
      <c r="J6" s="121"/>
      <c r="K6" s="121"/>
      <c r="L6" s="121"/>
      <c r="M6" s="122"/>
    </row>
    <row r="7" spans="1:26" x14ac:dyDescent="0.25">
      <c r="A7" s="81"/>
      <c r="B7" s="81"/>
      <c r="C7" s="81"/>
      <c r="D7" s="82"/>
      <c r="E7" s="81"/>
      <c r="F7" s="81"/>
      <c r="G7" s="80"/>
      <c r="I7" s="120"/>
      <c r="J7" s="121"/>
      <c r="K7" s="121"/>
      <c r="L7" s="121"/>
      <c r="M7" s="122"/>
    </row>
    <row r="8" spans="1:26" x14ac:dyDescent="0.25">
      <c r="A8" s="81"/>
      <c r="B8" s="81"/>
      <c r="C8" s="81"/>
      <c r="D8" s="82"/>
      <c r="E8" s="81"/>
      <c r="F8" s="81"/>
      <c r="G8" s="80"/>
      <c r="I8" s="120"/>
      <c r="J8" s="121"/>
      <c r="K8" s="121"/>
      <c r="L8" s="121"/>
      <c r="M8" s="122"/>
    </row>
    <row r="9" spans="1:26" x14ac:dyDescent="0.25">
      <c r="A9" s="81"/>
      <c r="B9" s="81"/>
      <c r="C9" s="81"/>
      <c r="D9" s="82"/>
      <c r="E9" s="81"/>
      <c r="F9" s="81"/>
      <c r="G9" s="80"/>
      <c r="I9" s="120"/>
      <c r="J9" s="121"/>
      <c r="K9" s="121"/>
      <c r="L9" s="121"/>
      <c r="M9" s="122"/>
    </row>
    <row r="10" spans="1:26" x14ac:dyDescent="0.25">
      <c r="A10" s="81"/>
      <c r="B10" s="81"/>
      <c r="C10" s="81"/>
      <c r="D10" s="82"/>
      <c r="E10" s="81"/>
      <c r="F10" s="81"/>
      <c r="G10" s="80"/>
      <c r="I10" s="120"/>
      <c r="J10" s="121"/>
      <c r="K10" s="121"/>
      <c r="L10" s="121"/>
      <c r="M10" s="122"/>
    </row>
    <row r="11" spans="1:26" x14ac:dyDescent="0.25">
      <c r="A11" s="81"/>
      <c r="B11" s="81"/>
      <c r="C11" s="81"/>
      <c r="D11" s="82"/>
      <c r="E11" s="81"/>
      <c r="F11" s="81"/>
      <c r="G11" s="80"/>
      <c r="I11" s="120"/>
      <c r="J11" s="121"/>
      <c r="K11" s="121"/>
      <c r="L11" s="121"/>
      <c r="M11" s="122"/>
    </row>
    <row r="12" spans="1:26" ht="15.75" thickBot="1" x14ac:dyDescent="0.3">
      <c r="A12" s="81"/>
      <c r="B12" s="81"/>
      <c r="C12" s="81"/>
      <c r="D12" s="82"/>
      <c r="E12" s="81"/>
      <c r="F12" s="81"/>
      <c r="G12" s="80"/>
      <c r="I12" s="123"/>
      <c r="J12" s="124"/>
      <c r="K12" s="124"/>
      <c r="L12" s="124"/>
      <c r="M12" s="125"/>
    </row>
    <row r="13" spans="1:26" x14ac:dyDescent="0.25">
      <c r="A13" s="81"/>
      <c r="B13" s="81"/>
      <c r="C13" s="81"/>
      <c r="D13" s="82"/>
      <c r="E13" s="81"/>
      <c r="F13" s="81"/>
      <c r="G13" s="80"/>
    </row>
    <row r="14" spans="1:26" x14ac:dyDescent="0.25">
      <c r="A14" s="81"/>
      <c r="B14" s="81"/>
      <c r="C14" s="81"/>
      <c r="D14" s="82"/>
      <c r="E14" s="81"/>
      <c r="F14" s="81"/>
      <c r="G14" s="80"/>
    </row>
    <row r="15" spans="1:26" x14ac:dyDescent="0.25">
      <c r="A15" s="81"/>
      <c r="B15" s="81"/>
      <c r="C15" s="81"/>
      <c r="D15" s="82"/>
      <c r="E15" s="81"/>
      <c r="F15" s="81"/>
      <c r="G15" s="80"/>
    </row>
    <row r="16" spans="1:26" x14ac:dyDescent="0.25">
      <c r="A16" s="81"/>
      <c r="B16" s="81"/>
      <c r="C16" s="81"/>
      <c r="D16" s="82"/>
      <c r="E16" s="81"/>
      <c r="F16" s="81"/>
      <c r="G16" s="80"/>
    </row>
    <row r="17" spans="1:7" x14ac:dyDescent="0.25">
      <c r="A17" s="81"/>
      <c r="B17" s="81"/>
      <c r="C17" s="81"/>
      <c r="D17" s="82"/>
      <c r="E17" s="81"/>
      <c r="F17" s="81"/>
      <c r="G17" s="80"/>
    </row>
    <row r="18" spans="1:7" x14ac:dyDescent="0.25">
      <c r="A18" s="81"/>
      <c r="B18" s="81"/>
      <c r="C18" s="81"/>
      <c r="D18" s="82"/>
      <c r="E18" s="81"/>
      <c r="F18" s="81"/>
      <c r="G18" s="80"/>
    </row>
    <row r="19" spans="1:7" x14ac:dyDescent="0.25">
      <c r="A19" s="81"/>
      <c r="B19" s="81"/>
      <c r="C19" s="81"/>
      <c r="D19" s="82"/>
      <c r="E19" s="81"/>
      <c r="F19" s="81"/>
      <c r="G19" s="80"/>
    </row>
    <row r="20" spans="1:7" x14ac:dyDescent="0.25">
      <c r="A20" s="81"/>
      <c r="B20" s="81"/>
      <c r="C20" s="81"/>
      <c r="D20" s="82"/>
      <c r="E20" s="81"/>
      <c r="F20" s="81"/>
      <c r="G20" s="80"/>
    </row>
    <row r="21" spans="1:7" x14ac:dyDescent="0.25">
      <c r="A21" s="81"/>
      <c r="B21" s="81"/>
      <c r="C21" s="81"/>
      <c r="D21" s="82"/>
      <c r="E21" s="81"/>
      <c r="F21" s="81"/>
      <c r="G21" s="80"/>
    </row>
    <row r="22" spans="1:7" x14ac:dyDescent="0.25">
      <c r="A22" s="81"/>
      <c r="B22" s="81"/>
      <c r="C22" s="81"/>
      <c r="D22" s="82"/>
      <c r="E22" s="81"/>
      <c r="F22" s="81"/>
      <c r="G22" s="80"/>
    </row>
    <row r="23" spans="1:7" x14ac:dyDescent="0.25">
      <c r="A23" s="81"/>
      <c r="B23" s="81"/>
      <c r="C23" s="81"/>
      <c r="D23" s="82"/>
      <c r="E23" s="81"/>
      <c r="F23" s="81"/>
      <c r="G23" s="80"/>
    </row>
    <row r="24" spans="1:7" x14ac:dyDescent="0.25">
      <c r="A24" s="81"/>
      <c r="B24" s="81"/>
      <c r="C24" s="81"/>
      <c r="D24" s="82"/>
      <c r="E24" s="81"/>
      <c r="F24" s="81"/>
      <c r="G24" s="80"/>
    </row>
    <row r="25" spans="1:7" x14ac:dyDescent="0.25">
      <c r="A25" s="81"/>
      <c r="B25" s="81"/>
      <c r="C25" s="81"/>
      <c r="D25" s="82"/>
      <c r="E25" s="81"/>
      <c r="F25" s="81"/>
      <c r="G25" s="80"/>
    </row>
    <row r="26" spans="1:7" x14ac:dyDescent="0.25">
      <c r="A26" s="81"/>
      <c r="B26" s="81"/>
      <c r="C26" s="81"/>
      <c r="D26" s="82"/>
      <c r="E26" s="81"/>
      <c r="F26" s="81"/>
      <c r="G26" s="80"/>
    </row>
    <row r="27" spans="1:7" x14ac:dyDescent="0.25">
      <c r="A27" s="81"/>
      <c r="B27" s="81"/>
      <c r="C27" s="81"/>
      <c r="D27" s="82"/>
      <c r="E27" s="81"/>
      <c r="F27" s="81"/>
      <c r="G27" s="80"/>
    </row>
    <row r="28" spans="1:7" x14ac:dyDescent="0.25">
      <c r="A28" s="81"/>
      <c r="B28" s="81"/>
      <c r="C28" s="81"/>
      <c r="D28" s="82"/>
      <c r="E28" s="81"/>
      <c r="F28" s="81"/>
      <c r="G28" s="80"/>
    </row>
    <row r="29" spans="1:7" x14ac:dyDescent="0.25">
      <c r="A29" s="81"/>
      <c r="B29" s="81"/>
      <c r="C29" s="81"/>
      <c r="D29" s="82"/>
      <c r="E29" s="81"/>
      <c r="F29" s="81"/>
      <c r="G29" s="80"/>
    </row>
    <row r="30" spans="1:7" x14ac:dyDescent="0.25">
      <c r="A30" s="81"/>
      <c r="B30" s="81"/>
      <c r="C30" s="81"/>
      <c r="D30" s="82"/>
      <c r="E30" s="81"/>
      <c r="F30" s="81"/>
      <c r="G30" s="80"/>
    </row>
    <row r="31" spans="1:7" x14ac:dyDescent="0.25">
      <c r="A31" s="81"/>
      <c r="B31" s="81"/>
      <c r="C31" s="81"/>
      <c r="D31" s="82"/>
      <c r="E31" s="81"/>
      <c r="F31" s="81"/>
      <c r="G31" s="80"/>
    </row>
    <row r="32" spans="1:7" x14ac:dyDescent="0.25">
      <c r="A32" s="81"/>
      <c r="B32" s="81"/>
      <c r="C32" s="81"/>
      <c r="D32" s="82"/>
      <c r="E32" s="81"/>
      <c r="F32" s="81"/>
      <c r="G32" s="80"/>
    </row>
    <row r="33" spans="1:7" x14ac:dyDescent="0.25">
      <c r="A33" s="81"/>
      <c r="B33" s="81"/>
      <c r="C33" s="81"/>
      <c r="D33" s="82"/>
      <c r="E33" s="81"/>
      <c r="F33" s="81"/>
      <c r="G33" s="80"/>
    </row>
    <row r="34" spans="1:7" x14ac:dyDescent="0.25">
      <c r="A34" s="81"/>
      <c r="B34" s="81"/>
      <c r="C34" s="81"/>
      <c r="D34" s="82"/>
      <c r="E34" s="81"/>
      <c r="F34" s="81"/>
      <c r="G34" s="80"/>
    </row>
    <row r="35" spans="1:7" x14ac:dyDescent="0.25">
      <c r="A35" s="81"/>
      <c r="B35" s="81"/>
      <c r="C35" s="81"/>
      <c r="D35" s="82"/>
      <c r="E35" s="81"/>
      <c r="F35" s="81"/>
      <c r="G35" s="80"/>
    </row>
    <row r="36" spans="1:7" x14ac:dyDescent="0.25">
      <c r="A36" s="81"/>
      <c r="B36" s="81"/>
      <c r="C36" s="81"/>
      <c r="D36" s="82"/>
      <c r="E36" s="81"/>
      <c r="F36" s="81"/>
      <c r="G36" s="80"/>
    </row>
    <row r="37" spans="1:7" x14ac:dyDescent="0.25">
      <c r="A37" s="81"/>
      <c r="B37" s="81"/>
      <c r="C37" s="81"/>
      <c r="D37" s="82"/>
      <c r="E37" s="81"/>
      <c r="F37" s="81"/>
      <c r="G37" s="80"/>
    </row>
    <row r="38" spans="1:7" x14ac:dyDescent="0.25">
      <c r="A38" s="81"/>
      <c r="B38" s="81"/>
      <c r="C38" s="81"/>
      <c r="D38" s="82"/>
      <c r="E38" s="81"/>
      <c r="F38" s="81"/>
      <c r="G38" s="80"/>
    </row>
    <row r="39" spans="1:7" x14ac:dyDescent="0.25">
      <c r="A39" s="81"/>
      <c r="B39" s="81"/>
      <c r="C39" s="81"/>
      <c r="D39" s="82"/>
      <c r="E39" s="81"/>
      <c r="F39" s="81"/>
      <c r="G39" s="80"/>
    </row>
    <row r="40" spans="1:7" x14ac:dyDescent="0.25">
      <c r="A40" s="81"/>
      <c r="B40" s="81"/>
      <c r="C40" s="81"/>
      <c r="D40" s="82"/>
      <c r="E40" s="81"/>
      <c r="F40" s="81"/>
      <c r="G40" s="80"/>
    </row>
    <row r="41" spans="1:7" x14ac:dyDescent="0.25">
      <c r="A41" s="81"/>
      <c r="B41" s="81"/>
      <c r="C41" s="81"/>
      <c r="D41" s="82"/>
      <c r="E41" s="81"/>
      <c r="F41" s="81"/>
      <c r="G41" s="80"/>
    </row>
    <row r="42" spans="1:7" x14ac:dyDescent="0.25">
      <c r="A42" s="81"/>
      <c r="B42" s="81"/>
      <c r="C42" s="81"/>
      <c r="D42" s="82"/>
      <c r="E42" s="81"/>
      <c r="F42" s="81"/>
      <c r="G42" s="80"/>
    </row>
    <row r="43" spans="1:7" x14ac:dyDescent="0.25">
      <c r="A43" s="81"/>
      <c r="B43" s="81"/>
      <c r="C43" s="81"/>
      <c r="D43" s="82"/>
      <c r="E43" s="81"/>
      <c r="F43" s="81"/>
      <c r="G43" s="83"/>
    </row>
    <row r="44" spans="1:7" x14ac:dyDescent="0.25">
      <c r="A44" s="81"/>
      <c r="B44" s="81"/>
      <c r="C44" s="81"/>
      <c r="D44" s="82"/>
      <c r="E44" s="81"/>
      <c r="F44" s="81"/>
      <c r="G44" s="80"/>
    </row>
    <row r="45" spans="1:7" x14ac:dyDescent="0.25">
      <c r="A45" s="81"/>
      <c r="B45" s="81"/>
      <c r="C45" s="81"/>
      <c r="D45" s="82"/>
      <c r="E45" s="81"/>
      <c r="F45" s="81"/>
      <c r="G45" s="80"/>
    </row>
    <row r="46" spans="1:7" x14ac:dyDescent="0.25">
      <c r="A46" s="81"/>
      <c r="B46" s="81"/>
      <c r="C46" s="81"/>
      <c r="D46" s="82"/>
      <c r="E46" s="81"/>
      <c r="F46" s="81"/>
      <c r="G46" s="80"/>
    </row>
    <row r="47" spans="1:7" x14ac:dyDescent="0.25">
      <c r="A47" s="81"/>
      <c r="B47" s="81"/>
      <c r="C47" s="81"/>
      <c r="D47" s="82"/>
      <c r="E47" s="81"/>
      <c r="F47" s="81"/>
      <c r="G47" s="80"/>
    </row>
    <row r="48" spans="1:7" x14ac:dyDescent="0.25">
      <c r="A48" s="81"/>
      <c r="B48" s="81"/>
      <c r="C48" s="81"/>
      <c r="D48" s="82"/>
      <c r="E48" s="81"/>
      <c r="F48" s="81"/>
      <c r="G48" s="80"/>
    </row>
    <row r="49" spans="1:7" x14ac:dyDescent="0.25">
      <c r="A49" s="81"/>
      <c r="B49" s="81"/>
      <c r="C49" s="81"/>
      <c r="D49" s="82"/>
      <c r="E49" s="81"/>
      <c r="F49" s="81"/>
      <c r="G49" s="80"/>
    </row>
    <row r="50" spans="1:7" x14ac:dyDescent="0.25">
      <c r="A50" s="81"/>
      <c r="B50" s="81"/>
      <c r="C50" s="81"/>
      <c r="D50" s="82"/>
      <c r="E50" s="81"/>
      <c r="F50" s="81"/>
      <c r="G50" s="80"/>
    </row>
    <row r="51" spans="1:7" x14ac:dyDescent="0.25">
      <c r="A51" s="81"/>
      <c r="B51" s="81"/>
      <c r="C51" s="81"/>
      <c r="D51" s="82"/>
      <c r="E51" s="81"/>
      <c r="F51" s="81"/>
      <c r="G51" s="80"/>
    </row>
    <row r="52" spans="1:7" x14ac:dyDescent="0.25">
      <c r="A52" s="81"/>
      <c r="B52" s="81"/>
      <c r="C52" s="81"/>
      <c r="D52" s="82"/>
      <c r="E52" s="81"/>
      <c r="F52" s="81"/>
      <c r="G52" s="80"/>
    </row>
    <row r="53" spans="1:7" x14ac:dyDescent="0.25">
      <c r="A53" s="81"/>
      <c r="B53" s="81"/>
      <c r="C53" s="81"/>
      <c r="D53" s="82"/>
      <c r="E53" s="81"/>
      <c r="F53" s="81"/>
      <c r="G53" s="80"/>
    </row>
    <row r="54" spans="1:7" x14ac:dyDescent="0.25">
      <c r="A54" s="81"/>
      <c r="B54" s="81"/>
      <c r="C54" s="81"/>
      <c r="D54" s="82"/>
      <c r="E54" s="81"/>
      <c r="F54" s="81"/>
      <c r="G54" s="80"/>
    </row>
    <row r="55" spans="1:7" x14ac:dyDescent="0.25">
      <c r="A55" s="81"/>
      <c r="B55" s="81"/>
      <c r="C55" s="81"/>
      <c r="D55" s="82"/>
      <c r="E55" s="81"/>
      <c r="F55" s="81"/>
      <c r="G55" s="80"/>
    </row>
    <row r="56" spans="1:7" x14ac:dyDescent="0.25">
      <c r="A56" s="78"/>
      <c r="B56" s="78"/>
      <c r="C56" s="78"/>
      <c r="D56" s="79"/>
      <c r="E56" s="78"/>
      <c r="F56" s="78"/>
      <c r="G56" s="80"/>
    </row>
    <row r="57" spans="1:7" x14ac:dyDescent="0.25">
      <c r="A57" s="78"/>
      <c r="B57" s="78"/>
      <c r="C57" s="78"/>
      <c r="D57" s="79"/>
      <c r="E57" s="78"/>
      <c r="F57" s="78"/>
      <c r="G57" s="80"/>
    </row>
    <row r="58" spans="1:7" x14ac:dyDescent="0.25">
      <c r="A58" s="78"/>
      <c r="B58" s="78"/>
      <c r="C58" s="78"/>
      <c r="D58" s="79"/>
      <c r="E58" s="78"/>
      <c r="F58" s="78"/>
      <c r="G58" s="80"/>
    </row>
    <row r="59" spans="1:7" x14ac:dyDescent="0.25">
      <c r="A59" s="78"/>
      <c r="B59" s="78"/>
      <c r="C59" s="78"/>
      <c r="D59" s="79"/>
      <c r="E59" s="78"/>
      <c r="F59" s="78"/>
      <c r="G59" s="80"/>
    </row>
    <row r="60" spans="1:7" x14ac:dyDescent="0.25">
      <c r="A60" s="78"/>
      <c r="B60" s="78"/>
      <c r="C60" s="78"/>
      <c r="D60" s="79"/>
      <c r="E60" s="78"/>
      <c r="F60" s="78"/>
      <c r="G60" s="80"/>
    </row>
    <row r="61" spans="1:7" x14ac:dyDescent="0.25">
      <c r="A61" s="78"/>
      <c r="B61" s="78"/>
      <c r="C61" s="78"/>
      <c r="D61" s="79"/>
      <c r="E61" s="78"/>
      <c r="F61" s="78"/>
      <c r="G61" s="80"/>
    </row>
    <row r="62" spans="1:7" x14ac:dyDescent="0.25">
      <c r="A62" s="78"/>
      <c r="B62" s="78"/>
      <c r="C62" s="78"/>
      <c r="D62" s="79"/>
      <c r="E62" s="78"/>
      <c r="F62" s="78"/>
      <c r="G62" s="80"/>
    </row>
    <row r="63" spans="1:7" x14ac:dyDescent="0.25">
      <c r="A63" s="78"/>
      <c r="B63" s="78"/>
      <c r="C63" s="78"/>
      <c r="D63" s="79"/>
      <c r="E63" s="78"/>
      <c r="F63" s="78"/>
      <c r="G63" s="80"/>
    </row>
    <row r="64" spans="1:7" x14ac:dyDescent="0.25">
      <c r="A64" s="78"/>
      <c r="B64" s="78"/>
      <c r="C64" s="78"/>
      <c r="D64" s="79"/>
      <c r="E64" s="78"/>
      <c r="F64" s="78"/>
      <c r="G64" s="80"/>
    </row>
    <row r="65" spans="1:7" x14ac:dyDescent="0.25">
      <c r="A65" s="78"/>
      <c r="B65" s="78"/>
      <c r="C65" s="78"/>
      <c r="D65" s="79"/>
      <c r="E65" s="78"/>
      <c r="F65" s="78"/>
      <c r="G65" s="80"/>
    </row>
    <row r="66" spans="1:7" x14ac:dyDescent="0.25">
      <c r="A66" s="78"/>
      <c r="B66" s="78"/>
      <c r="C66" s="78"/>
      <c r="D66" s="79"/>
      <c r="E66" s="78"/>
      <c r="F66" s="78"/>
      <c r="G66" s="80"/>
    </row>
    <row r="67" spans="1:7" x14ac:dyDescent="0.25">
      <c r="A67" s="78"/>
      <c r="B67" s="78"/>
      <c r="C67" s="78"/>
      <c r="D67" s="79"/>
      <c r="E67" s="78"/>
      <c r="F67" s="78"/>
      <c r="G67" s="80"/>
    </row>
    <row r="68" spans="1:7" x14ac:dyDescent="0.25">
      <c r="A68" s="78"/>
      <c r="B68" s="78"/>
      <c r="C68" s="78"/>
      <c r="D68" s="79"/>
      <c r="E68" s="78"/>
      <c r="F68" s="78"/>
      <c r="G68" s="80"/>
    </row>
    <row r="69" spans="1:7" x14ac:dyDescent="0.25">
      <c r="A69" s="78"/>
      <c r="B69" s="78"/>
      <c r="C69" s="78"/>
      <c r="D69" s="79"/>
      <c r="E69" s="78"/>
      <c r="F69" s="78"/>
      <c r="G69" s="80"/>
    </row>
    <row r="70" spans="1:7" x14ac:dyDescent="0.25">
      <c r="A70" s="78"/>
      <c r="B70" s="78"/>
      <c r="C70" s="78"/>
      <c r="D70" s="79"/>
      <c r="E70" s="78"/>
      <c r="F70" s="78"/>
      <c r="G70" s="80"/>
    </row>
    <row r="71" spans="1:7" x14ac:dyDescent="0.25">
      <c r="A71" s="78"/>
      <c r="B71" s="78"/>
      <c r="C71" s="78"/>
      <c r="D71" s="79"/>
      <c r="E71" s="78"/>
      <c r="F71" s="78"/>
      <c r="G71" s="80"/>
    </row>
    <row r="72" spans="1:7" x14ac:dyDescent="0.25">
      <c r="A72" s="78"/>
      <c r="B72" s="78"/>
      <c r="C72" s="78"/>
      <c r="D72" s="79"/>
      <c r="E72" s="78"/>
      <c r="F72" s="78"/>
      <c r="G72" s="80"/>
    </row>
    <row r="73" spans="1:7" x14ac:dyDescent="0.25">
      <c r="A73" s="78"/>
      <c r="B73" s="78"/>
      <c r="C73" s="78"/>
      <c r="D73" s="79"/>
      <c r="E73" s="78"/>
      <c r="F73" s="78"/>
      <c r="G73" s="80"/>
    </row>
    <row r="74" spans="1:7" x14ac:dyDescent="0.25">
      <c r="A74" s="78"/>
      <c r="B74" s="78"/>
      <c r="C74" s="78"/>
      <c r="D74" s="79"/>
      <c r="E74" s="78"/>
      <c r="F74" s="78"/>
      <c r="G74" s="80"/>
    </row>
    <row r="75" spans="1:7" x14ac:dyDescent="0.25">
      <c r="A75" s="78"/>
      <c r="B75" s="78"/>
      <c r="C75" s="78"/>
      <c r="D75" s="79"/>
      <c r="E75" s="78"/>
      <c r="F75" s="78"/>
      <c r="G75" s="80"/>
    </row>
    <row r="76" spans="1:7" x14ac:dyDescent="0.25">
      <c r="A76" s="78"/>
      <c r="B76" s="78"/>
      <c r="C76" s="78"/>
      <c r="D76" s="79"/>
      <c r="E76" s="78"/>
      <c r="F76" s="78"/>
      <c r="G76" s="80"/>
    </row>
    <row r="77" spans="1:7" x14ac:dyDescent="0.25">
      <c r="A77" s="78"/>
      <c r="B77" s="78"/>
      <c r="C77" s="78"/>
      <c r="D77" s="79"/>
      <c r="E77" s="78"/>
      <c r="F77" s="78"/>
      <c r="G77" s="80"/>
    </row>
    <row r="78" spans="1:7" x14ac:dyDescent="0.25">
      <c r="A78" s="78"/>
      <c r="B78" s="78"/>
      <c r="C78" s="78"/>
      <c r="D78" s="79"/>
      <c r="E78" s="78"/>
      <c r="F78" s="78"/>
      <c r="G78" s="80"/>
    </row>
    <row r="79" spans="1:7" x14ac:dyDescent="0.25">
      <c r="A79" s="78"/>
      <c r="B79" s="78"/>
      <c r="C79" s="78"/>
      <c r="D79" s="79"/>
      <c r="E79" s="78"/>
      <c r="F79" s="78"/>
      <c r="G79" s="80"/>
    </row>
    <row r="80" spans="1:7" x14ac:dyDescent="0.25">
      <c r="A80" s="78"/>
      <c r="B80" s="78"/>
      <c r="C80" s="78"/>
      <c r="D80" s="79"/>
      <c r="E80" s="78"/>
      <c r="F80" s="78"/>
      <c r="G80" s="80"/>
    </row>
    <row r="81" spans="1:7" x14ac:dyDescent="0.25">
      <c r="A81" s="78"/>
      <c r="B81" s="78"/>
      <c r="C81" s="78"/>
      <c r="D81" s="79"/>
      <c r="E81" s="78"/>
      <c r="F81" s="78"/>
      <c r="G81" s="80"/>
    </row>
    <row r="82" spans="1:7" x14ac:dyDescent="0.25">
      <c r="A82" s="78"/>
      <c r="B82" s="78"/>
      <c r="C82" s="78"/>
      <c r="D82" s="79"/>
      <c r="E82" s="78"/>
      <c r="F82" s="78"/>
      <c r="G82" s="80"/>
    </row>
    <row r="83" spans="1:7" x14ac:dyDescent="0.25">
      <c r="A83" s="78"/>
      <c r="B83" s="78"/>
      <c r="C83" s="78"/>
      <c r="D83" s="79"/>
      <c r="E83" s="78"/>
      <c r="F83" s="78"/>
      <c r="G83" s="80"/>
    </row>
    <row r="84" spans="1:7" x14ac:dyDescent="0.25">
      <c r="A84" s="78"/>
      <c r="B84" s="78"/>
      <c r="C84" s="78"/>
      <c r="D84" s="79"/>
      <c r="E84" s="78"/>
      <c r="F84" s="78"/>
      <c r="G84" s="80"/>
    </row>
    <row r="85" spans="1:7" x14ac:dyDescent="0.25">
      <c r="A85" s="79"/>
      <c r="B85" s="79"/>
      <c r="C85" s="79"/>
      <c r="D85" s="79"/>
      <c r="E85" s="79"/>
      <c r="F85" s="79"/>
      <c r="G85" s="79"/>
    </row>
  </sheetData>
  <sheetProtection algorithmName="SHA-512" hashValue="A9aj1eA5Z09XW3CjNB1gqceLvr9NOVKdmcm0q+z/Hn+JDXRcA9h5PaIw2wjPc6ZJVriiHTdFBrMmHswsfpLfag==" saltValue="aVLetahz/rLNy0rJ+ByDng==" spinCount="100000" sheet="1" objects="1" scenarios="1"/>
  <sortState xmlns:xlrd2="http://schemas.microsoft.com/office/spreadsheetml/2017/richdata2"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20"/>
  <sheetViews>
    <sheetView topLeftCell="A7" workbookViewId="0">
      <selection activeCell="L13" sqref="L8:L13"/>
    </sheetView>
  </sheetViews>
  <sheetFormatPr defaultRowHeight="15" x14ac:dyDescent="0.25"/>
  <cols>
    <col min="1" max="1" width="27" bestFit="1" customWidth="1"/>
    <col min="2" max="2" width="19.28515625" customWidth="1"/>
    <col min="3" max="3" width="10.7109375" bestFit="1" customWidth="1"/>
    <col min="13" max="13" width="95.5703125" customWidth="1"/>
  </cols>
  <sheetData>
    <row r="1" spans="1:25" ht="15.75" thickBot="1" x14ac:dyDescent="0.3">
      <c r="A1" s="35" t="s">
        <v>94</v>
      </c>
      <c r="B1" s="36" t="s">
        <v>93</v>
      </c>
      <c r="C1" s="95" t="s">
        <v>144</v>
      </c>
      <c r="D1" s="95"/>
      <c r="E1" s="95"/>
      <c r="F1" s="95"/>
      <c r="G1" s="95"/>
      <c r="H1" s="95"/>
      <c r="I1" s="96"/>
      <c r="J1" s="37"/>
      <c r="K1" s="37"/>
      <c r="L1" t="s">
        <v>90</v>
      </c>
      <c r="M1" t="s">
        <v>120</v>
      </c>
    </row>
    <row r="2" spans="1:25" ht="15.75" thickBot="1" x14ac:dyDescent="0.3">
      <c r="A2" s="37"/>
      <c r="B2" s="37"/>
      <c r="C2" s="37"/>
      <c r="D2" s="37"/>
      <c r="E2" s="37"/>
      <c r="F2" s="37"/>
      <c r="G2" s="37"/>
      <c r="H2" s="37"/>
      <c r="I2" s="37"/>
      <c r="J2" s="37"/>
      <c r="K2" s="37"/>
      <c r="L2" t="s">
        <v>87</v>
      </c>
      <c r="M2" s="66" t="s">
        <v>121</v>
      </c>
      <c r="N2" s="66"/>
      <c r="O2" s="66"/>
      <c r="P2" s="66"/>
      <c r="Q2" s="66"/>
      <c r="R2" s="66"/>
      <c r="S2" s="66"/>
      <c r="T2" s="66"/>
      <c r="U2" s="66"/>
      <c r="V2" s="66"/>
      <c r="W2" s="66"/>
      <c r="X2" s="66"/>
      <c r="Y2" s="66"/>
    </row>
    <row r="3" spans="1:25" ht="15.75" thickBot="1" x14ac:dyDescent="0.3">
      <c r="A3" s="35" t="s">
        <v>95</v>
      </c>
      <c r="B3" s="38" t="s">
        <v>138</v>
      </c>
      <c r="C3" s="37"/>
      <c r="D3" s="37"/>
      <c r="E3" s="37"/>
      <c r="F3" s="37"/>
      <c r="G3" s="37"/>
      <c r="H3" s="37"/>
      <c r="I3" s="37"/>
      <c r="J3" s="37"/>
      <c r="K3" s="37"/>
      <c r="L3" t="s">
        <v>119</v>
      </c>
      <c r="M3" t="s">
        <v>123</v>
      </c>
    </row>
    <row r="4" spans="1:25" ht="15.75" thickBot="1" x14ac:dyDescent="0.3">
      <c r="A4" s="37"/>
      <c r="B4" s="37"/>
      <c r="C4" s="37"/>
      <c r="D4" s="37"/>
      <c r="E4" s="37"/>
      <c r="F4" s="37"/>
      <c r="G4" s="37"/>
      <c r="H4" s="37"/>
      <c r="I4" s="37"/>
      <c r="J4" s="37"/>
      <c r="K4" s="37"/>
      <c r="M4" t="s">
        <v>122</v>
      </c>
    </row>
    <row r="5" spans="1:25" ht="368.25" customHeight="1" x14ac:dyDescent="0.25">
      <c r="A5" s="39" t="s">
        <v>88</v>
      </c>
      <c r="B5" s="40" t="s">
        <v>89</v>
      </c>
      <c r="C5" s="126" t="s">
        <v>99</v>
      </c>
      <c r="D5" s="126"/>
      <c r="E5" s="126"/>
      <c r="F5" s="126"/>
      <c r="G5" s="126"/>
      <c r="H5" s="126"/>
      <c r="I5" s="127"/>
      <c r="J5" s="37"/>
      <c r="K5" s="37"/>
      <c r="M5" s="18" t="s">
        <v>124</v>
      </c>
    </row>
    <row r="6" spans="1:25" ht="75" x14ac:dyDescent="0.25">
      <c r="A6" s="41"/>
      <c r="B6" s="42" t="s">
        <v>90</v>
      </c>
      <c r="C6" s="128" t="s">
        <v>91</v>
      </c>
      <c r="D6" s="128"/>
      <c r="E6" s="128"/>
      <c r="F6" s="128"/>
      <c r="G6" s="128"/>
      <c r="H6" s="128"/>
      <c r="I6" s="129"/>
      <c r="J6" s="37"/>
      <c r="K6" s="37"/>
      <c r="L6" s="2" t="s">
        <v>139</v>
      </c>
      <c r="M6" s="18" t="s">
        <v>142</v>
      </c>
    </row>
    <row r="7" spans="1:25" ht="105.75" thickBot="1" x14ac:dyDescent="0.3">
      <c r="A7" s="43"/>
      <c r="B7" s="44" t="s">
        <v>92</v>
      </c>
      <c r="C7" s="130" t="s">
        <v>140</v>
      </c>
      <c r="D7" s="130"/>
      <c r="E7" s="130"/>
      <c r="F7" s="130"/>
      <c r="G7" s="130"/>
      <c r="H7" s="130"/>
      <c r="I7" s="131"/>
      <c r="J7" s="37"/>
      <c r="K7" s="37"/>
      <c r="L7" s="2" t="s">
        <v>141</v>
      </c>
      <c r="M7" s="18" t="s">
        <v>143</v>
      </c>
    </row>
    <row r="8" spans="1:25" ht="135.75" thickBot="1" x14ac:dyDescent="0.3">
      <c r="A8" s="37"/>
      <c r="B8" s="37"/>
      <c r="C8" s="37"/>
      <c r="D8" s="37"/>
      <c r="E8" s="37"/>
      <c r="F8" s="37"/>
      <c r="G8" s="37"/>
      <c r="H8" s="37"/>
      <c r="I8" s="37"/>
      <c r="J8" s="37"/>
      <c r="K8" s="37"/>
      <c r="L8" s="2" t="s">
        <v>144</v>
      </c>
      <c r="M8" s="18" t="s">
        <v>146</v>
      </c>
    </row>
    <row r="9" spans="1:25" ht="15.75" thickBot="1" x14ac:dyDescent="0.3">
      <c r="A9" s="35" t="s">
        <v>24</v>
      </c>
      <c r="B9" s="45" t="s">
        <v>21</v>
      </c>
      <c r="C9" s="36"/>
      <c r="D9" s="46" t="s">
        <v>25</v>
      </c>
      <c r="E9" s="47" t="s">
        <v>26</v>
      </c>
      <c r="F9" s="37"/>
      <c r="G9" s="37"/>
      <c r="H9" s="37"/>
      <c r="I9" s="37"/>
      <c r="J9" s="37"/>
      <c r="K9" s="37"/>
    </row>
    <row r="10" spans="1:25" ht="15.75" thickBot="1" x14ac:dyDescent="0.3">
      <c r="A10" s="37"/>
      <c r="B10" s="48"/>
      <c r="C10" s="37"/>
      <c r="D10" s="49"/>
      <c r="E10" s="50"/>
      <c r="F10" s="37"/>
      <c r="G10" s="37"/>
      <c r="H10" s="37"/>
      <c r="I10" s="37"/>
      <c r="J10" s="37"/>
      <c r="K10" s="37"/>
    </row>
    <row r="11" spans="1:25" x14ac:dyDescent="0.25">
      <c r="A11" s="51" t="s">
        <v>38</v>
      </c>
      <c r="B11" s="52" t="s">
        <v>39</v>
      </c>
      <c r="C11" s="52"/>
      <c r="D11" s="52" t="s">
        <v>40</v>
      </c>
      <c r="E11" s="52" t="s">
        <v>41</v>
      </c>
      <c r="F11" s="52" t="s">
        <v>42</v>
      </c>
      <c r="G11" s="52" t="s">
        <v>43</v>
      </c>
      <c r="H11" s="52" t="s">
        <v>44</v>
      </c>
      <c r="I11" s="52" t="s">
        <v>45</v>
      </c>
      <c r="J11" s="52" t="s">
        <v>46</v>
      </c>
      <c r="K11" s="53"/>
    </row>
    <row r="12" spans="1:25" ht="15.75" thickBot="1" x14ac:dyDescent="0.3">
      <c r="A12" s="43"/>
      <c r="B12" s="44"/>
      <c r="C12" s="44"/>
      <c r="D12" s="44" t="s">
        <v>47</v>
      </c>
      <c r="E12" s="44" t="s">
        <v>48</v>
      </c>
      <c r="F12" s="44" t="s">
        <v>49</v>
      </c>
      <c r="G12" s="44" t="s">
        <v>50</v>
      </c>
      <c r="H12" s="44" t="s">
        <v>51</v>
      </c>
      <c r="I12" s="44" t="s">
        <v>52</v>
      </c>
      <c r="J12" s="44" t="s">
        <v>53</v>
      </c>
      <c r="K12" s="54"/>
    </row>
    <row r="13" spans="1:25" ht="15.75" thickBot="1" x14ac:dyDescent="0.3">
      <c r="A13" s="37"/>
      <c r="B13" s="37"/>
      <c r="C13" s="37"/>
      <c r="D13" s="37"/>
      <c r="E13" s="37"/>
      <c r="F13" s="37"/>
      <c r="G13" s="37"/>
      <c r="H13" s="37"/>
      <c r="I13" s="37"/>
      <c r="J13" s="37"/>
      <c r="K13" s="37"/>
    </row>
    <row r="14" spans="1:25" ht="15.75" thickBot="1" x14ac:dyDescent="0.3">
      <c r="A14" s="35" t="s">
        <v>82</v>
      </c>
      <c r="B14" s="55">
        <f>DATE(2021,1,1)</f>
        <v>44197</v>
      </c>
      <c r="C14" s="56">
        <f>DATE(2030,12,31)</f>
        <v>47848</v>
      </c>
      <c r="D14" s="37"/>
      <c r="E14" s="37"/>
      <c r="F14" s="37"/>
      <c r="G14" s="37"/>
      <c r="H14" s="37"/>
      <c r="I14" s="37"/>
      <c r="J14" s="37"/>
      <c r="K14" s="37"/>
    </row>
    <row r="15" spans="1:25" ht="15.75" thickBot="1" x14ac:dyDescent="0.3">
      <c r="A15" s="37"/>
      <c r="B15" s="37"/>
      <c r="C15" s="37"/>
      <c r="D15" s="37"/>
      <c r="E15" s="37"/>
      <c r="F15" s="37"/>
      <c r="G15" s="37"/>
      <c r="H15" s="37"/>
      <c r="I15" s="37"/>
      <c r="J15" s="37"/>
      <c r="K15" s="37"/>
    </row>
    <row r="16" spans="1:25" ht="15.75" thickBot="1" x14ac:dyDescent="0.3">
      <c r="A16" s="35" t="s">
        <v>98</v>
      </c>
      <c r="B16" s="36" t="str">
        <f ca="1">CONCATENATE(DEC2HEX(RANDBETWEEN(0,4294967295),8),"-", DEC2HEX(RANDBETWEEN(0,42949),4),"-",DEC2HEX(RANDBETWEEN(0,42949),4),"-", DEC2HEX(RANDBETWEEN(0,42949),4),"-",DEC2HEX(RANDBETWEEN(0,4294967295),8),"-",DEC2HEX(RANDBETWEEN(0,42949),4))</f>
        <v>15ED7582-9138-920F-0695-81016EB6-7838</v>
      </c>
      <c r="C16" s="36"/>
      <c r="D16" s="38"/>
      <c r="E16" s="37"/>
      <c r="F16" s="37"/>
      <c r="G16" s="37"/>
      <c r="H16" s="37"/>
      <c r="I16" s="37"/>
      <c r="J16" s="37"/>
      <c r="K16" s="37"/>
    </row>
    <row r="17" spans="1:11" ht="15.75" thickBot="1" x14ac:dyDescent="0.3">
      <c r="A17" s="37"/>
      <c r="B17" s="37"/>
      <c r="C17" s="37"/>
      <c r="D17" s="37"/>
      <c r="E17" s="37"/>
      <c r="F17" s="37"/>
      <c r="G17" s="37"/>
      <c r="H17" s="37"/>
      <c r="I17" s="37"/>
      <c r="J17" s="37"/>
      <c r="K17" s="37"/>
    </row>
    <row r="18" spans="1:11" ht="15.75" thickBot="1" x14ac:dyDescent="0.3">
      <c r="A18" s="35" t="s">
        <v>100</v>
      </c>
      <c r="B18" s="36" t="str">
        <f ca="1">CONCATENATE("M",YEAR('Header Record'!B5),TEXT(MONTH('Header Record'!B5),"mm"),TEXT(DAY('Header Record'!B5),"dd"),"-",LEFT('Control Data (Hidden)'!B16,23))</f>
        <v>M20220103-15ED7582-9138-920F-0695</v>
      </c>
      <c r="C18" s="36"/>
      <c r="D18" s="38"/>
      <c r="E18" s="37"/>
      <c r="F18" s="37"/>
      <c r="G18" s="37"/>
      <c r="H18" s="37"/>
      <c r="I18" s="37"/>
      <c r="J18" s="37"/>
      <c r="K18" s="37"/>
    </row>
    <row r="19" spans="1:11" ht="15.75" thickBot="1" x14ac:dyDescent="0.3">
      <c r="A19" s="37"/>
      <c r="B19" s="37"/>
      <c r="C19" s="37"/>
      <c r="D19" s="37"/>
      <c r="E19" s="37"/>
      <c r="F19" s="37"/>
      <c r="G19" s="37"/>
      <c r="H19" s="37"/>
      <c r="I19" s="37"/>
      <c r="J19" s="37"/>
      <c r="K19" s="37"/>
    </row>
    <row r="20" spans="1:11" ht="15.75" thickBot="1" x14ac:dyDescent="0.3">
      <c r="A20" s="35" t="s">
        <v>103</v>
      </c>
      <c r="B20" s="36" t="str">
        <f ca="1">CONCATENATE("P",YEAR('Header Record'!B5),TEXT(MONTH('Header Record'!B5),"mm"),TEXT(DAY('Header Record'!B5),"dd"),"-",LEFT('Control Data (Hidden)'!B16,23))</f>
        <v>P20220103-15ED7582-9138-920F-0695</v>
      </c>
      <c r="C20" s="36"/>
      <c r="D20" s="38"/>
      <c r="E20" s="37"/>
      <c r="F20" s="37"/>
      <c r="G20" s="37"/>
      <c r="H20" s="37"/>
      <c r="I20" s="37"/>
      <c r="J20" s="37"/>
      <c r="K20" s="37"/>
    </row>
  </sheetData>
  <sheetProtection algorithmName="SHA-512" hashValue="aANvsbFjpBbBKOPy4ccSIXM7jD2nGsyrgH+HgHGhhTJ/4Ndz1Ngy7P9aeIbUe/mOuejGdS//2yNuB56eqI7mhw==" saltValue="BPWKzQXS3xtFpYHkFEBEVA==" spinCount="100000" sheet="1"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chribonn</cp:lastModifiedBy>
  <dcterms:created xsi:type="dcterms:W3CDTF">2020-09-21T07:24:46Z</dcterms:created>
  <dcterms:modified xsi:type="dcterms:W3CDTF">2022-05-03T14:51:42Z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