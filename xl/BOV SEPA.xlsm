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showInkAnnotation="0" codeName="ThisWorkbook"/>
  <mc:AlternateContent xmlns:mc="http://schemas.openxmlformats.org/markup-compatibility/2006">
    <mc:Choice Requires="x15">
      <x15ac:absPath xmlns:x15ac="http://schemas.microsoft.com/office/spreadsheetml/2010/11/ac" url="C:\Users\ACB\Google Drive\_Calender Attachments\"/>
    </mc:Choice>
  </mc:AlternateContent>
  <xr:revisionPtr revIDLastSave="0" documentId="13_ncr:1_{2AA09CC4-FC94-4DF6-8554-8C2A48AB15B1}" xr6:coauthVersionLast="45" xr6:coauthVersionMax="45" xr10:uidLastSave="{00000000-0000-0000-0000-000000000000}"/>
  <workbookProtection workbookAlgorithmName="SHA-512" workbookHashValue="tfBjcruEB1EOE570UBxULN/xMH8fo/qhLKhFtaCFdPPfa9+VMHBQJch7rfIjxGflINq2ZGzAz3oX/F/ri5Dw+Q==" workbookSaltValue="FBWGDoCPUqeHFr95yWgXNw==" workbookSpinCount="100000" lockStructure="1"/>
  <bookViews>
    <workbookView xWindow="-108" yWindow="-108" windowWidth="23256" windowHeight="12576" tabRatio="508" firstSheet="1" activeTab="3" xr2:uid="{00000000-000D-0000-FFFF-FFFF00000000}"/>
  </bookViews>
  <sheets>
    <sheet name="Header Record" sheetId="1" r:id="rId1"/>
    <sheet name="Payment Information Record" sheetId="2" r:id="rId2"/>
    <sheet name="Credit Instruction Record" sheetId="4" r:id="rId3"/>
    <sheet name="Control" sheetId="5" r:id="rId4"/>
    <sheet name="Client Payee Data" sheetId="6" r:id="rId5"/>
    <sheet name="Control Data (Hidden)" sheetId="3" state="hidden" r:id="rId6"/>
  </sheets>
  <definedNames>
    <definedName name="Payee" comment="This rapresents the payee list.  It must be sorted on the account">'Client Payee Data'!$A$2:$G$9999</definedName>
  </definedNames>
  <calcPr calcId="191029"/>
  <pivotCaches>
    <pivotCache cacheId="1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6" i="2" l="1"/>
  <c r="F34" i="5" l="1"/>
  <c r="G34" i="5"/>
  <c r="H34" i="5"/>
  <c r="I34" i="5"/>
  <c r="J34" i="5"/>
  <c r="K34" i="5"/>
  <c r="L34" i="5"/>
  <c r="M34" i="5"/>
  <c r="N34" i="5"/>
  <c r="O34" i="5"/>
  <c r="F35" i="5"/>
  <c r="G35" i="5"/>
  <c r="H35" i="5"/>
  <c r="I35" i="5"/>
  <c r="J35" i="5"/>
  <c r="K35" i="5"/>
  <c r="L35" i="5"/>
  <c r="M35" i="5"/>
  <c r="N35" i="5"/>
  <c r="O35" i="5"/>
  <c r="F36" i="5"/>
  <c r="G36" i="5"/>
  <c r="H36" i="5"/>
  <c r="I36" i="5"/>
  <c r="J36" i="5"/>
  <c r="K36" i="5"/>
  <c r="L36" i="5"/>
  <c r="M36" i="5"/>
  <c r="N36" i="5"/>
  <c r="O36" i="5"/>
  <c r="F37" i="5"/>
  <c r="G37" i="5"/>
  <c r="H37" i="5"/>
  <c r="I37" i="5"/>
  <c r="J37" i="5"/>
  <c r="K37" i="5"/>
  <c r="L37" i="5"/>
  <c r="M37" i="5"/>
  <c r="N37" i="5"/>
  <c r="O37" i="5"/>
  <c r="F38" i="5"/>
  <c r="G38" i="5"/>
  <c r="H38" i="5"/>
  <c r="I38" i="5"/>
  <c r="J38" i="5"/>
  <c r="K38" i="5"/>
  <c r="L38" i="5"/>
  <c r="M38" i="5"/>
  <c r="N38" i="5"/>
  <c r="O38" i="5"/>
  <c r="F39" i="5"/>
  <c r="G39" i="5"/>
  <c r="H39" i="5"/>
  <c r="I39" i="5"/>
  <c r="J39" i="5"/>
  <c r="K39" i="5"/>
  <c r="L39" i="5"/>
  <c r="M39" i="5"/>
  <c r="N39" i="5"/>
  <c r="O39" i="5"/>
  <c r="F40" i="5"/>
  <c r="G40" i="5"/>
  <c r="H40" i="5"/>
  <c r="I40" i="5"/>
  <c r="J40" i="5"/>
  <c r="K40" i="5"/>
  <c r="L40" i="5"/>
  <c r="M40" i="5"/>
  <c r="N40" i="5"/>
  <c r="O40" i="5"/>
  <c r="F41" i="5"/>
  <c r="G41" i="5"/>
  <c r="H41" i="5"/>
  <c r="I41" i="5"/>
  <c r="J41" i="5"/>
  <c r="K41" i="5"/>
  <c r="L41" i="5"/>
  <c r="M41" i="5"/>
  <c r="N41" i="5"/>
  <c r="O41" i="5"/>
  <c r="F42" i="5"/>
  <c r="G42" i="5"/>
  <c r="H42" i="5"/>
  <c r="I42" i="5"/>
  <c r="J42" i="5"/>
  <c r="K42" i="5"/>
  <c r="L42" i="5"/>
  <c r="M42" i="5"/>
  <c r="N42" i="5"/>
  <c r="O42" i="5"/>
  <c r="F43" i="5"/>
  <c r="G43" i="5"/>
  <c r="H43" i="5"/>
  <c r="I43" i="5"/>
  <c r="J43" i="5"/>
  <c r="K43" i="5"/>
  <c r="L43" i="5"/>
  <c r="M43" i="5"/>
  <c r="N43" i="5"/>
  <c r="O43" i="5"/>
  <c r="F44" i="5"/>
  <c r="G44" i="5"/>
  <c r="H44" i="5"/>
  <c r="I44" i="5"/>
  <c r="J44" i="5"/>
  <c r="K44" i="5"/>
  <c r="L44" i="5"/>
  <c r="M44" i="5"/>
  <c r="N44" i="5"/>
  <c r="O44" i="5"/>
  <c r="F45" i="5"/>
  <c r="G45" i="5"/>
  <c r="H45" i="5"/>
  <c r="I45" i="5"/>
  <c r="J45" i="5"/>
  <c r="K45" i="5"/>
  <c r="L45" i="5"/>
  <c r="M45" i="5"/>
  <c r="N45" i="5"/>
  <c r="O45" i="5"/>
  <c r="F46" i="5"/>
  <c r="G46" i="5"/>
  <c r="H46" i="5"/>
  <c r="I46" i="5"/>
  <c r="J46" i="5"/>
  <c r="K46" i="5"/>
  <c r="L46" i="5"/>
  <c r="M46" i="5"/>
  <c r="N46" i="5"/>
  <c r="O46" i="5"/>
  <c r="F47" i="5"/>
  <c r="G47" i="5"/>
  <c r="H47" i="5"/>
  <c r="I47" i="5"/>
  <c r="J47" i="5"/>
  <c r="K47" i="5"/>
  <c r="L47" i="5"/>
  <c r="M47" i="5"/>
  <c r="N47" i="5"/>
  <c r="O47" i="5"/>
  <c r="F48" i="5"/>
  <c r="G48" i="5"/>
  <c r="H48" i="5"/>
  <c r="I48" i="5"/>
  <c r="J48" i="5"/>
  <c r="K48" i="5"/>
  <c r="L48" i="5"/>
  <c r="M48" i="5"/>
  <c r="N48" i="5"/>
  <c r="O48" i="5"/>
  <c r="F49" i="5"/>
  <c r="G49" i="5"/>
  <c r="H49" i="5"/>
  <c r="I49" i="5"/>
  <c r="J49" i="5"/>
  <c r="K49" i="5"/>
  <c r="L49" i="5"/>
  <c r="M49" i="5"/>
  <c r="N49" i="5"/>
  <c r="O49" i="5"/>
  <c r="F50" i="5"/>
  <c r="G50" i="5"/>
  <c r="H50" i="5"/>
  <c r="I50" i="5"/>
  <c r="J50" i="5"/>
  <c r="K50" i="5"/>
  <c r="L50" i="5"/>
  <c r="M50" i="5"/>
  <c r="N50" i="5"/>
  <c r="O50" i="5"/>
  <c r="F51" i="5"/>
  <c r="G51" i="5"/>
  <c r="H51" i="5"/>
  <c r="I51" i="5"/>
  <c r="J51" i="5"/>
  <c r="K51" i="5"/>
  <c r="L51" i="5"/>
  <c r="M51" i="5"/>
  <c r="N51" i="5"/>
  <c r="O51" i="5"/>
  <c r="F52" i="5"/>
  <c r="G52" i="5"/>
  <c r="H52" i="5"/>
  <c r="I52" i="5"/>
  <c r="J52" i="5"/>
  <c r="K52" i="5"/>
  <c r="L52" i="5"/>
  <c r="M52" i="5"/>
  <c r="P52" i="5" s="1"/>
  <c r="N52" i="5"/>
  <c r="O52" i="5"/>
  <c r="E52" i="5"/>
  <c r="E51" i="5"/>
  <c r="E50" i="5"/>
  <c r="E49" i="5"/>
  <c r="E48" i="5"/>
  <c r="E47" i="5"/>
  <c r="E46" i="5"/>
  <c r="E45" i="5"/>
  <c r="E44" i="5"/>
  <c r="E43" i="5"/>
  <c r="E42" i="5"/>
  <c r="E41" i="5"/>
  <c r="E40" i="5"/>
  <c r="E39" i="5"/>
  <c r="E38" i="5"/>
  <c r="E37" i="5"/>
  <c r="E35" i="5"/>
  <c r="E34" i="5"/>
  <c r="E36" i="5"/>
  <c r="P34" i="5" l="1"/>
  <c r="P35" i="5"/>
  <c r="P36" i="5"/>
  <c r="P37" i="5"/>
  <c r="P38" i="5"/>
  <c r="P39" i="5"/>
  <c r="P40" i="5"/>
  <c r="P41" i="5"/>
  <c r="P42" i="5"/>
  <c r="P43" i="5"/>
  <c r="P44" i="5"/>
  <c r="P45" i="5"/>
  <c r="P46" i="5"/>
  <c r="P47" i="5"/>
  <c r="P48" i="5"/>
  <c r="P49" i="5"/>
  <c r="P50" i="5"/>
  <c r="P51" i="5"/>
  <c r="K104" i="4"/>
  <c r="J104" i="4"/>
  <c r="I104" i="4"/>
  <c r="H104" i="4"/>
  <c r="G104" i="4"/>
  <c r="F104" i="4"/>
  <c r="E104" i="4"/>
  <c r="D104" i="4"/>
  <c r="B104" i="4"/>
  <c r="A104" i="4"/>
  <c r="K102" i="4"/>
  <c r="J102" i="4"/>
  <c r="I102" i="4"/>
  <c r="H102" i="4"/>
  <c r="G102" i="4"/>
  <c r="F102" i="4"/>
  <c r="E102" i="4"/>
  <c r="D102" i="4"/>
  <c r="B102" i="4"/>
  <c r="A102" i="4"/>
  <c r="K100" i="4"/>
  <c r="J100" i="4"/>
  <c r="I100" i="4"/>
  <c r="H100" i="4"/>
  <c r="G100" i="4"/>
  <c r="F100" i="4"/>
  <c r="E100" i="4"/>
  <c r="D100" i="4"/>
  <c r="B100" i="4"/>
  <c r="A100" i="4"/>
  <c r="K98" i="4"/>
  <c r="J98" i="4"/>
  <c r="I98" i="4"/>
  <c r="H98" i="4"/>
  <c r="G98" i="4"/>
  <c r="F98" i="4"/>
  <c r="E98" i="4"/>
  <c r="D98" i="4"/>
  <c r="B98" i="4"/>
  <c r="A98" i="4"/>
  <c r="K96" i="4"/>
  <c r="J96" i="4"/>
  <c r="I96" i="4"/>
  <c r="H96" i="4"/>
  <c r="G96" i="4"/>
  <c r="F96" i="4"/>
  <c r="E96" i="4"/>
  <c r="D96" i="4"/>
  <c r="B96" i="4"/>
  <c r="A96" i="4"/>
  <c r="K94" i="4"/>
  <c r="J94" i="4"/>
  <c r="I94" i="4"/>
  <c r="H94" i="4"/>
  <c r="G94" i="4"/>
  <c r="F94" i="4"/>
  <c r="E94" i="4"/>
  <c r="D94" i="4"/>
  <c r="B94" i="4"/>
  <c r="A94" i="4"/>
  <c r="K92" i="4"/>
  <c r="J92" i="4"/>
  <c r="I92" i="4"/>
  <c r="H92" i="4"/>
  <c r="G92" i="4"/>
  <c r="F92" i="4"/>
  <c r="E92" i="4"/>
  <c r="D92" i="4"/>
  <c r="B92" i="4"/>
  <c r="A92" i="4"/>
  <c r="K90" i="4"/>
  <c r="J90" i="4"/>
  <c r="I90" i="4"/>
  <c r="H90" i="4"/>
  <c r="G90" i="4"/>
  <c r="F90" i="4"/>
  <c r="E90" i="4"/>
  <c r="D90" i="4"/>
  <c r="B90" i="4"/>
  <c r="A90" i="4"/>
  <c r="K88" i="4"/>
  <c r="J88" i="4"/>
  <c r="I88" i="4"/>
  <c r="H88" i="4"/>
  <c r="G88" i="4"/>
  <c r="F88" i="4"/>
  <c r="E88" i="4"/>
  <c r="D88" i="4"/>
  <c r="B88" i="4"/>
  <c r="A88" i="4"/>
  <c r="K86" i="4"/>
  <c r="J86" i="4"/>
  <c r="I86" i="4"/>
  <c r="H86" i="4"/>
  <c r="G86" i="4"/>
  <c r="F86" i="4"/>
  <c r="E86" i="4"/>
  <c r="D86" i="4"/>
  <c r="B86" i="4"/>
  <c r="A86" i="4"/>
  <c r="K84" i="4"/>
  <c r="J84" i="4"/>
  <c r="I84" i="4"/>
  <c r="H84" i="4"/>
  <c r="G84" i="4"/>
  <c r="F84" i="4"/>
  <c r="E84" i="4"/>
  <c r="D84" i="4"/>
  <c r="B84" i="4"/>
  <c r="A84" i="4"/>
  <c r="K82" i="4"/>
  <c r="J82" i="4"/>
  <c r="I82" i="4"/>
  <c r="H82" i="4"/>
  <c r="G82" i="4"/>
  <c r="F82" i="4"/>
  <c r="E82" i="4"/>
  <c r="D82" i="4"/>
  <c r="B82" i="4"/>
  <c r="A82" i="4"/>
  <c r="K80" i="4"/>
  <c r="J80" i="4"/>
  <c r="I80" i="4"/>
  <c r="H80" i="4"/>
  <c r="G80" i="4"/>
  <c r="F80" i="4"/>
  <c r="E80" i="4"/>
  <c r="D80" i="4"/>
  <c r="B80" i="4"/>
  <c r="A80" i="4"/>
  <c r="K78" i="4"/>
  <c r="J78" i="4"/>
  <c r="I78" i="4"/>
  <c r="H78" i="4"/>
  <c r="G78" i="4"/>
  <c r="F78" i="4"/>
  <c r="E78" i="4"/>
  <c r="D78" i="4"/>
  <c r="B78" i="4"/>
  <c r="A78" i="4"/>
  <c r="K76" i="4"/>
  <c r="J76" i="4"/>
  <c r="I76" i="4"/>
  <c r="H76" i="4"/>
  <c r="G76" i="4"/>
  <c r="F76" i="4"/>
  <c r="E76" i="4"/>
  <c r="D76" i="4"/>
  <c r="B76" i="4"/>
  <c r="A76" i="4"/>
  <c r="K74" i="4"/>
  <c r="J74" i="4"/>
  <c r="I74" i="4"/>
  <c r="H74" i="4"/>
  <c r="G74" i="4"/>
  <c r="F74" i="4"/>
  <c r="E74" i="4"/>
  <c r="D74" i="4"/>
  <c r="B74" i="4"/>
  <c r="A74" i="4"/>
  <c r="K72" i="4"/>
  <c r="J72" i="4"/>
  <c r="I72" i="4"/>
  <c r="H72" i="4"/>
  <c r="G72" i="4"/>
  <c r="F72" i="4"/>
  <c r="E72" i="4"/>
  <c r="D72" i="4"/>
  <c r="B72" i="4"/>
  <c r="A72" i="4"/>
  <c r="K70" i="4"/>
  <c r="J70" i="4"/>
  <c r="I70" i="4"/>
  <c r="H70" i="4"/>
  <c r="G70" i="4"/>
  <c r="F70" i="4"/>
  <c r="E70" i="4"/>
  <c r="D70" i="4"/>
  <c r="B70" i="4"/>
  <c r="A70" i="4"/>
  <c r="J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M9" i="5"/>
  <c r="P9" i="5" s="1"/>
  <c r="L9" i="5"/>
  <c r="K9" i="5"/>
  <c r="J9" i="5"/>
  <c r="I9" i="5"/>
  <c r="H9" i="5"/>
  <c r="G9" i="5"/>
  <c r="F9" i="5"/>
  <c r="E9" i="5"/>
  <c r="O8" i="5"/>
  <c r="N8" i="5"/>
  <c r="M8" i="5"/>
  <c r="P8" i="5" s="1"/>
  <c r="L8" i="5"/>
  <c r="K8" i="5"/>
  <c r="J8" i="5"/>
  <c r="I8" i="5"/>
  <c r="H8" i="5"/>
  <c r="G8" i="5"/>
  <c r="F8" i="5"/>
  <c r="E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3" i="5"/>
  <c r="N3" i="5"/>
  <c r="M3" i="5"/>
  <c r="P3" i="5" s="1"/>
  <c r="L3" i="5"/>
  <c r="K3" i="5"/>
  <c r="J3" i="5"/>
  <c r="I3" i="5"/>
  <c r="H3" i="5"/>
  <c r="G3" i="5"/>
  <c r="F3" i="5"/>
  <c r="E3" i="5"/>
  <c r="O2" i="5"/>
  <c r="N2" i="5"/>
  <c r="M2" i="5"/>
  <c r="P2" i="5" s="1"/>
  <c r="L2" i="5"/>
  <c r="K2" i="5"/>
  <c r="J2" i="5"/>
  <c r="I2" i="5"/>
  <c r="H2" i="5"/>
  <c r="G2" i="5"/>
  <c r="F2" i="5"/>
  <c r="E2" i="5"/>
  <c r="O1" i="5"/>
  <c r="N1" i="5"/>
  <c r="M1" i="5"/>
  <c r="L1" i="5"/>
  <c r="K1" i="5"/>
  <c r="J1" i="5"/>
  <c r="I1" i="5"/>
  <c r="H1" i="5"/>
  <c r="G1" i="5"/>
  <c r="F1" i="5"/>
  <c r="E1" i="5"/>
  <c r="B5" i="1" l="1"/>
  <c r="B14" i="3" l="1"/>
  <c r="A6" i="2" l="1"/>
  <c r="B16" i="3"/>
  <c r="B20" i="3" s="1"/>
  <c r="A6" i="1"/>
  <c r="B18" i="3" l="1"/>
  <c r="G7" i="2"/>
  <c r="G6" i="2"/>
  <c r="H6" i="2"/>
  <c r="E5" i="1" l="1"/>
  <c r="A3" i="5" l="1"/>
  <c r="B2" i="5" l="1"/>
  <c r="J68" i="4" l="1"/>
  <c r="J66" i="4"/>
  <c r="J64" i="4"/>
  <c r="J62" i="4"/>
  <c r="J60" i="4"/>
  <c r="J58" i="4"/>
  <c r="J56" i="4"/>
  <c r="J54" i="4"/>
  <c r="J52" i="4"/>
  <c r="J50" i="4"/>
  <c r="J48" i="4"/>
  <c r="J46" i="4"/>
  <c r="J44" i="4"/>
  <c r="J42" i="4"/>
  <c r="J40" i="4"/>
  <c r="J36" i="4"/>
  <c r="J34" i="4"/>
  <c r="J32" i="4"/>
  <c r="J30" i="4"/>
  <c r="J28" i="4"/>
  <c r="J26" i="4"/>
  <c r="J24" i="4"/>
  <c r="J22" i="4"/>
  <c r="J20" i="4"/>
  <c r="J18" i="4"/>
  <c r="J16" i="4"/>
  <c r="J14" i="4"/>
  <c r="J12" i="4"/>
  <c r="J10" i="4"/>
  <c r="J8" i="4"/>
  <c r="J6" i="4"/>
  <c r="C14" i="3" l="1"/>
  <c r="E5" i="2"/>
  <c r="D5" i="2"/>
  <c r="C5" i="1" l="1"/>
  <c r="A5" i="5" s="1"/>
  <c r="A8" i="4"/>
  <c r="D5" i="1"/>
  <c r="B5" i="5" s="1"/>
  <c r="K68" i="4" l="1"/>
  <c r="I68" i="4"/>
  <c r="H68" i="4"/>
  <c r="G68" i="4"/>
  <c r="F68" i="4"/>
  <c r="E68" i="4"/>
  <c r="D68" i="4"/>
  <c r="B68" i="4"/>
  <c r="A68" i="4"/>
  <c r="K66" i="4"/>
  <c r="I66" i="4"/>
  <c r="H66" i="4"/>
  <c r="G66" i="4"/>
  <c r="F66" i="4"/>
  <c r="E66" i="4"/>
  <c r="D66" i="4"/>
  <c r="B66" i="4"/>
  <c r="A66" i="4"/>
  <c r="K64" i="4"/>
  <c r="I64" i="4"/>
  <c r="H64" i="4"/>
  <c r="G64" i="4"/>
  <c r="F64" i="4"/>
  <c r="E64" i="4"/>
  <c r="D64" i="4"/>
  <c r="B64" i="4"/>
  <c r="A64" i="4"/>
  <c r="K62" i="4"/>
  <c r="I62" i="4"/>
  <c r="H62" i="4"/>
  <c r="G62" i="4"/>
  <c r="F62" i="4"/>
  <c r="E62" i="4"/>
  <c r="D62" i="4"/>
  <c r="B62" i="4"/>
  <c r="A62" i="4"/>
  <c r="K60" i="4"/>
  <c r="I60" i="4"/>
  <c r="H60" i="4"/>
  <c r="G60" i="4"/>
  <c r="F60" i="4"/>
  <c r="E60" i="4"/>
  <c r="D60" i="4"/>
  <c r="B60" i="4"/>
  <c r="A60" i="4"/>
  <c r="K58" i="4"/>
  <c r="I58" i="4"/>
  <c r="H58" i="4"/>
  <c r="G58" i="4"/>
  <c r="F58" i="4"/>
  <c r="E58" i="4"/>
  <c r="D58" i="4"/>
  <c r="B58" i="4"/>
  <c r="A58" i="4"/>
  <c r="K56" i="4"/>
  <c r="I56" i="4"/>
  <c r="H56" i="4"/>
  <c r="G56" i="4"/>
  <c r="F56" i="4"/>
  <c r="E56" i="4"/>
  <c r="D56" i="4"/>
  <c r="B56" i="4"/>
  <c r="A56" i="4"/>
  <c r="K54" i="4"/>
  <c r="I54" i="4"/>
  <c r="H54" i="4"/>
  <c r="G54" i="4"/>
  <c r="F54" i="4"/>
  <c r="E54" i="4"/>
  <c r="D54" i="4"/>
  <c r="B54" i="4"/>
  <c r="A54" i="4"/>
  <c r="K52" i="4"/>
  <c r="I52" i="4"/>
  <c r="H52" i="4"/>
  <c r="G52" i="4"/>
  <c r="F52" i="4"/>
  <c r="E52" i="4"/>
  <c r="D52" i="4"/>
  <c r="B52" i="4"/>
  <c r="A52" i="4"/>
  <c r="K50" i="4"/>
  <c r="I50" i="4"/>
  <c r="H50" i="4"/>
  <c r="G50" i="4"/>
  <c r="F50" i="4"/>
  <c r="E50" i="4"/>
  <c r="D50" i="4"/>
  <c r="B50" i="4"/>
  <c r="A50" i="4"/>
  <c r="K48" i="4"/>
  <c r="I48" i="4"/>
  <c r="H48" i="4"/>
  <c r="G48" i="4"/>
  <c r="F48" i="4"/>
  <c r="E48" i="4"/>
  <c r="D48" i="4"/>
  <c r="B48" i="4"/>
  <c r="A48" i="4"/>
  <c r="K46" i="4"/>
  <c r="I46" i="4"/>
  <c r="H46" i="4"/>
  <c r="G46" i="4"/>
  <c r="F46" i="4"/>
  <c r="E46" i="4"/>
  <c r="D46" i="4"/>
  <c r="B46" i="4"/>
  <c r="A46" i="4"/>
  <c r="K44" i="4"/>
  <c r="I44" i="4"/>
  <c r="H44" i="4"/>
  <c r="G44" i="4"/>
  <c r="F44" i="4"/>
  <c r="E44" i="4"/>
  <c r="D44" i="4"/>
  <c r="B44" i="4"/>
  <c r="A44" i="4"/>
  <c r="K42" i="4"/>
  <c r="I42" i="4"/>
  <c r="H42" i="4"/>
  <c r="G42" i="4"/>
  <c r="F42" i="4"/>
  <c r="E42" i="4"/>
  <c r="D42" i="4"/>
  <c r="B42" i="4"/>
  <c r="A42" i="4"/>
  <c r="K40" i="4"/>
  <c r="I40" i="4"/>
  <c r="H40" i="4"/>
  <c r="G40" i="4"/>
  <c r="F40" i="4"/>
  <c r="E40" i="4"/>
  <c r="D40" i="4"/>
  <c r="B40" i="4"/>
  <c r="A40" i="4"/>
  <c r="K38" i="4"/>
  <c r="I38" i="4"/>
  <c r="H38" i="4"/>
  <c r="G38" i="4"/>
  <c r="F38" i="4"/>
  <c r="E38" i="4"/>
  <c r="D38" i="4"/>
  <c r="B38" i="4"/>
  <c r="A38" i="4"/>
  <c r="K36" i="4"/>
  <c r="I36" i="4"/>
  <c r="H36" i="4"/>
  <c r="G36" i="4"/>
  <c r="F36" i="4"/>
  <c r="E36" i="4"/>
  <c r="D36" i="4"/>
  <c r="B36" i="4"/>
  <c r="A36" i="4"/>
  <c r="K34" i="4"/>
  <c r="I34" i="4"/>
  <c r="H34" i="4"/>
  <c r="G34" i="4"/>
  <c r="F34" i="4"/>
  <c r="E34" i="4"/>
  <c r="D34" i="4"/>
  <c r="B34" i="4"/>
  <c r="A34" i="4"/>
  <c r="K32" i="4"/>
  <c r="I32" i="4"/>
  <c r="H32" i="4"/>
  <c r="G32" i="4"/>
  <c r="F32" i="4"/>
  <c r="E32" i="4"/>
  <c r="D32" i="4"/>
  <c r="B32" i="4"/>
  <c r="A32" i="4"/>
  <c r="K30" i="4"/>
  <c r="I30" i="4"/>
  <c r="H30" i="4"/>
  <c r="G30" i="4"/>
  <c r="F30" i="4"/>
  <c r="E30" i="4"/>
  <c r="D30" i="4"/>
  <c r="B30" i="4"/>
  <c r="A30" i="4"/>
  <c r="K28" i="4"/>
  <c r="I28" i="4"/>
  <c r="H28" i="4"/>
  <c r="G28" i="4"/>
  <c r="F28" i="4"/>
  <c r="E28" i="4"/>
  <c r="D28" i="4"/>
  <c r="B28" i="4"/>
  <c r="A28" i="4"/>
  <c r="K26" i="4"/>
  <c r="I26" i="4"/>
  <c r="H26" i="4"/>
  <c r="G26" i="4"/>
  <c r="F26" i="4"/>
  <c r="E26" i="4"/>
  <c r="D26" i="4"/>
  <c r="B26" i="4"/>
  <c r="A26" i="4"/>
  <c r="K24" i="4"/>
  <c r="I24" i="4"/>
  <c r="H24" i="4"/>
  <c r="G24" i="4"/>
  <c r="F24" i="4"/>
  <c r="E24" i="4"/>
  <c r="D24" i="4"/>
  <c r="B24" i="4"/>
  <c r="A24" i="4"/>
  <c r="K22" i="4"/>
  <c r="I22" i="4"/>
  <c r="H22" i="4"/>
  <c r="G22" i="4"/>
  <c r="F22" i="4"/>
  <c r="E22" i="4"/>
  <c r="D22" i="4"/>
  <c r="B22" i="4"/>
  <c r="A22" i="4"/>
  <c r="K20" i="4"/>
  <c r="I20" i="4"/>
  <c r="H20" i="4"/>
  <c r="G20" i="4"/>
  <c r="F20" i="4"/>
  <c r="E20" i="4"/>
  <c r="D20" i="4"/>
  <c r="B20" i="4"/>
  <c r="A20" i="4"/>
  <c r="K18" i="4"/>
  <c r="I18" i="4"/>
  <c r="H18" i="4"/>
  <c r="G18" i="4"/>
  <c r="F18" i="4"/>
  <c r="E18" i="4"/>
  <c r="D18" i="4"/>
  <c r="B18" i="4"/>
  <c r="A18" i="4"/>
  <c r="K16" i="4"/>
  <c r="I16" i="4"/>
  <c r="H16" i="4"/>
  <c r="G16" i="4"/>
  <c r="F16" i="4"/>
  <c r="E16" i="4"/>
  <c r="D16" i="4"/>
  <c r="B16" i="4"/>
  <c r="A16" i="4"/>
  <c r="K14" i="4"/>
  <c r="I14" i="4"/>
  <c r="H14" i="4"/>
  <c r="G14" i="4"/>
  <c r="F14" i="4"/>
  <c r="E14" i="4"/>
  <c r="D14" i="4"/>
  <c r="B14" i="4"/>
  <c r="A14" i="4"/>
  <c r="K12" i="4"/>
  <c r="I12" i="4"/>
  <c r="H12" i="4"/>
  <c r="G12" i="4"/>
  <c r="F12" i="4"/>
  <c r="E12" i="4"/>
  <c r="D12" i="4"/>
  <c r="B12" i="4"/>
  <c r="A12" i="4"/>
  <c r="K10" i="4"/>
  <c r="I10" i="4"/>
  <c r="H10" i="4"/>
  <c r="G10" i="4"/>
  <c r="F10" i="4"/>
  <c r="E10" i="4"/>
  <c r="D10" i="4"/>
  <c r="B10" i="4"/>
  <c r="A10" i="4"/>
  <c r="K8" i="4"/>
  <c r="I8" i="4"/>
  <c r="H8" i="4"/>
  <c r="G8" i="4"/>
  <c r="F8" i="4"/>
  <c r="E8" i="4"/>
  <c r="D8" i="4"/>
  <c r="B8" i="4"/>
  <c r="K6" i="4"/>
  <c r="I6" i="4"/>
  <c r="H6" i="4"/>
  <c r="G6" i="4"/>
  <c r="F6" i="4"/>
  <c r="E6" i="4"/>
  <c r="D6" i="4"/>
  <c r="B6" i="4"/>
  <c r="A6" i="4"/>
  <c r="M6" i="2" l="1"/>
  <c r="K6" i="2"/>
  <c r="J6" i="2"/>
  <c r="C6" i="2"/>
  <c r="E6" i="1"/>
  <c r="B6" i="1"/>
  <c r="F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GaldesMamo</author>
  </authors>
  <commentList>
    <comment ref="A28" authorId="0" shapeId="0" xr:uid="{00000000-0006-0000-0400-000001000000}">
      <text>
        <r>
          <rPr>
            <b/>
            <sz val="9"/>
            <color indexed="81"/>
            <rFont val="Tahoma"/>
            <family val="2"/>
          </rPr>
          <t>GaldesMamo:</t>
        </r>
        <r>
          <rPr>
            <sz val="9"/>
            <color indexed="81"/>
            <rFont val="Tahoma"/>
            <family val="2"/>
          </rPr>
          <t xml:space="preserve">
</t>
        </r>
      </text>
    </comment>
  </commentList>
</comments>
</file>

<file path=xl/sharedStrings.xml><?xml version="1.0" encoding="utf-8"?>
<sst xmlns="http://schemas.openxmlformats.org/spreadsheetml/2006/main" count="363" uniqueCount="158">
  <si>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</si>
  <si>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</si>
  <si>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</si>
  <si>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</si>
  <si>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</si>
  <si>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</si>
  <si>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</si>
  <si>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</si>
  <si>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</si>
  <si>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The subscriber code given by BOV. This is case sensitive and only upper case is allowed.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</si>
  <si>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</si>
  <si>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</si>
  <si>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</si>
  <si>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</si>
  <si>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</si>
  <si>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</si>
  <si>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</si>
  <si>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</si>
  <si>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</si>
  <si>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</si>
  <si>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</si>
  <si>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</si>
  <si>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</si>
  <si>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</si>
  <si>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</si>
  <si>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</si>
  <si>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</si>
  <si>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</si>
  <si>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</si>
  <si>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</si>
  <si>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</si>
  <si>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Address Line 2 ( Optional )</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</si>
  <si>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</si>
  <si>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</si>
  <si>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</si>
  <si>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</si>
  <si>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</si>
  <si>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</si>
  <si>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</si>
  <si>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</si>
  <si>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</si>
  <si>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</si>
  <si>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</si>
  <si>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</si>
  <si>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</si>
  <si>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</si>
  <si>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</si>
  <si>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</si>
  <si>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</si>
  <si>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</si>
  <si>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</si>
  <si>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</si>
  <si>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</si>
  <si>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</si>
  <si>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</si>
  <si>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</si>
  <si>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</si>
  <si>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</si>
  <si>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</si>
  <si>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</si>
  <si>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</si>
  <si>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</si>
  <si>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</si>
  <si>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</si>
  <si>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</si>
  <si>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</si>
  <si>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</si>
  <si>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</si>
  <si>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</si>
  <si>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</si>
  <si>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</si>
  <si>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</si>
  <si>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</si>
  <si>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</si>
  <si>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</si>
  <si>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</si>
  <si>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</si>
  <si>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</si>
  <si>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</si>
  <si>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</si>
  <si>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</si>
  <si>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</si>
  <si>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</si>
  <si>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</si>
  <si>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</si>
  <si>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 xml:space="preserve">The list of codes to be inserted can be
found in section 10 below </t>
  </si>
  <si>
    <t>1.00.00</t>
  </si>
  <si>
    <t>BOV Documention</t>
  </si>
  <si>
    <t>Document Name</t>
  </si>
  <si>
    <t>Version</t>
  </si>
  <si>
    <t>7.0</t>
  </si>
  <si>
    <t xml:space="preserve">Last updated: </t>
  </si>
  <si>
    <t>January 2020</t>
  </si>
  <si>
    <t xml:space="preserve"> Version</t>
  </si>
  <si>
    <t>This Excel SpreadSheet</t>
  </si>
  <si>
    <t>©</t>
  </si>
  <si>
    <t>Number of transactions</t>
  </si>
  <si>
    <t>FileName</t>
  </si>
  <si>
    <t>GAM002</t>
  </si>
  <si>
    <t>GUID</t>
  </si>
  <si>
    <t>ACB, 2020-2021</t>
  </si>
  <si>
    <t xml:space="preserve">Payments Business Electronic Banking Services 
SEPA Credit Transfers file layout
Pain.001.001.03 
Feedback email from BOV with additional notes (2020-12):
We kindly ask you to take note of the following points prior of submitting files through Internet Banking:-
·        Avoid submitting files reading value date of Saturday's, Sunday's or Public Holidays.
·        Files are to be submitted with a requested execution date of Monday to Friday.
·        BOV Account holders will be paid on the requested execution date. Payments in favour of third party banks will be paid on the subsequent business day. In the case of weekend funds will be received by other banks on the subsequent business day.
·        The Cut-off time for submitting files with a same day requested execution date is 11:30hrs.
·        Files submitted of same day value after 2pm will fail in the system and a Eur 20 charge will be incurred due to backdated reason.
·        MsgID and PmtInfId tags inside the file should be unique each time a new file is submitted. Duplication of the respective tags would cause failure of file.
</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</si>
  <si>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</si>
  <si>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</si>
  <si>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</si>
  <si>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</si>
  <si>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</si>
  <si>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t>BOV</t>
  </si>
  <si>
    <r>
      <t xml:space="preserve">Length: 1-70
Content: ([A-Za-z0-9]|[+|\?|/|\-|:|\(|\)|\.|,|'|\s]){1,70}
</t>
    </r>
    <r>
      <rPr>
        <sz val="11"/>
        <color theme="4" tint="-0.499984740745262"/>
        <rFont val="Calibri"/>
        <family val="2"/>
        <scheme val="minor"/>
      </rPr>
      <t xml:space="preserve">Enter Creditor Name or 
import from Client Payee Data
</t>
    </r>
    <r>
      <rPr>
        <b/>
        <sz val="11"/>
        <color theme="4" tint="-0.499984740745262"/>
        <rFont val="Calibri"/>
        <family val="2"/>
        <scheme val="minor"/>
      </rPr>
      <t>=VLOOKUP("A/C",Payee,3,FALSE)</t>
    </r>
  </si>
  <si>
    <t>Address Line 1 (Optional)</t>
  </si>
  <si>
    <t>Address Line 2 (Optional)</t>
  </si>
  <si>
    <t>Optional: Address Line 1</t>
  </si>
  <si>
    <t>Optional: Address Line 2</t>
  </si>
  <si>
    <t>Unreferenced: Notes</t>
  </si>
  <si>
    <r>
      <t xml:space="preserve">Length: 0-70
Content: ([A-Za-z0-9]|[+|\?|/|\-|:|\(|\)|\.|,|'|\s]){0,70}
</t>
    </r>
    <r>
      <rPr>
        <sz val="11"/>
        <color theme="4" tint="-0.499984740745262"/>
        <rFont val="Calibri"/>
        <family val="2"/>
        <scheme val="minor"/>
      </rPr>
      <t xml:space="preserve">Enter Address Line 1 or 
import from Client Payee Data
</t>
    </r>
    <r>
      <rPr>
        <b/>
        <sz val="11"/>
        <color theme="4" tint="-0.499984740745262"/>
        <rFont val="Calibri"/>
        <family val="2"/>
        <scheme val="minor"/>
      </rPr>
      <t>=VLOOKUP("A/C",Payee,4,FALSE)</t>
    </r>
  </si>
  <si>
    <r>
      <t xml:space="preserve">Length: 0-70
Content: ([A-Za-z0-9]|[+|\?|/|\-|:|\(|\)|\.|,|'|\s]){0,70}
</t>
    </r>
    <r>
      <rPr>
        <sz val="11"/>
        <color theme="4" tint="-0.499984740745262"/>
        <rFont val="Calibri"/>
        <family val="2"/>
        <scheme val="minor"/>
      </rPr>
      <t xml:space="preserve">Enter Address Line 2 or 
import from Client Payee Data
</t>
    </r>
    <r>
      <rPr>
        <b/>
        <sz val="11"/>
        <color theme="4" tint="-0.499984740745262"/>
        <rFont val="Calibri"/>
        <family val="2"/>
        <scheme val="minor"/>
      </rPr>
      <t>=VLOOKUP("A/C",Payee,5,FALSE)</t>
    </r>
  </si>
  <si>
    <r>
      <t xml:space="preserve">Enter IBAN Code manually
or 
import from Client Payee Data
</t>
    </r>
    <r>
      <rPr>
        <b/>
        <sz val="11"/>
        <color theme="4" tint="-0.499984740745262"/>
        <rFont val="Calibri"/>
        <family val="2"/>
        <scheme val="minor"/>
      </rPr>
      <t>=VLOOKUP("A/C",Payee,6,FALSE)</t>
    </r>
  </si>
  <si>
    <r>
      <t xml:space="preserve">Enter IBAN Code or 
import from Client Payee Data
</t>
    </r>
    <r>
      <rPr>
        <b/>
        <sz val="11"/>
        <color theme="4" tint="-0.499984740745262"/>
        <rFont val="Calibri"/>
        <family val="2"/>
        <scheme val="minor"/>
      </rPr>
      <t>=VLOOKUP("A/C",Payee,2,FALSE)</t>
    </r>
  </si>
  <si>
    <t>Row</t>
  </si>
  <si>
    <t>Row Labels</t>
  </si>
  <si>
    <t>Grand Total</t>
  </si>
  <si>
    <t>Sum of InstdAmt</t>
  </si>
  <si>
    <t>BOV Password to zip results back</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</si>
  <si>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</si>
  <si>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</si>
  <si>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</si>
  <si>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</si>
  <si>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</si>
  <si>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</si>
  <si>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</si>
  <si>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</si>
  <si>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AUTOCHECK LTD</t>
  </si>
  <si>
    <t>MT58VALL22013000000040022986900</t>
  </si>
  <si>
    <t>AUTO SALES LTD</t>
  </si>
  <si>
    <t>MT61VALL22013000000040018188644</t>
  </si>
  <si>
    <t>AUTORAY</t>
  </si>
  <si>
    <t>MT68VALL22013000000040025486313</t>
  </si>
  <si>
    <t>Blank</t>
  </si>
  <si>
    <t>Do not move the data in column A2 and B2 as these are used within the code solution.</t>
  </si>
  <si>
    <t>AUTOCHECK</t>
  </si>
  <si>
    <t>AUTOSALES</t>
  </si>
  <si>
    <t>This Sheet won't update if Marcos aren’t enabled. 
Functionality isn't impacted if Macros are disabled.</t>
  </si>
  <si>
    <t>FALSE</t>
  </si>
  <si>
    <t>1.10.10</t>
  </si>
  <si>
    <t>Address Line 1</t>
  </si>
  <si>
    <t>1.20.00</t>
  </si>
  <si>
    <t>Increased the amount of rows in CIR from 32 -&gt; 51</t>
  </si>
  <si>
    <t>Adjusted Control Tab to reflect new entries</t>
  </si>
  <si>
    <t>Control Tab Columns Formatting is allowed</t>
  </si>
  <si>
    <t>PIR: PstlAdr:AdrLine - this field is mandatory as instructed by BoV</t>
  </si>
  <si>
    <t>TEST CO LTD</t>
  </si>
  <si>
    <t>MTXXVALL5432100000009999999999</t>
  </si>
  <si>
    <t>REF 001</t>
  </si>
  <si>
    <t>PAYEE</t>
  </si>
  <si>
    <t>MT99XXXX54321000000012345678901</t>
  </si>
  <si>
    <t>REMITTANCE ADVICE 001</t>
  </si>
  <si>
    <t>021-01</t>
  </si>
  <si>
    <t>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</si>
</sst>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Thh:mm:ss"/>
    <numFmt numFmtId="165" formatCode="yyyy\-mm\-dd"/>
  </numFmts>
  <fonts count="15" x14ac:knownFonts="1">
    <font>
      <sz val="11"/>
      <color theme="1"/>
      <name val="Calibri"/>
      <family val="2"/>
      <charset val="1"/>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0"/>
      <color theme="1"/>
      <name val="Arial Unicode MS"/>
      <family val="2"/>
    </font>
    <font>
      <b/>
      <sz val="9"/>
      <color indexed="81"/>
      <name val="Tahoma"/>
      <family val="2"/>
    </font>
    <font>
      <sz val="9"/>
      <color indexed="81"/>
      <name val="Tahoma"/>
      <family val="2"/>
    </font>
    <font>
      <sz val="12"/>
      <color theme="1"/>
      <name val="Calibri"/>
      <family val="2"/>
      <charset val="1"/>
      <scheme val="minor"/>
    </font>
    <font>
      <b/>
      <sz val="36"/>
      <color theme="1"/>
      <name val="Calibri"/>
      <family val="2"/>
      <scheme val="minor"/>
    </font>
    <font>
      <sz val="11"/>
      <color theme="4" tint="-0.499984740745262"/>
      <name val="Calibri"/>
      <family val="2"/>
      <scheme val="minor"/>
    </font>
    <font>
      <b/>
      <sz val="11"/>
      <color theme="4" tint="-0.499984740745262"/>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1"/>
        <bgColor indexed="64"/>
      </patternFill>
    </fill>
    <fill>
      <patternFill patternType="solid">
        <fgColor rgb="FFFEC6C6"/>
        <bgColor indexed="64"/>
      </patternFill>
    </fill>
    <fill>
      <patternFill patternType="solid">
        <fgColor theme="5" tint="0.59999389629810485"/>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28">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2" fillId="0" borderId="0" xfId="0" applyFont="1" applyAlignment="1">
      <alignment vertical="top" wrapText="1"/>
    </xf>
    <xf numFmtId="0" fontId="2" fillId="2" borderId="0" xfId="0" applyFont="1" applyFill="1" applyAlignment="1">
      <alignment vertical="top" wrapText="1"/>
    </xf>
    <xf numFmtId="0" fontId="2" fillId="0" borderId="0" xfId="0" applyFont="1" applyAlignment="1">
      <alignment vertical="top"/>
    </xf>
    <xf numFmtId="0" fontId="5" fillId="0" borderId="0" xfId="0" applyFont="1" applyAlignment="1">
      <alignment vertical="center"/>
    </xf>
    <xf numFmtId="0" fontId="3" fillId="0" borderId="0" xfId="0" applyFont="1"/>
    <xf numFmtId="0" fontId="3"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49" fontId="0" fillId="3" borderId="6" xfId="0" applyNumberFormat="1" applyFill="1" applyBorder="1" applyProtection="1">
      <protection locked="0"/>
    </xf>
    <xf numFmtId="4" fontId="0" fillId="2" borderId="5" xfId="0" applyNumberFormat="1" applyFill="1" applyBorder="1"/>
    <xf numFmtId="3" fontId="0" fillId="2" borderId="5" xfId="0" applyNumberFormat="1" applyFill="1" applyBorder="1"/>
    <xf numFmtId="165" fontId="0" fillId="3" borderId="5" xfId="0" applyNumberFormat="1" applyFill="1" applyBorder="1" applyProtection="1">
      <protection locked="0"/>
    </xf>
    <xf numFmtId="4" fontId="0" fillId="3" borderId="5" xfId="0" applyNumberFormat="1" applyFill="1" applyBorder="1" applyProtection="1">
      <protection locked="0"/>
    </xf>
    <xf numFmtId="0" fontId="0" fillId="0" borderId="0" xfId="0" applyAlignment="1">
      <alignment wrapText="1"/>
    </xf>
    <xf numFmtId="0" fontId="3" fillId="0" borderId="0" xfId="0" applyFont="1" applyAlignment="1">
      <alignment vertical="center"/>
    </xf>
    <xf numFmtId="0" fontId="3" fillId="0" borderId="0" xfId="0" applyFont="1" applyAlignment="1">
      <alignment horizontal="center" vertical="center" wrapText="1"/>
    </xf>
    <xf numFmtId="49" fontId="0" fillId="2" borderId="3" xfId="0" applyNumberFormat="1" applyFill="1" applyBorder="1" applyProtection="1"/>
    <xf numFmtId="0" fontId="0" fillId="2" borderId="0" xfId="0" applyFill="1" applyAlignment="1">
      <alignment vertical="top"/>
    </xf>
    <xf numFmtId="3" fontId="0" fillId="2" borderId="2" xfId="0" applyNumberFormat="1" applyFill="1" applyBorder="1" applyProtection="1"/>
    <xf numFmtId="4" fontId="0" fillId="2" borderId="2" xfId="0" applyNumberFormat="1" applyFill="1" applyBorder="1" applyProtection="1"/>
    <xf numFmtId="49" fontId="0" fillId="2" borderId="2" xfId="0" applyNumberFormat="1" applyFill="1" applyBorder="1" applyProtection="1"/>
    <xf numFmtId="0" fontId="2" fillId="0" borderId="15" xfId="0" applyFont="1" applyBorder="1" applyAlignment="1">
      <alignment vertical="top" wrapText="1"/>
    </xf>
    <xf numFmtId="0" fontId="2" fillId="2" borderId="16" xfId="0" applyFont="1" applyFill="1" applyBorder="1" applyAlignment="1">
      <alignment vertical="top" wrapText="1"/>
    </xf>
    <xf numFmtId="0" fontId="2" fillId="0" borderId="16" xfId="0" applyFont="1" applyBorder="1" applyAlignment="1">
      <alignment vertical="top" wrapText="1"/>
    </xf>
    <xf numFmtId="0" fontId="2"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2" fillId="0" borderId="19" xfId="0" applyFont="1" applyBorder="1" applyAlignment="1">
      <alignment vertical="top" wrapText="1"/>
    </xf>
    <xf numFmtId="0" fontId="0" fillId="0" borderId="20" xfId="0" applyBorder="1" applyAlignment="1">
      <alignment vertical="top" wrapText="1"/>
    </xf>
    <xf numFmtId="0" fontId="0" fillId="3" borderId="1" xfId="0" applyNumberFormat="1" applyFill="1" applyBorder="1" applyProtection="1">
      <protection locked="0"/>
    </xf>
    <xf numFmtId="0" fontId="0" fillId="0" borderId="1" xfId="0" applyBorder="1" applyProtection="1"/>
    <xf numFmtId="0" fontId="0" fillId="0" borderId="2" xfId="0" applyBorder="1" applyProtection="1"/>
    <xf numFmtId="0" fontId="0" fillId="0" borderId="0" xfId="0" applyProtection="1"/>
    <xf numFmtId="0" fontId="0" fillId="0" borderId="3" xfId="0" applyBorder="1" applyProtection="1"/>
    <xf numFmtId="0" fontId="0" fillId="0" borderId="7" xfId="0" applyBorder="1" applyAlignment="1" applyProtection="1">
      <alignment vertical="top"/>
    </xf>
    <xf numFmtId="0" fontId="0" fillId="0" borderId="8" xfId="0" applyBorder="1" applyAlignment="1" applyProtection="1">
      <alignment vertical="top"/>
    </xf>
    <xf numFmtId="0" fontId="0" fillId="0" borderId="10" xfId="0" applyBorder="1" applyProtection="1"/>
    <xf numFmtId="0" fontId="0" fillId="0" borderId="0" xfId="0" applyBorder="1" applyProtection="1"/>
    <xf numFmtId="0" fontId="0" fillId="0" borderId="12" xfId="0" applyBorder="1" applyProtection="1"/>
    <xf numFmtId="0" fontId="0" fillId="0" borderId="13" xfId="0" applyBorder="1" applyProtection="1"/>
    <xf numFmtId="0" fontId="0" fillId="0" borderId="2" xfId="0" applyBorder="1" applyAlignment="1" applyProtection="1">
      <alignment vertical="top" wrapText="1"/>
    </xf>
    <xf numFmtId="0" fontId="0" fillId="0" borderId="2" xfId="0" quotePrefix="1" applyBorder="1" applyAlignment="1" applyProtection="1">
      <alignment vertical="top" wrapText="1"/>
    </xf>
    <xf numFmtId="0" fontId="0" fillId="0" borderId="3" xfId="0" quotePrefix="1" applyBorder="1" applyProtection="1"/>
    <xf numFmtId="0" fontId="0" fillId="0" borderId="0" xfId="0" applyAlignment="1" applyProtection="1">
      <alignment vertical="top" wrapText="1"/>
    </xf>
    <xf numFmtId="0" fontId="0" fillId="0" borderId="0" xfId="0" quotePrefix="1" applyAlignment="1" applyProtection="1">
      <alignment vertical="top" wrapText="1"/>
    </xf>
    <xf numFmtId="0" fontId="0" fillId="0" borderId="0" xfId="0" quotePrefix="1" applyProtection="1"/>
    <xf numFmtId="0" fontId="0" fillId="0" borderId="7" xfId="0" applyBorder="1" applyProtection="1"/>
    <xf numFmtId="0" fontId="0" fillId="0" borderId="8" xfId="0" applyBorder="1" applyProtection="1"/>
    <xf numFmtId="0" fontId="0" fillId="0" borderId="9" xfId="0" applyBorder="1" applyProtection="1"/>
    <xf numFmtId="0" fontId="0" fillId="0" borderId="14" xfId="0" applyBorder="1" applyProtection="1"/>
    <xf numFmtId="14" fontId="0" fillId="0" borderId="2" xfId="0" applyNumberFormat="1" applyBorder="1" applyProtection="1"/>
    <xf numFmtId="14" fontId="0" fillId="0" borderId="3" xfId="0" applyNumberFormat="1" applyBorder="1" applyProtection="1"/>
    <xf numFmtId="164" fontId="0" fillId="2" borderId="2" xfId="0" applyNumberFormat="1" applyFill="1" applyBorder="1" applyProtection="1"/>
    <xf numFmtId="0" fontId="0" fillId="0" borderId="0" xfId="0" applyProtection="1">
      <protection locked="0"/>
    </xf>
    <xf numFmtId="0" fontId="0" fillId="3" borderId="5" xfId="0" applyNumberFormat="1" applyFill="1" applyBorder="1" applyProtection="1">
      <protection locked="0"/>
    </xf>
    <xf numFmtId="0" fontId="10" fillId="0" borderId="0" xfId="0" applyFont="1" applyFill="1" applyAlignment="1">
      <alignment vertical="top" wrapText="1"/>
    </xf>
    <xf numFmtId="0" fontId="12" fillId="0" borderId="0" xfId="0" applyFont="1" applyAlignment="1">
      <alignment horizontal="center" vertical="center"/>
    </xf>
    <xf numFmtId="0" fontId="12" fillId="0" borderId="0" xfId="0" applyFont="1" applyAlignment="1" applyProtection="1">
      <alignment horizontal="center" vertical="center"/>
      <protection locked="0"/>
    </xf>
    <xf numFmtId="0" fontId="8" fillId="0" borderId="0" xfId="0" applyFont="1" applyProtection="1">
      <protection locked="0"/>
    </xf>
    <xf numFmtId="0" fontId="8" fillId="0" borderId="0" xfId="0" applyFont="1"/>
    <xf numFmtId="0" fontId="12" fillId="0" borderId="0" xfId="0" applyFont="1" applyAlignment="1" applyProtection="1">
      <alignment horizontal="center" vertical="center" wrapText="1"/>
      <protection locked="0"/>
    </xf>
    <xf numFmtId="0" fontId="8" fillId="0" borderId="0" xfId="0" applyFont="1" applyProtection="1"/>
    <xf numFmtId="0" fontId="0" fillId="5" borderId="0" xfId="0" applyFill="1" applyProtection="1">
      <protection locked="0" hidden="1"/>
    </xf>
    <xf numFmtId="0" fontId="0" fillId="0" borderId="0" xfId="0" applyAlignment="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applyNumberFormat="1" applyBorder="1"/>
    <xf numFmtId="0" fontId="0" fillId="0" borderId="0" xfId="0" pivotButton="1" applyProtection="1"/>
    <xf numFmtId="0" fontId="0" fillId="0" borderId="0" xfId="0" applyAlignment="1" applyProtection="1">
      <alignment horizontal="left"/>
    </xf>
    <xf numFmtId="4" fontId="0" fillId="0" borderId="0" xfId="0" applyNumberFormat="1" applyProtection="1"/>
    <xf numFmtId="4" fontId="0" fillId="0" borderId="0" xfId="0" applyNumberFormat="1" applyBorder="1"/>
    <xf numFmtId="49" fontId="0" fillId="2" borderId="5" xfId="0" applyNumberFormat="1" applyFill="1" applyBorder="1"/>
    <xf numFmtId="49" fontId="0" fillId="2" borderId="6" xfId="0" applyNumberFormat="1" applyFill="1" applyBorder="1"/>
    <xf numFmtId="0" fontId="0" fillId="0" borderId="0" xfId="0" applyAlignment="1" applyProtection="1">
      <alignment horizontal="left" indent="1"/>
    </xf>
    <xf numFmtId="0" fontId="0" fillId="0" borderId="11" xfId="0" applyBorder="1"/>
    <xf numFmtId="0" fontId="2" fillId="0" borderId="0" xfId="0" applyFont="1" applyProtection="1"/>
    <xf numFmtId="0" fontId="0" fillId="0" borderId="0" xfId="0" applyAlignment="1" applyProtection="1">
      <alignment wrapText="1"/>
    </xf>
    <xf numFmtId="0" fontId="3" fillId="0" borderId="0" xfId="0" applyFont="1" applyAlignment="1" applyProtection="1">
      <alignment horizontal="center" vertical="center" wrapText="1"/>
    </xf>
    <xf numFmtId="3" fontId="0" fillId="0" borderId="0" xfId="0" applyNumberFormat="1" applyProtection="1"/>
    <xf numFmtId="0" fontId="0" fillId="0" borderId="0" xfId="0" applyAlignment="1">
      <alignment horizontal="center"/>
    </xf>
    <xf numFmtId="0" fontId="0" fillId="0" borderId="12" xfId="0" applyBorder="1"/>
    <xf numFmtId="0" fontId="0" fillId="0" borderId="13" xfId="0" applyNumberFormat="1" applyBorder="1"/>
    <xf numFmtId="0" fontId="0" fillId="0" borderId="14" xfId="0" applyBorder="1"/>
    <xf numFmtId="0" fontId="14" fillId="6" borderId="7"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6" borderId="14" xfId="0" applyFill="1" applyBorder="1" applyAlignment="1">
      <alignment horizontal="center" vertical="center" wrapText="1"/>
    </xf>
    <xf numFmtId="0" fontId="14" fillId="7" borderId="7" xfId="0" applyFont="1" applyFill="1" applyBorder="1" applyAlignment="1">
      <alignment horizontal="center" vertical="center" wrapText="1"/>
    </xf>
    <xf numFmtId="0" fontId="0" fillId="7" borderId="8" xfId="0" applyFill="1" applyBorder="1" applyAlignment="1">
      <alignment horizontal="center" vertical="center" wrapText="1"/>
    </xf>
    <xf numFmtId="0" fontId="0" fillId="7" borderId="9" xfId="0" applyFill="1" applyBorder="1" applyAlignment="1">
      <alignment horizontal="center" vertical="center" wrapText="1"/>
    </xf>
    <xf numFmtId="0" fontId="0" fillId="7" borderId="10" xfId="0" applyFill="1" applyBorder="1" applyAlignment="1">
      <alignment horizontal="center" vertical="center" wrapText="1"/>
    </xf>
    <xf numFmtId="0" fontId="0" fillId="7" borderId="0" xfId="0" applyFill="1" applyBorder="1" applyAlignment="1">
      <alignment horizontal="center" vertical="center" wrapText="1"/>
    </xf>
    <xf numFmtId="0" fontId="0" fillId="7" borderId="11" xfId="0" applyFill="1" applyBorder="1" applyAlignment="1">
      <alignment horizontal="center" vertical="center" wrapText="1"/>
    </xf>
    <xf numFmtId="0" fontId="0" fillId="7" borderId="12" xfId="0" applyFill="1" applyBorder="1" applyAlignment="1">
      <alignment horizontal="center" vertical="center" wrapText="1"/>
    </xf>
    <xf numFmtId="0" fontId="0" fillId="7" borderId="13" xfId="0" applyFill="1" applyBorder="1" applyAlignment="1">
      <alignment horizontal="center" vertical="center" wrapText="1"/>
    </xf>
    <xf numFmtId="0" fontId="0" fillId="7" borderId="14" xfId="0" applyFill="1" applyBorder="1" applyAlignment="1">
      <alignment horizontal="center" vertical="center" wrapText="1"/>
    </xf>
    <xf numFmtId="0" fontId="9" fillId="4" borderId="7" xfId="0" applyFont="1" applyFill="1" applyBorder="1" applyAlignment="1" applyProtection="1">
      <alignment horizontal="center" vertical="center" wrapText="1"/>
    </xf>
    <xf numFmtId="0" fontId="9" fillId="4" borderId="8" xfId="0" applyFont="1" applyFill="1" applyBorder="1" applyAlignment="1" applyProtection="1">
      <alignment horizontal="center" vertical="center" wrapText="1"/>
    </xf>
    <xf numFmtId="0" fontId="9" fillId="4" borderId="9" xfId="0" applyFont="1" applyFill="1" applyBorder="1" applyAlignment="1" applyProtection="1">
      <alignment horizontal="center" vertical="center" wrapText="1"/>
    </xf>
    <xf numFmtId="0" fontId="9" fillId="4" borderId="10" xfId="0" applyFont="1" applyFill="1" applyBorder="1" applyAlignment="1" applyProtection="1">
      <alignment horizontal="center" vertical="center" wrapText="1"/>
    </xf>
    <xf numFmtId="0" fontId="9" fillId="4" borderId="0" xfId="0" applyFont="1" applyFill="1" applyBorder="1" applyAlignment="1" applyProtection="1">
      <alignment horizontal="center" vertical="center" wrapText="1"/>
    </xf>
    <xf numFmtId="0" fontId="9" fillId="4" borderId="11" xfId="0" applyFont="1" applyFill="1" applyBorder="1" applyAlignment="1" applyProtection="1">
      <alignment horizontal="center" vertical="center" wrapText="1"/>
    </xf>
    <xf numFmtId="0" fontId="9" fillId="4" borderId="12" xfId="0" applyFont="1" applyFill="1" applyBorder="1" applyAlignment="1" applyProtection="1">
      <alignment horizontal="center" vertical="center" wrapText="1"/>
    </xf>
    <xf numFmtId="0" fontId="9" fillId="4" borderId="13" xfId="0" applyFont="1" applyFill="1" applyBorder="1" applyAlignment="1" applyProtection="1">
      <alignment horizontal="center" vertical="center" wrapText="1"/>
    </xf>
    <xf numFmtId="0" fontId="9" fillId="4" borderId="14" xfId="0" applyFont="1" applyFill="1" applyBorder="1" applyAlignment="1" applyProtection="1">
      <alignment horizontal="center" vertical="center" wrapText="1"/>
    </xf>
    <xf numFmtId="0" fontId="0" fillId="0" borderId="8" xfId="0" applyBorder="1" applyAlignment="1" applyProtection="1">
      <alignment horizontal="left" wrapText="1"/>
    </xf>
    <xf numFmtId="0" fontId="0" fillId="0" borderId="9" xfId="0" applyBorder="1" applyAlignment="1" applyProtection="1">
      <alignment horizontal="left" wrapText="1"/>
    </xf>
    <xf numFmtId="0" fontId="0" fillId="0" borderId="0" xfId="0" quotePrefix="1" applyBorder="1" applyProtection="1"/>
    <xf numFmtId="0" fontId="0" fillId="0" borderId="11" xfId="0" quotePrefix="1" applyBorder="1" applyProtection="1"/>
    <xf numFmtId="17" fontId="0" fillId="0" borderId="13" xfId="0" quotePrefix="1" applyNumberFormat="1" applyBorder="1" applyAlignment="1" applyProtection="1">
      <alignment horizontal="left"/>
    </xf>
    <xf numFmtId="17" fontId="0" fillId="0" borderId="14" xfId="0" quotePrefix="1" applyNumberFormat="1" applyBorder="1" applyAlignment="1" applyProtection="1">
      <alignment horizontal="left"/>
    </xf>
    <xf numFmtId="0" fontId="0" fillId="0" borderId="2" xfId="0" applyBorder="1" applyProtection="1"/>
    <xf numFmtId="0" fontId="0" fillId="0" borderId="3" xfId="0" applyBorder="1" applyProtection="1"/>
  </cellXfs>
  <cellStyles count="1">
    <cellStyle name="Normal" xfId="0" builtinId="0"/>
  </cellStyles>
  <dxfs count="7">
    <dxf>
      <protection locked="1"/>
    </dxf>
    <dxf>
      <protection locked="1"/>
    </dxf>
    <dxf>
      <protection locked="1"/>
    </dxf>
    <dxf>
      <protection locked="1"/>
    </dxf>
    <dxf>
      <protection locked="1"/>
    </dxf>
    <dxf>
      <protection locked="1"/>
    </dxf>
    <dxf>
      <numFmt numFmtId="4" formatCode="#,##0.00"/>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B" refreshedDate="44352.801681828707" createdVersion="5" refreshedVersion="6" minRefreshableVersion="3" recordCount="51" xr:uid="{00000000-000A-0000-FFFF-FFFF00000000}">
  <cacheSource type="worksheet">
    <worksheetSource ref="D1:P52" sheet="Control"/>
  </cacheSource>
  <cacheFields count="13">
    <cacheField name="Row" numFmtId="0">
      <sharedItems containsSemiMixedTypes="0" containsString="0" containsNumber="1" containsInteger="1" minValue="1" maxValue="51"/>
    </cacheField>
    <cacheField name="InstrId" numFmtId="0">
      <sharedItems/>
    </cacheField>
    <cacheField name="EndToEndId" numFmtId="0">
      <sharedItems/>
    </cacheField>
    <cacheField name="Ccy" numFmtId="0">
      <sharedItems/>
    </cacheField>
    <cacheField name="InstdAmt" numFmtId="0">
      <sharedItems containsMixedTypes="1" containsNumber="1" containsInteger="1" minValue="100" maxValue="100"/>
    </cacheField>
    <cacheField name="BIC" numFmtId="0">
      <sharedItems/>
    </cacheField>
    <cacheField name="Nm" numFmtId="0">
      <sharedItems count="51">
        <s v="PAYEE"/>
        <s v=""/>
        <s v="yyyyy" u="1"/>
        <s v="FRANK BORDA LTD" u="1"/>
        <s v="EASY PARTS &amp; SERVICES" u="1"/>
        <s v="yy" u="1"/>
        <s v="C &amp; C MONTEBELLO AUTO PARTS" u="1"/>
        <s v="z" u="1"/>
        <s v="CARWISE LTD" u="1"/>
        <s v="xx" u="1"/>
        <s v="CONTINENTAL CARS" u="1"/>
        <s v="SCHUBERG RAD." u="1"/>
        <s v="PARTS SUPPLY LIMITED" u="1"/>
        <s v="x" u="1"/>
        <s v="S.J AUTOPARTS" u="1"/>
        <s v="MICHAEL ATTARD IMPORTS  LTD AC3" u="1"/>
        <s v="M.N.D. LTD" u="1"/>
        <s v="xxxxx" u="1"/>
        <s v="INDUSTRIAL MOTORS" u="1"/>
        <s v="MELI CAR RENTALS LTD." u="1"/>
        <s v="SERVICES RYMA AUTOMOTIVE LTD" u="1"/>
        <s v="JOE'S GARAGE (PEPPI)" u="1"/>
        <s v="C.M. AUTOPARTS" u="1"/>
        <s v="MICHAEL DEBONO SG006" u="1"/>
        <s v="SERVICES MICHAEL ATTARD G3807" u="1"/>
        <s v="ac" u="1"/>
        <s v="MICHAEL ATTARD IMPORTS LTD AC2" u="1"/>
        <s v="AUTORAY" u="1"/>
        <s v="FRANKS AUTO PARTS" u="1"/>
        <s v="SERVICES GASAN ZAMMIT DPG005" u="1"/>
        <s v="zzz" u="1"/>
        <s v="xxx" u="1"/>
        <s v="SERVICES MICHAEL DEBONO LTD SG007" u="1"/>
        <s v="MUSCAT MOTORS" u="1"/>
        <s v="TPG MALTA LTD" u="1"/>
        <s v="y" u="1"/>
        <s v="zzzz" u="1"/>
        <s v="zzzzz" u="1"/>
        <s v="SERVICES CONTINENTAL" u="1"/>
        <s v="I.S.G LTD" u="1"/>
        <s v="K.M IMPORTS" u="1"/>
        <s v="yyyy" u="1"/>
        <s v="yyyyyy" u="1"/>
        <s v="TECNOPLUS LTD" u="1"/>
        <s v="DMD AUTOPARTS" u="1"/>
        <s v="INT. AUTO PRODUCTS" u="1"/>
        <s v="ab" u="1"/>
        <s v="xxxx" u="1"/>
        <s v="RYMA AUTO PARTS LTD" u="1"/>
        <s v="DEBSON AUTOPARTS" u="1"/>
        <s v="zz" u="1"/>
      </sharedItems>
    </cacheField>
    <cacheField name="PstlAdr:AdrLine" numFmtId="0">
      <sharedItems/>
    </cacheField>
    <cacheField name="PstlAdr:AdrLine2" numFmtId="0">
      <sharedItems/>
    </cacheField>
    <cacheField name="IBAN" numFmtId="0">
      <sharedItems count="29">
        <s v="MT99XXXX54321000000012345678901"/>
        <s v=""/>
        <s v="MT64MMEB44439000000043001916001" u="1"/>
        <s v="MT91VALL22013000000050003168575" u="1"/>
        <s v="MT35APSB77002006687520001110135" u="1"/>
        <s v="MT33VALL22013000000040023095214" u="1"/>
        <s v="MT34VALL22013000000016310898019" u="1"/>
        <s v="MT33VALL22013000000040019973463" u="1"/>
        <s v="MT50VALL22013000000040021737587" u="1"/>
        <s v="MT10VALL22013000000010201982108" u="1"/>
        <s v="MT43MMEB44118000000011166055001" u="1"/>
        <s v="MT90MMEB44392000000039034756001" u="1"/>
        <s v="MT52VALL22013000000040021248186" u="1"/>
        <s v="MT80VALL22013000000040020931656" u="1"/>
        <s v="MT68VALL22013000000040025486313" u="1"/>
        <s v="MT23VALL22013000000040011285353" u="1"/>
        <s v="MT95VALL22013000000040025883042" u="1"/>
        <s v="MT12VALL22013000000040025038114" u="1"/>
        <s v="MT79VALL22013000000040023818297" u="1"/>
        <s v="MT51MMEB44543000000054157417005" u="1"/>
        <s v="MT47VALL22013000000040023687826" u="1"/>
        <s v="MT02VALL22013000000011001470026" u="1"/>
        <s v="MT39VALL22013000000040018922651" u="1"/>
        <s v="MT86VALL2013000000016503554021" u="1"/>
        <s v="MT32VALL22013000000040017726379" u="1"/>
        <s v="MT84BNIF14502000000000546003101" u="1"/>
        <s v="MT56VALL22013000000040022588557" u="1"/>
        <s v="MT07VALL22013000000040024502861" u="1"/>
        <s v="MT37MMEB44439000000043001098001" u="1"/>
      </sharedItems>
    </cacheField>
    <cacheField name="Cd" numFmtId="0">
      <sharedItems/>
    </cacheField>
    <cacheField name="Ustrd" numFmtId="0">
      <sharedItems/>
    </cacheField>
    <cacheField name="Blank" numFmtId="0">
      <sharedItems count="2">
        <b v="0"/>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n v="1"/>
    <s v="021-01"/>
    <s v="REF 001"/>
    <s v="EUR"/>
    <n v="100"/>
    <s v="VALLMTMT"/>
    <x v="0"/>
    <s v=""/>
    <s v=""/>
    <x v="0"/>
    <s v="SUPP"/>
    <s v="REMITTANCE ADVICE 001"/>
    <x v="0"/>
  </r>
  <r>
    <n v="2"/>
    <s v=""/>
    <s v=""/>
    <s v="EUR"/>
    <s v=""/>
    <s v=""/>
    <x v="1"/>
    <s v=""/>
    <s v=""/>
    <x v="1"/>
    <s v=""/>
    <s v=""/>
    <x v="1"/>
  </r>
  <r>
    <n v="3"/>
    <s v=""/>
    <s v=""/>
    <s v="EUR"/>
    <s v=""/>
    <s v=""/>
    <x v="1"/>
    <s v=""/>
    <s v=""/>
    <x v="1"/>
    <s v=""/>
    <s v=""/>
    <x v="1"/>
  </r>
  <r>
    <n v="4"/>
    <s v=""/>
    <s v=""/>
    <s v="EUR"/>
    <s v=""/>
    <s v=""/>
    <x v="1"/>
    <s v=""/>
    <s v=""/>
    <x v="1"/>
    <s v=""/>
    <s v=""/>
    <x v="1"/>
  </r>
  <r>
    <n v="5"/>
    <s v=""/>
    <s v=""/>
    <s v="EUR"/>
    <s v=""/>
    <s v=""/>
    <x v="1"/>
    <s v=""/>
    <s v=""/>
    <x v="1"/>
    <s v=""/>
    <s v=""/>
    <x v="1"/>
  </r>
  <r>
    <n v="6"/>
    <s v=""/>
    <s v=""/>
    <s v="EUR"/>
    <s v=""/>
    <s v=""/>
    <x v="1"/>
    <s v=""/>
    <s v=""/>
    <x v="1"/>
    <s v=""/>
    <s v=""/>
    <x v="1"/>
  </r>
  <r>
    <n v="7"/>
    <s v=""/>
    <s v=""/>
    <s v="EUR"/>
    <s v=""/>
    <s v=""/>
    <x v="1"/>
    <s v=""/>
    <s v=""/>
    <x v="1"/>
    <s v=""/>
    <s v=""/>
    <x v="1"/>
  </r>
  <r>
    <n v="8"/>
    <s v=""/>
    <s v=""/>
    <s v="EUR"/>
    <s v=""/>
    <s v=""/>
    <x v="1"/>
    <s v=""/>
    <s v=""/>
    <x v="1"/>
    <s v=""/>
    <s v=""/>
    <x v="1"/>
  </r>
  <r>
    <n v="9"/>
    <s v=""/>
    <s v=""/>
    <s v="EUR"/>
    <s v=""/>
    <s v=""/>
    <x v="1"/>
    <s v=""/>
    <s v=""/>
    <x v="1"/>
    <s v=""/>
    <s v=""/>
    <x v="1"/>
  </r>
  <r>
    <n v="10"/>
    <s v=""/>
    <s v=""/>
    <s v="EUR"/>
    <s v=""/>
    <s v=""/>
    <x v="1"/>
    <s v=""/>
    <s v=""/>
    <x v="1"/>
    <s v=""/>
    <s v=""/>
    <x v="1"/>
  </r>
  <r>
    <n v="11"/>
    <s v=""/>
    <s v=""/>
    <s v="EUR"/>
    <s v=""/>
    <s v=""/>
    <x v="1"/>
    <s v=""/>
    <s v=""/>
    <x v="1"/>
    <s v=""/>
    <s v=""/>
    <x v="1"/>
  </r>
  <r>
    <n v="12"/>
    <s v=""/>
    <s v=""/>
    <s v="EUR"/>
    <s v=""/>
    <s v=""/>
    <x v="1"/>
    <s v=""/>
    <s v=""/>
    <x v="1"/>
    <s v=""/>
    <s v=""/>
    <x v="1"/>
  </r>
  <r>
    <n v="13"/>
    <s v=""/>
    <s v=""/>
    <s v="EUR"/>
    <s v=""/>
    <s v=""/>
    <x v="1"/>
    <s v=""/>
    <s v=""/>
    <x v="1"/>
    <s v=""/>
    <s v=""/>
    <x v="1"/>
  </r>
  <r>
    <n v="14"/>
    <s v=""/>
    <s v=""/>
    <s v="EUR"/>
    <s v=""/>
    <s v=""/>
    <x v="1"/>
    <s v=""/>
    <s v=""/>
    <x v="1"/>
    <s v=""/>
    <s v=""/>
    <x v="1"/>
  </r>
  <r>
    <n v="15"/>
    <s v=""/>
    <s v=""/>
    <s v="EUR"/>
    <s v=""/>
    <s v=""/>
    <x v="1"/>
    <s v=""/>
    <s v=""/>
    <x v="1"/>
    <s v=""/>
    <s v=""/>
    <x v="1"/>
  </r>
  <r>
    <n v="16"/>
    <s v=""/>
    <s v=""/>
    <s v="EUR"/>
    <s v=""/>
    <s v=""/>
    <x v="1"/>
    <s v=""/>
    <s v=""/>
    <x v="1"/>
    <s v=""/>
    <s v=""/>
    <x v="1"/>
  </r>
  <r>
    <n v="17"/>
    <s v=""/>
    <s v=""/>
    <s v="EUR"/>
    <s v=""/>
    <s v=""/>
    <x v="1"/>
    <s v=""/>
    <s v=""/>
    <x v="1"/>
    <s v=""/>
    <s v=""/>
    <x v="1"/>
  </r>
  <r>
    <n v="18"/>
    <s v=""/>
    <s v=""/>
    <s v="EUR"/>
    <s v=""/>
    <s v=""/>
    <x v="1"/>
    <s v=""/>
    <s v=""/>
    <x v="1"/>
    <s v=""/>
    <s v=""/>
    <x v="1"/>
  </r>
  <r>
    <n v="19"/>
    <s v=""/>
    <s v=""/>
    <s v="EUR"/>
    <s v=""/>
    <s v=""/>
    <x v="1"/>
    <s v=""/>
    <s v=""/>
    <x v="1"/>
    <s v=""/>
    <s v=""/>
    <x v="1"/>
  </r>
  <r>
    <n v="20"/>
    <s v=""/>
    <s v=""/>
    <s v="EUR"/>
    <s v=""/>
    <s v=""/>
    <x v="1"/>
    <s v=""/>
    <s v=""/>
    <x v="1"/>
    <s v=""/>
    <s v=""/>
    <x v="1"/>
  </r>
  <r>
    <n v="21"/>
    <s v=""/>
    <s v=""/>
    <s v="EUR"/>
    <s v=""/>
    <s v=""/>
    <x v="1"/>
    <s v=""/>
    <s v=""/>
    <x v="1"/>
    <s v=""/>
    <s v=""/>
    <x v="1"/>
  </r>
  <r>
    <n v="22"/>
    <s v=""/>
    <s v=""/>
    <s v="EUR"/>
    <s v=""/>
    <s v=""/>
    <x v="1"/>
    <s v=""/>
    <s v=""/>
    <x v="1"/>
    <s v=""/>
    <s v=""/>
    <x v="1"/>
  </r>
  <r>
    <n v="23"/>
    <s v=""/>
    <s v=""/>
    <s v="EUR"/>
    <s v=""/>
    <s v=""/>
    <x v="1"/>
    <s v=""/>
    <s v=""/>
    <x v="1"/>
    <s v=""/>
    <s v=""/>
    <x v="1"/>
  </r>
  <r>
    <n v="24"/>
    <s v=""/>
    <s v=""/>
    <s v="EUR"/>
    <s v=""/>
    <s v=""/>
    <x v="1"/>
    <s v=""/>
    <s v=""/>
    <x v="1"/>
    <s v=""/>
    <s v=""/>
    <x v="1"/>
  </r>
  <r>
    <n v="25"/>
    <s v=""/>
    <s v=""/>
    <s v="EUR"/>
    <s v=""/>
    <s v=""/>
    <x v="1"/>
    <s v=""/>
    <s v=""/>
    <x v="1"/>
    <s v=""/>
    <s v=""/>
    <x v="1"/>
  </r>
  <r>
    <n v="26"/>
    <s v=""/>
    <s v=""/>
    <s v="EUR"/>
    <s v=""/>
    <s v=""/>
    <x v="1"/>
    <s v=""/>
    <s v=""/>
    <x v="1"/>
    <s v=""/>
    <s v=""/>
    <x v="1"/>
  </r>
  <r>
    <n v="27"/>
    <s v=""/>
    <s v=""/>
    <s v="EUR"/>
    <s v=""/>
    <s v=""/>
    <x v="1"/>
    <s v=""/>
    <s v=""/>
    <x v="1"/>
    <s v=""/>
    <s v=""/>
    <x v="1"/>
  </r>
  <r>
    <n v="28"/>
    <s v=""/>
    <s v=""/>
    <s v="EUR"/>
    <s v=""/>
    <s v=""/>
    <x v="1"/>
    <s v=""/>
    <s v=""/>
    <x v="1"/>
    <s v=""/>
    <s v=""/>
    <x v="1"/>
  </r>
  <r>
    <n v="29"/>
    <s v=""/>
    <s v=""/>
    <s v="EUR"/>
    <s v=""/>
    <s v=""/>
    <x v="1"/>
    <s v=""/>
    <s v=""/>
    <x v="1"/>
    <s v=""/>
    <s v=""/>
    <x v="1"/>
  </r>
  <r>
    <n v="30"/>
    <s v=""/>
    <s v=""/>
    <s v="EUR"/>
    <s v=""/>
    <s v=""/>
    <x v="1"/>
    <s v=""/>
    <s v=""/>
    <x v="1"/>
    <s v=""/>
    <s v=""/>
    <x v="1"/>
  </r>
  <r>
    <n v="31"/>
    <s v=""/>
    <s v=""/>
    <s v="EUR"/>
    <s v=""/>
    <s v=""/>
    <x v="1"/>
    <s v=""/>
    <s v=""/>
    <x v="1"/>
    <s v=""/>
    <s v=""/>
    <x v="1"/>
  </r>
  <r>
    <n v="32"/>
    <s v=""/>
    <s v=""/>
    <s v="EUR"/>
    <s v=""/>
    <s v=""/>
    <x v="1"/>
    <s v=""/>
    <s v=""/>
    <x v="1"/>
    <s v=""/>
    <s v=""/>
    <x v="1"/>
  </r>
  <r>
    <n v="33"/>
    <s v=""/>
    <s v=""/>
    <s v="EUR"/>
    <s v=""/>
    <s v=""/>
    <x v="1"/>
    <s v=""/>
    <s v=""/>
    <x v="1"/>
    <s v=""/>
    <s v=""/>
    <x v="1"/>
  </r>
  <r>
    <n v="34"/>
    <s v=""/>
    <s v=""/>
    <s v="EUR"/>
    <s v=""/>
    <s v=""/>
    <x v="1"/>
    <s v=""/>
    <s v=""/>
    <x v="1"/>
    <s v=""/>
    <s v=""/>
    <x v="1"/>
  </r>
  <r>
    <n v="35"/>
    <s v=""/>
    <s v=""/>
    <s v="EUR"/>
    <s v=""/>
    <s v=""/>
    <x v="1"/>
    <s v=""/>
    <s v=""/>
    <x v="1"/>
    <s v=""/>
    <s v=""/>
    <x v="1"/>
  </r>
  <r>
    <n v="36"/>
    <s v=""/>
    <s v=""/>
    <s v="EUR"/>
    <s v=""/>
    <s v=""/>
    <x v="1"/>
    <s v=""/>
    <s v=""/>
    <x v="1"/>
    <s v=""/>
    <s v=""/>
    <x v="1"/>
  </r>
  <r>
    <n v="37"/>
    <s v=""/>
    <s v=""/>
    <s v="EUR"/>
    <s v=""/>
    <s v=""/>
    <x v="1"/>
    <s v=""/>
    <s v=""/>
    <x v="1"/>
    <s v=""/>
    <s v=""/>
    <x v="1"/>
  </r>
  <r>
    <n v="38"/>
    <s v=""/>
    <s v=""/>
    <s v="EUR"/>
    <s v=""/>
    <s v=""/>
    <x v="1"/>
    <s v=""/>
    <s v=""/>
    <x v="1"/>
    <s v=""/>
    <s v=""/>
    <x v="1"/>
  </r>
  <r>
    <n v="39"/>
    <s v=""/>
    <s v=""/>
    <s v="EUR"/>
    <s v=""/>
    <s v=""/>
    <x v="1"/>
    <s v=""/>
    <s v=""/>
    <x v="1"/>
    <s v=""/>
    <s v=""/>
    <x v="1"/>
  </r>
  <r>
    <n v="40"/>
    <s v=""/>
    <s v=""/>
    <s v="EUR"/>
    <s v=""/>
    <s v=""/>
    <x v="1"/>
    <s v=""/>
    <s v=""/>
    <x v="1"/>
    <s v=""/>
    <s v=""/>
    <x v="1"/>
  </r>
  <r>
    <n v="41"/>
    <s v=""/>
    <s v=""/>
    <s v="EUR"/>
    <s v=""/>
    <s v=""/>
    <x v="1"/>
    <s v=""/>
    <s v=""/>
    <x v="1"/>
    <s v=""/>
    <s v=""/>
    <x v="1"/>
  </r>
  <r>
    <n v="42"/>
    <s v=""/>
    <s v=""/>
    <s v="EUR"/>
    <s v=""/>
    <s v=""/>
    <x v="1"/>
    <s v=""/>
    <s v=""/>
    <x v="1"/>
    <s v=""/>
    <s v=""/>
    <x v="1"/>
  </r>
  <r>
    <n v="43"/>
    <s v=""/>
    <s v=""/>
    <s v="EUR"/>
    <s v=""/>
    <s v=""/>
    <x v="1"/>
    <s v=""/>
    <s v=""/>
    <x v="1"/>
    <s v=""/>
    <s v=""/>
    <x v="1"/>
  </r>
  <r>
    <n v="44"/>
    <s v=""/>
    <s v=""/>
    <s v="EUR"/>
    <s v=""/>
    <s v=""/>
    <x v="1"/>
    <s v=""/>
    <s v=""/>
    <x v="1"/>
    <s v=""/>
    <s v=""/>
    <x v="1"/>
  </r>
  <r>
    <n v="45"/>
    <s v=""/>
    <s v=""/>
    <s v="EUR"/>
    <s v=""/>
    <s v=""/>
    <x v="1"/>
    <s v=""/>
    <s v=""/>
    <x v="1"/>
    <s v=""/>
    <s v=""/>
    <x v="1"/>
  </r>
  <r>
    <n v="46"/>
    <s v=""/>
    <s v=""/>
    <s v="EUR"/>
    <s v=""/>
    <s v=""/>
    <x v="1"/>
    <s v=""/>
    <s v=""/>
    <x v="1"/>
    <s v=""/>
    <s v=""/>
    <x v="1"/>
  </r>
  <r>
    <n v="47"/>
    <s v=""/>
    <s v=""/>
    <s v="EUR"/>
    <s v=""/>
    <s v=""/>
    <x v="1"/>
    <s v=""/>
    <s v=""/>
    <x v="1"/>
    <s v=""/>
    <s v=""/>
    <x v="1"/>
  </r>
  <r>
    <n v="48"/>
    <s v=""/>
    <s v=""/>
    <s v="EUR"/>
    <s v=""/>
    <s v=""/>
    <x v="1"/>
    <s v=""/>
    <s v=""/>
    <x v="1"/>
    <s v=""/>
    <s v=""/>
    <x v="1"/>
  </r>
  <r>
    <n v="49"/>
    <s v=""/>
    <s v=""/>
    <s v="EUR"/>
    <s v=""/>
    <s v=""/>
    <x v="1"/>
    <s v=""/>
    <s v=""/>
    <x v="1"/>
    <s v=""/>
    <s v=""/>
    <x v="1"/>
  </r>
  <r>
    <n v="50"/>
    <s v=""/>
    <s v=""/>
    <s v="EUR"/>
    <s v=""/>
    <s v=""/>
    <x v="1"/>
    <s v=""/>
    <s v=""/>
    <x v="1"/>
    <s v=""/>
    <s v=""/>
    <x v="1"/>
  </r>
  <r>
    <n v="51"/>
    <s v=""/>
    <s v=""/>
    <s v="EUR"/>
    <s v=""/>
    <s v=""/>
    <x v="1"/>
    <s v=""/>
    <s v=""/>
    <x v="1"/>
    <s v=""/>
    <s v=""/>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10" applyNumberFormats="0" applyBorderFormats="0" applyFontFormats="0" applyPatternFormats="0" applyAlignmentFormats="0" applyWidthHeightFormats="1" dataCaption="Values" updatedVersion="6" minRefreshableVersion="3" showDrill="0" useAutoFormatting="1" itemPrintTitles="1" createdVersion="6" indent="0" outline="1" outlineData="1" multipleFieldFilters="0">
  <location ref="A10:B13"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51">
        <item m="1" x="48"/>
        <item m="1" x="10"/>
        <item m="1" x="23"/>
        <item m="1" x="40"/>
        <item m="1" x="14"/>
        <item m="1" x="16"/>
        <item m="1" x="34"/>
        <item m="1" x="8"/>
        <item m="1" x="27"/>
        <item m="1" x="18"/>
        <item m="1" x="28"/>
        <item m="1" x="11"/>
        <item m="1" x="44"/>
        <item m="1" x="3"/>
        <item m="1" x="39"/>
        <item m="1" x="45"/>
        <item m="1" x="33"/>
        <item m="1" x="26"/>
        <item m="1" x="19"/>
        <item m="1" x="4"/>
        <item m="1" x="22"/>
        <item m="1" x="15"/>
        <item m="1" x="20"/>
        <item m="1" x="49"/>
        <item m="1" x="12"/>
        <item m="1" x="32"/>
        <item m="1" x="38"/>
        <item m="1" x="6"/>
        <item m="1" x="29"/>
        <item m="1" x="43"/>
        <item m="1" x="21"/>
        <item m="1" x="24"/>
        <item m="1" x="13"/>
        <item m="1" x="9"/>
        <item m="1" x="31"/>
        <item m="1" x="47"/>
        <item m="1" x="17"/>
        <item m="1" x="35"/>
        <item m="1" x="5"/>
        <item m="1" x="41"/>
        <item m="1" x="2"/>
        <item m="1" x="42"/>
        <item m="1" x="7"/>
        <item m="1" x="50"/>
        <item m="1" x="30"/>
        <item m="1" x="36"/>
        <item m="1" x="37"/>
        <item m="1" x="46"/>
        <item m="1" x="25"/>
        <item x="0"/>
        <item x="1"/>
      </items>
    </pivotField>
    <pivotField showAll="0"/>
    <pivotField showAll="0"/>
    <pivotField axis="axisRow" showAll="0">
      <items count="30">
        <item m="1" x="14"/>
        <item m="1" x="17"/>
        <item m="1" x="13"/>
        <item m="1" x="11"/>
        <item m="1" x="8"/>
        <item m="1" x="20"/>
        <item m="1" x="18"/>
        <item m="1" x="21"/>
        <item m="1" x="19"/>
        <item m="1" x="28"/>
        <item m="1" x="10"/>
        <item m="1" x="23"/>
        <item m="1" x="22"/>
        <item m="1" x="27"/>
        <item m="1" x="5"/>
        <item m="1" x="24"/>
        <item m="1" x="9"/>
        <item m="1" x="2"/>
        <item m="1" x="16"/>
        <item m="1" x="26"/>
        <item m="1" x="4"/>
        <item m="1" x="25"/>
        <item m="1" x="12"/>
        <item m="1" x="7"/>
        <item m="1" x="3"/>
        <item m="1" x="6"/>
        <item m="1" x="15"/>
        <item x="0"/>
        <item x="1"/>
        <item t="default"/>
      </items>
    </pivotField>
    <pivotField showAll="0"/>
    <pivotField showAll="0"/>
    <pivotField axis="axisPage" showAll="0">
      <items count="3">
        <item x="0"/>
        <item x="1"/>
        <item t="default"/>
      </items>
    </pivotField>
  </pivotFields>
  <rowFields count="2">
    <field x="6"/>
    <field x="9"/>
  </rowFields>
  <rowItems count="3">
    <i>
      <x v="49"/>
    </i>
    <i r="1">
      <x v="27"/>
    </i>
    <i t="grand">
      <x/>
    </i>
  </rowItems>
  <colItems count="1">
    <i/>
  </colItems>
  <pageFields count="1">
    <pageField fld="12" item="0"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EC6C6"/>
  </sheetPr>
  <dimension ref="A1:H9"/>
  <sheetViews>
    <sheetView workbookViewId="0">
      <selection activeCell="A2" sqref="A2"/>
    </sheetView>
  </sheetViews>
  <sheetFormatPr defaultRowHeight="14.4" x14ac:dyDescent="0.3"/>
  <cols>
    <col min="1" max="1" width="37" customWidth="1"/>
    <col min="2" max="2" width="34.33203125" customWidth="1"/>
    <col min="3" max="3" width="32" style="3" hidden="1" customWidth="1"/>
    <col min="4" max="4" width="29.33203125" style="3" hidden="1" customWidth="1"/>
    <col min="5" max="5" width="33.6640625" style="3" hidden="1" customWidth="1"/>
    <col min="6" max="6" width="36.5546875" customWidth="1"/>
  </cols>
  <sheetData>
    <row r="1" spans="1:8" s="11" customFormat="1" x14ac:dyDescent="0.3">
      <c r="A1" s="11" t="s">
        <v>0</v>
      </c>
      <c r="B1" s="11" t="s">
        <v>1</v>
      </c>
      <c r="C1" s="12" t="s">
        <v>2</v>
      </c>
      <c r="D1" s="12" t="s">
        <v>4</v>
      </c>
      <c r="E1" s="12" t="s">
        <v>6</v>
      </c>
      <c r="F1" s="11" t="s">
        <v>8</v>
      </c>
      <c r="H1" s="11" t="s">
        <v>10</v>
      </c>
    </row>
    <row r="2" spans="1:8" s="2" customFormat="1" ht="158.4" x14ac:dyDescent="0.3">
      <c r="A2" s="1" t="s">
        <v>103</v>
      </c>
      <c r="B2" s="1" t="s">
        <v>14</v>
      </c>
      <c r="C2" s="4" t="s">
        <v>3</v>
      </c>
      <c r="D2" s="4" t="s">
        <v>5</v>
      </c>
      <c r="E2" s="4" t="s">
        <v>7</v>
      </c>
      <c r="F2" s="1" t="s">
        <v>9</v>
      </c>
      <c r="H2" s="2" t="s">
        <v>11</v>
      </c>
    </row>
    <row r="3" spans="1:8" s="2" customFormat="1" ht="43.2" x14ac:dyDescent="0.3">
      <c r="A3" s="1" t="s">
        <v>17</v>
      </c>
      <c r="B3" s="1" t="s">
        <v>16</v>
      </c>
      <c r="C3" s="4" t="s">
        <v>18</v>
      </c>
      <c r="D3" s="4" t="s">
        <v>19</v>
      </c>
      <c r="E3" s="4" t="s">
        <v>20</v>
      </c>
      <c r="F3" s="1" t="s">
        <v>72</v>
      </c>
      <c r="H3" s="2" t="s">
        <v>65</v>
      </c>
    </row>
    <row r="4" spans="1:8" s="2" customFormat="1" ht="15" thickBot="1" x14ac:dyDescent="0.35">
      <c r="A4" s="2" t="s">
        <v>67</v>
      </c>
      <c r="C4" s="3"/>
      <c r="D4" s="3"/>
      <c r="E4" s="24" t="s">
        <v>71</v>
      </c>
      <c r="F4" s="2" t="s">
        <v>73</v>
      </c>
      <c r="H4" s="2" t="s">
        <v>68</v>
      </c>
    </row>
    <row r="5" spans="1:8" s="5" customFormat="1" ht="15" thickBot="1" x14ac:dyDescent="0.35">
      <c r="A5" s="37"/>
      <c r="B5" s="60">
        <f ca="1">NOW()</f>
        <v>44352.802106249997</v>
      </c>
      <c r="C5" s="25">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f>
        <v>1</v>
      </c>
      <c r="D5" s="26">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f>
        <v>100</v>
      </c>
      <c r="E5" s="27" t="str">
        <f>'Payment Information Record'!H5</f>
        <v>TEST CO LTD</v>
      </c>
      <c r="F5" s="23" t="s">
        <v>98</v>
      </c>
      <c r="H5" s="5" t="s">
        <v>12</v>
      </c>
    </row>
    <row r="6" spans="1:8" s="1" customFormat="1" x14ac:dyDescent="0.3">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8" t="str">
        <f>IF(ISBLANK(E5),"Debtor name cannot be left blank","")</f>
        <v/>
      </c>
      <c r="F6" s="7" t="str">
        <f>IF(ISBLANK(F5),"Subscriber code cannot be left blank","")</f>
        <v/>
      </c>
      <c r="H6" s="1" t="s">
        <v>13</v>
      </c>
    </row>
    <row r="7" spans="1:8" x14ac:dyDescent="0.3">
      <c r="B7" s="7"/>
    </row>
    <row r="9" spans="1:8" x14ac:dyDescent="0.3">
      <c r="B9" s="6"/>
    </row>
  </sheetData>
  <sheetProtection algorithmName="SHA-512" hashValue="LjLt/QlBhIWw6caccLKw16by2N6bGqEx78EgEa3oZpXuxEVkxwm7+kBWv+LBV0iB8T2Epi8TsKGsCo1lEA/TOg==" saltValue="tfblsXr5wi+CO9BJcI+Haw==" spinCount="100000" sheet="1" objects="1" scenarios="1" formatColumns="0" selectLockedCells="1"/>
  <dataValidations count="3">
    <dataValidation type="textLength" operator="lessThan" allowBlank="1" showInputMessage="1" showErrorMessage="1" errorTitle="Header Record: MsgId" error="The value of this field can be between 1 and 35 characters in length_x000a_" sqref="A5" xr:uid="{00000000-0002-0000-0000-000000000000}">
      <formula1>36</formula1>
    </dataValidation>
    <dataValidation type="textLength" allowBlank="1" showInputMessage="1" showErrorMessage="1" errorTitle="Header Record: Nm" error="The value must be between 1 and 70 characters in length_x000a_" sqref="E5" xr:uid="{00000000-0002-0000-0000-000001000000}">
      <formula1>1</formula1>
      <formula2>70</formula2>
    </dataValidation>
    <dataValidation type="textLength" showInputMessage="1" showErrorMessage="1" errorTitle="Header Record: Id" error="This value is provide by the bank" sqref="F5" xr:uid="{00000000-0002-0000-0000-000002000000}">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O22"/>
  <sheetViews>
    <sheetView workbookViewId="0">
      <selection activeCell="A5" sqref="A5"/>
    </sheetView>
  </sheetViews>
  <sheetFormatPr defaultRowHeight="14.4" x14ac:dyDescent="0.3"/>
  <cols>
    <col min="1" max="1" width="36.33203125" customWidth="1"/>
    <col min="2" max="2" width="32" style="3" hidden="1" customWidth="1"/>
    <col min="3" max="3" width="20.6640625" customWidth="1"/>
    <col min="4" max="4" width="32" style="3" hidden="1" customWidth="1"/>
    <col min="5" max="5" width="29.33203125" style="3" hidden="1" customWidth="1"/>
    <col min="6" max="6" width="32" style="3" hidden="1" customWidth="1"/>
    <col min="7" max="7" width="22.33203125" customWidth="1"/>
    <col min="8" max="8" width="31.33203125" customWidth="1"/>
    <col min="9" max="9" width="35.33203125" customWidth="1"/>
    <col min="10" max="10" width="29" customWidth="1"/>
    <col min="11" max="11" width="13" customWidth="1"/>
    <col min="12" max="12" width="3.6640625" style="3" customWidth="1"/>
    <col min="13" max="13" width="10.44140625" customWidth="1"/>
  </cols>
  <sheetData>
    <row r="1" spans="1:15" s="1" customFormat="1" x14ac:dyDescent="0.3">
      <c r="A1" s="1" t="s">
        <v>15</v>
      </c>
      <c r="B1" s="3" t="s">
        <v>77</v>
      </c>
      <c r="C1" s="1" t="s">
        <v>21</v>
      </c>
      <c r="D1" s="3" t="s">
        <v>2</v>
      </c>
      <c r="E1" s="3" t="s">
        <v>4</v>
      </c>
      <c r="F1" s="3" t="s">
        <v>38</v>
      </c>
      <c r="G1" s="1" t="s">
        <v>27</v>
      </c>
      <c r="H1" s="1" t="s">
        <v>6</v>
      </c>
      <c r="I1" s="1" t="s">
        <v>30</v>
      </c>
      <c r="J1" s="1" t="s">
        <v>30</v>
      </c>
      <c r="K1" s="1" t="s">
        <v>33</v>
      </c>
      <c r="L1" s="3" t="s">
        <v>82</v>
      </c>
      <c r="M1" s="1" t="s">
        <v>35</v>
      </c>
      <c r="O1" t="s">
        <v>10</v>
      </c>
    </row>
    <row r="2" spans="1:15" s="1" customFormat="1" ht="86.4" x14ac:dyDescent="0.3">
      <c r="A2" s="1" t="s">
        <v>104</v>
      </c>
      <c r="B2" s="4" t="s">
        <v>78</v>
      </c>
      <c r="C2" s="1" t="s">
        <v>22</v>
      </c>
      <c r="D2" s="4" t="s">
        <v>3</v>
      </c>
      <c r="E2" s="4" t="s">
        <v>5</v>
      </c>
      <c r="F2" s="4" t="s">
        <v>78</v>
      </c>
      <c r="G2" s="1" t="s">
        <v>28</v>
      </c>
      <c r="H2" s="1" t="s">
        <v>7</v>
      </c>
      <c r="I2" s="1" t="s">
        <v>144</v>
      </c>
      <c r="J2" s="1" t="s">
        <v>31</v>
      </c>
      <c r="K2" s="1" t="s">
        <v>34</v>
      </c>
      <c r="L2" s="4" t="s">
        <v>78</v>
      </c>
      <c r="M2" s="1" t="s">
        <v>36</v>
      </c>
      <c r="O2" s="2" t="s">
        <v>11</v>
      </c>
    </row>
    <row r="3" spans="1:15" s="1" customFormat="1" ht="43.2" x14ac:dyDescent="0.3">
      <c r="A3" s="1" t="s">
        <v>74</v>
      </c>
      <c r="B3" s="4"/>
      <c r="C3" s="1" t="s">
        <v>23</v>
      </c>
      <c r="D3" s="4" t="s">
        <v>76</v>
      </c>
      <c r="E3" s="4" t="s">
        <v>19</v>
      </c>
      <c r="F3" s="4"/>
      <c r="G3" s="1" t="s">
        <v>29</v>
      </c>
      <c r="H3" s="1" t="s">
        <v>20</v>
      </c>
      <c r="I3" s="1" t="s">
        <v>20</v>
      </c>
      <c r="J3" s="1" t="s">
        <v>32</v>
      </c>
      <c r="L3" s="4"/>
      <c r="O3" s="2" t="s">
        <v>65</v>
      </c>
    </row>
    <row r="4" spans="1:15" s="1" customFormat="1" x14ac:dyDescent="0.3">
      <c r="A4" s="1" t="s">
        <v>75</v>
      </c>
      <c r="B4" s="4"/>
      <c r="C4" s="1" t="s">
        <v>69</v>
      </c>
      <c r="D4" s="4" t="s">
        <v>70</v>
      </c>
      <c r="E4" s="4"/>
      <c r="F4" s="4"/>
      <c r="L4" s="4"/>
      <c r="O4" s="1" t="s">
        <v>68</v>
      </c>
    </row>
    <row r="5" spans="1:15" s="1" customFormat="1" x14ac:dyDescent="0.3">
      <c r="A5" s="13"/>
      <c r="B5" s="17" t="s">
        <v>79</v>
      </c>
      <c r="C5" s="14" t="s">
        <v>25</v>
      </c>
      <c r="D5" s="17">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f>
        <v>1</v>
      </c>
      <c r="E5" s="16">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f>
        <v>100</v>
      </c>
      <c r="F5" s="17" t="s">
        <v>80</v>
      </c>
      <c r="G5" s="18">
        <v>44351</v>
      </c>
      <c r="H5" s="14" t="s">
        <v>150</v>
      </c>
      <c r="I5" s="14" t="s">
        <v>144</v>
      </c>
      <c r="J5" s="14"/>
      <c r="K5" s="81" t="s">
        <v>151</v>
      </c>
      <c r="L5" s="17" t="s">
        <v>83</v>
      </c>
      <c r="M5" s="82" t="s">
        <v>84</v>
      </c>
      <c r="O5" s="5" t="s">
        <v>12</v>
      </c>
    </row>
    <row r="6" spans="1:15" s="9" customFormat="1" ht="30.75" customHeight="1" x14ac:dyDescent="0.3">
      <c r="A6" s="28" t="str">
        <f>IF(LEN(A5)&gt;35,"Payment Information Group Identifier must be between 1 and 35 characters long","")</f>
        <v/>
      </c>
      <c r="B6" s="29"/>
      <c r="C6" s="30" t="str">
        <f>IF(NOT(ISNUMBER(MATCH(C5,'Control Data (Hidden)'!D9:E9,0))),"Batch booking should be true or false","")</f>
        <v/>
      </c>
      <c r="D6" s="29"/>
      <c r="E6" s="29"/>
      <c r="F6" s="29"/>
      <c r="G6" s="30" t="str">
        <f>IF(ISBLANK(G5),"Cannot be left blank",IF(OR(ISERROR(YEAR(G5)),ISERROR(MONTH(G5)),ISERROR(DAY(G5))),"Required Execution date is not valid",IF(OR(WEEKDAY(G5)=1,WEEKDAY(G5)=7),"Requested execution date must be between Monday to Friday","")))</f>
        <v/>
      </c>
      <c r="H6" s="30" t="str">
        <f>IF(OR(LEN(H5)&lt;1,LEN(H5)&gt;70),"Name must be between 1 and 70 characters long","")</f>
        <v/>
      </c>
      <c r="I6" s="30" t="str">
        <f>IF(OR(LEN(I5)&lt;1,LEN(I5)&gt;70),"Address Line 1 must be between 1 and 70 characters long","")</f>
        <v/>
      </c>
      <c r="J6" s="30" t="str">
        <f>IF(LEN(J5)&gt;70,"Address cannot be longer than 70 characters","")</f>
        <v/>
      </c>
      <c r="K6" s="30" t="str">
        <f>IF(OR(LEN(K5)&lt;10,LEN(K5)&gt;34),"IBAN may be up to 34 characters long","")</f>
        <v/>
      </c>
      <c r="L6" s="29"/>
      <c r="M6" s="31" t="str">
        <f>IF(AND(LEN(M5)&lt;&gt;8,LEN(M5)&lt;&gt;11),"BIC must be 8 or 11 characters long","")</f>
        <v/>
      </c>
      <c r="N6" s="7"/>
      <c r="O6" s="1" t="s">
        <v>13</v>
      </c>
    </row>
    <row r="7" spans="1:15" s="1" customFormat="1" x14ac:dyDescent="0.3">
      <c r="A7" s="32"/>
      <c r="B7" s="33"/>
      <c r="C7" s="34"/>
      <c r="D7" s="33"/>
      <c r="E7" s="33"/>
      <c r="F7" s="33"/>
      <c r="G7" s="35" t="str">
        <f ca="1">IF(G5=TODAY(),"Files must be submitted before 11:30am to be processed on the same day. Files submitted after 2:30pm will incur additional charges","")</f>
        <v/>
      </c>
      <c r="H7" s="34"/>
      <c r="I7" s="34"/>
      <c r="J7" s="34"/>
      <c r="K7" s="34"/>
      <c r="L7" s="33"/>
      <c r="M7" s="36"/>
    </row>
    <row r="8" spans="1:15" s="1" customFormat="1" x14ac:dyDescent="0.3">
      <c r="B8" s="3"/>
      <c r="D8" s="3"/>
      <c r="E8" s="3"/>
      <c r="F8" s="3"/>
      <c r="L8" s="3"/>
    </row>
    <row r="9" spans="1:15" s="1" customFormat="1" x14ac:dyDescent="0.3">
      <c r="B9" s="3"/>
      <c r="D9" s="3"/>
      <c r="E9" s="3"/>
      <c r="F9" s="3"/>
      <c r="L9" s="3"/>
    </row>
    <row r="10" spans="1:15" s="1" customFormat="1" x14ac:dyDescent="0.3">
      <c r="B10" s="3"/>
      <c r="D10" s="3"/>
      <c r="E10" s="3"/>
      <c r="F10" s="3"/>
      <c r="L10" s="3"/>
    </row>
    <row r="11" spans="1:15" s="1" customFormat="1" x14ac:dyDescent="0.3">
      <c r="B11" s="3"/>
      <c r="D11" s="3"/>
      <c r="E11" s="3"/>
      <c r="F11" s="3"/>
      <c r="L11" s="3"/>
    </row>
    <row r="12" spans="1:15" s="1" customFormat="1" x14ac:dyDescent="0.3">
      <c r="B12" s="3"/>
      <c r="D12" s="3"/>
      <c r="E12" s="3"/>
      <c r="F12" s="3"/>
      <c r="L12" s="3"/>
    </row>
    <row r="13" spans="1:15" s="1" customFormat="1" x14ac:dyDescent="0.3">
      <c r="B13" s="3"/>
      <c r="D13" s="3"/>
      <c r="E13" s="3"/>
      <c r="F13" s="3"/>
      <c r="L13" s="3"/>
    </row>
    <row r="14" spans="1:15" s="1" customFormat="1" x14ac:dyDescent="0.3">
      <c r="B14" s="3"/>
      <c r="D14" s="3"/>
      <c r="E14" s="3"/>
      <c r="F14" s="3"/>
      <c r="L14" s="3"/>
    </row>
    <row r="15" spans="1:15" s="1" customFormat="1" x14ac:dyDescent="0.3">
      <c r="B15" s="3"/>
      <c r="D15" s="3"/>
      <c r="E15" s="3"/>
      <c r="F15" s="3"/>
      <c r="L15" s="3"/>
    </row>
    <row r="16" spans="1:15" s="1" customFormat="1" x14ac:dyDescent="0.3">
      <c r="B16" s="3"/>
      <c r="D16" s="3"/>
      <c r="E16" s="3"/>
      <c r="F16" s="3"/>
      <c r="L16" s="3"/>
    </row>
    <row r="17" spans="2:12" s="1" customFormat="1" x14ac:dyDescent="0.3">
      <c r="B17" s="3"/>
      <c r="D17" s="3"/>
      <c r="E17" s="3"/>
      <c r="F17" s="3"/>
      <c r="L17" s="3"/>
    </row>
    <row r="18" spans="2:12" s="1" customFormat="1" x14ac:dyDescent="0.3">
      <c r="B18" s="3"/>
      <c r="D18" s="3"/>
      <c r="E18" s="3"/>
      <c r="F18" s="3"/>
      <c r="L18" s="3"/>
    </row>
    <row r="19" spans="2:12" s="1" customFormat="1" x14ac:dyDescent="0.3">
      <c r="B19" s="3"/>
      <c r="D19" s="3"/>
      <c r="E19" s="3"/>
      <c r="F19" s="3"/>
      <c r="L19" s="3"/>
    </row>
    <row r="20" spans="2:12" s="1" customFormat="1" x14ac:dyDescent="0.3">
      <c r="B20" s="3"/>
      <c r="D20" s="3"/>
      <c r="E20" s="3"/>
      <c r="F20" s="3"/>
      <c r="L20" s="3"/>
    </row>
    <row r="21" spans="2:12" s="1" customFormat="1" x14ac:dyDescent="0.3">
      <c r="B21" s="3"/>
      <c r="D21" s="3"/>
      <c r="E21" s="3"/>
      <c r="F21" s="3"/>
      <c r="L21" s="3"/>
    </row>
    <row r="22" spans="2:12" s="1" customFormat="1" x14ac:dyDescent="0.3">
      <c r="B22" s="3"/>
      <c r="D22" s="3"/>
      <c r="E22" s="3"/>
      <c r="F22" s="3"/>
      <c r="L22" s="3"/>
    </row>
  </sheetData>
  <sheetProtection algorithmName="SHA-512" hashValue="Do0qc90EoSLSdzIOjsB0HsNMSy8YbZrkRetfd78C4WF9M3W/ZOMBOdvZRXCGdDfpqhDy4GOnw56k4qdT+GJ4qw==" saltValue="Uc1hEeKUpr+A0AtVSo9f5Q==" spinCount="100000" sheet="1" objects="1" scenarios="1" formatColumns="0" selectLockedCells="1"/>
  <dataValidations count="7">
    <dataValidation type="textLength" showInputMessage="1" showErrorMessage="1" errorTitle="Pay Info Rec: PmtInfId" error="Thie length of this item must be between 1 and 35 characters long_x000a_" sqref="B5 F5 L5" xr:uid="{00000000-0002-0000-0100-000000000000}">
      <formula1>1</formula1>
      <formula2>35</formula2>
    </dataValidation>
    <dataValidation type="textLength" showInputMessage="1" showErrorMessage="1" errorTitle="Pay Info Rec: Nm" error="Name must be between 1 and 70 characters long." sqref="H5" xr:uid="{00000000-0002-0000-0100-000001000000}">
      <formula1>1</formula1>
      <formula2>70</formula2>
    </dataValidation>
    <dataValidation type="textLength" operator="lessThanOrEqual" allowBlank="1" showInputMessage="1" showErrorMessage="1" errorTitle="Pay Info Rec: PstlAdr:AdrLine" error="This item cannot be longer than 70 characters" sqref="J5" xr:uid="{00000000-0002-0000-0100-000002000000}">
      <formula1>70</formula1>
    </dataValidation>
    <dataValidation type="textLength" showInputMessage="1" showErrorMessage="1" errorTitle="Pay Info Rec: IBAN" error="This must be up to 34 characters in length_x000a_" sqref="K5" xr:uid="{00000000-0002-0000-0100-000003000000}">
      <formula1>4</formula1>
      <formula2>34</formula2>
    </dataValidation>
    <dataValidation type="textLength" showInputMessage="1" showErrorMessage="1" errorTitle="Pay Info Rec: BIC" error="BIC should be either 8 or 11 characters in length" sqref="M5" xr:uid="{00000000-0002-0000-0100-000004000000}">
      <formula1>8</formula1>
      <formula2>11</formula2>
    </dataValidation>
    <dataValidation type="textLength" operator="lessThan" showInputMessage="1" showErrorMessage="1" errorTitle="Pay Info Rec: PmtInfId" error="Thie length of this item must be between 1 and 35 characters long_x000a_" sqref="A5" xr:uid="{00000000-0002-0000-0100-000005000000}">
      <formula1>36</formula1>
    </dataValidation>
    <dataValidation type="textLength" allowBlank="1" showInputMessage="1" showErrorMessage="1" errorTitle="Pay Info Rec: PstlAdr:AdrLine" error="This item must be between 1 and 70 characters long" sqref="I5" xr:uid="{00000000-0002-0000-0100-000006000000}">
      <formula1>1</formula1>
      <formula2>70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r:uid="{00000000-0002-0000-0100-000007000000}">
          <x14:formula1>
            <xm:f>'Control Data (Hidden)'!$D$9:$E$9</xm:f>
          </x14:formula1>
          <xm:sqref>C5</xm:sqref>
        </x14:dataValidation>
        <x14:dataValidation type="date" allowBlank="1" showInputMessage="1" showErrorMessage="1" errorTitle="Pay Info Rec: ReqdExctnDt" error="The date is invalid" xr:uid="{00000000-0002-0000-0100-000008000000}">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39997558519241921"/>
  </sheetPr>
  <dimension ref="A1:M104"/>
  <sheetViews>
    <sheetView zoomScale="70" zoomScaleNormal="70" workbookViewId="0">
      <pane ySplit="4" topLeftCell="A5" activePane="bottomLeft" state="frozen"/>
      <selection activeCell="A2" sqref="A2"/>
      <selection pane="bottomLeft" activeCell="A7" sqref="A7"/>
    </sheetView>
  </sheetViews>
  <sheetFormatPr defaultRowHeight="14.4" x14ac:dyDescent="0.3"/>
  <cols>
    <col min="1" max="1" width="39.33203125" customWidth="1"/>
    <col min="2" max="2" width="25.33203125" customWidth="1"/>
    <col min="3" max="3" width="14.5546875" style="3" hidden="1" customWidth="1"/>
    <col min="4" max="4" width="21.33203125" customWidth="1"/>
    <col min="5" max="5" width="19.6640625" customWidth="1"/>
    <col min="6" max="6" width="32.6640625" customWidth="1"/>
    <col min="7" max="7" width="17.33203125" customWidth="1"/>
    <col min="8" max="8" width="19.33203125" customWidth="1"/>
    <col min="9" max="9" width="33.33203125" customWidth="1"/>
    <col min="10" max="10" width="9.6640625" customWidth="1"/>
    <col min="11" max="11" width="29.33203125" customWidth="1"/>
  </cols>
  <sheetData>
    <row r="1" spans="1:13" s="1" customFormat="1" x14ac:dyDescent="0.3">
      <c r="A1" s="1" t="s">
        <v>53</v>
      </c>
      <c r="B1" s="1" t="s">
        <v>55</v>
      </c>
      <c r="C1" s="3" t="s">
        <v>82</v>
      </c>
      <c r="D1" s="1" t="s">
        <v>57</v>
      </c>
      <c r="E1" s="1" t="s">
        <v>35</v>
      </c>
      <c r="F1" s="1" t="s">
        <v>6</v>
      </c>
      <c r="G1" s="1" t="s">
        <v>30</v>
      </c>
      <c r="H1" s="1" t="s">
        <v>30</v>
      </c>
      <c r="I1" s="1" t="s">
        <v>33</v>
      </c>
      <c r="J1" s="1" t="s">
        <v>38</v>
      </c>
      <c r="K1" s="1" t="s">
        <v>62</v>
      </c>
      <c r="M1" t="s">
        <v>10</v>
      </c>
    </row>
    <row r="2" spans="1:13" s="1" customFormat="1" ht="115.2" x14ac:dyDescent="0.3">
      <c r="A2" s="1" t="s">
        <v>54</v>
      </c>
      <c r="B2" s="1" t="s">
        <v>56</v>
      </c>
      <c r="C2" s="4" t="s">
        <v>78</v>
      </c>
      <c r="D2" s="1" t="s">
        <v>58</v>
      </c>
      <c r="E2" s="1" t="s">
        <v>59</v>
      </c>
      <c r="F2" s="1" t="s">
        <v>60</v>
      </c>
      <c r="G2" s="1" t="s">
        <v>109</v>
      </c>
      <c r="H2" s="1" t="s">
        <v>110</v>
      </c>
      <c r="I2" s="1" t="s">
        <v>61</v>
      </c>
      <c r="J2" s="1" t="s">
        <v>85</v>
      </c>
      <c r="K2" s="1" t="s">
        <v>63</v>
      </c>
      <c r="M2" s="2" t="s">
        <v>11</v>
      </c>
    </row>
    <row r="3" spans="1:13" s="1" customFormat="1" ht="201.6" x14ac:dyDescent="0.3">
      <c r="A3" s="1" t="s">
        <v>17</v>
      </c>
      <c r="B3" s="1" t="s">
        <v>17</v>
      </c>
      <c r="C3" s="4"/>
      <c r="D3" s="1" t="s">
        <v>19</v>
      </c>
      <c r="E3" s="63" t="s">
        <v>117</v>
      </c>
      <c r="F3" s="1" t="s">
        <v>108</v>
      </c>
      <c r="G3" s="1" t="s">
        <v>114</v>
      </c>
      <c r="H3" s="1" t="s">
        <v>115</v>
      </c>
      <c r="I3" s="63" t="s">
        <v>116</v>
      </c>
      <c r="K3" s="1" t="s">
        <v>64</v>
      </c>
      <c r="M3" s="2" t="s">
        <v>65</v>
      </c>
    </row>
    <row r="4" spans="1:13" s="1" customFormat="1" ht="15" x14ac:dyDescent="0.3">
      <c r="A4" s="1" t="s">
        <v>67</v>
      </c>
      <c r="B4" s="1" t="s">
        <v>67</v>
      </c>
      <c r="C4" s="4"/>
      <c r="D4" s="10" t="s">
        <v>66</v>
      </c>
      <c r="M4" s="1" t="s">
        <v>68</v>
      </c>
    </row>
    <row r="5" spans="1:13" x14ac:dyDescent="0.3">
      <c r="A5" s="13" t="s">
        <v>156</v>
      </c>
      <c r="B5" s="14" t="s">
        <v>152</v>
      </c>
      <c r="C5" s="17" t="s">
        <v>83</v>
      </c>
      <c r="D5" s="19">
        <v>100</v>
      </c>
      <c r="E5" s="62" t="s">
        <v>84</v>
      </c>
      <c r="F5" s="62" t="s">
        <v>153</v>
      </c>
      <c r="G5" s="62"/>
      <c r="H5" s="62"/>
      <c r="I5" s="62" t="s">
        <v>154</v>
      </c>
      <c r="J5" s="14" t="s">
        <v>45</v>
      </c>
      <c r="K5" s="15" t="s">
        <v>155</v>
      </c>
      <c r="M5" s="5" t="s">
        <v>12</v>
      </c>
    </row>
    <row r="6" spans="1:13" x14ac:dyDescent="0.3">
      <c r="A6" s="7" t="str">
        <f>IF(OR(LEN(A5)&lt;1,LEN(A5)&gt;35),"Transaction Identification must be between 1 and 35 characters long","")</f>
        <v/>
      </c>
      <c r="B6" s="7" t="str">
        <f>IF(OR(LEN(B5)&lt;1,LEN(B5)&gt;35),"Uniqie Identification must be between 1 and 35 characters long","")</f>
        <v/>
      </c>
      <c r="C6" s="8"/>
      <c r="D6" s="7" t="str">
        <f>IF(OR(D5&lt;0.01,D5&gt;9999999999999990),"Transaction Amount is not valid","")</f>
        <v/>
      </c>
      <c r="E6" s="7" t="str">
        <f>IF(AND(LEN(E5)&lt;&gt;8,LEN(E5)&lt;&gt;11),"BIC must be 8 or 11 characters long","")</f>
        <v/>
      </c>
      <c r="F6" s="7" t="str">
        <f>IF(OR(LEN(F5)&lt;1,LEN(F5)&gt;70),"Creditor's Name must be between 1 and 70 characters long","")</f>
        <v/>
      </c>
      <c r="G6" s="7" t="str">
        <f>IF(LEN(G5)&gt;70,"Address cannot be longer than 70 characters","")</f>
        <v/>
      </c>
      <c r="H6" s="7" t="str">
        <f>IF(LEN(H5)&gt;70,"Address cannot be longer than 70 characters","")</f>
        <v/>
      </c>
      <c r="I6" s="7" t="str">
        <f>IF(OR(LEN(I5)&lt;10,LEN(I5)&gt;34),"IBAN may be up to 34 characters long","")</f>
        <v/>
      </c>
      <c r="J6" s="7" t="str">
        <f>IF(ISBLANK(J5),"Code cannot be left blank","")</f>
        <v/>
      </c>
      <c r="K6" s="7" t="str">
        <f>IF(OR(LEN(K5)&lt;1,LEN(K5)&gt;140),"Transaction Details must be between 1 and 140 characters long","")</f>
        <v/>
      </c>
      <c r="M6" s="1" t="s">
        <v>13</v>
      </c>
    </row>
    <row r="7" spans="1:13" x14ac:dyDescent="0.3">
      <c r="A7" s="13"/>
      <c r="B7" s="14"/>
      <c r="C7" s="17" t="s">
        <v>83</v>
      </c>
      <c r="D7" s="19"/>
      <c r="E7" s="62"/>
      <c r="F7" s="62"/>
      <c r="G7" s="62"/>
      <c r="H7" s="62"/>
      <c r="I7" s="62"/>
      <c r="J7" s="14"/>
      <c r="K7" s="15"/>
      <c r="M7" s="5" t="s">
        <v>12</v>
      </c>
    </row>
    <row r="8" spans="1:13" ht="43.2" x14ac:dyDescent="0.3">
      <c r="A8" s="7" t="str">
        <f>IF(OR(LEN(A7)&lt;1,LEN(A7)&gt;35),"Transaction Identification must be between 1 and 35 characters long","")</f>
        <v>Transaction Identification must be between 1 and 35 characters long</v>
      </c>
      <c r="B8" s="7" t="str">
        <f>IF(OR(LEN(B7)&lt;1,LEN(B7)&gt;35),"Uniqie Identification must be between 1 and 35 characters long","")</f>
        <v>Uniqie Identification must be between 1 and 35 characters long</v>
      </c>
      <c r="D8" s="7" t="str">
        <f>IF(OR(D7&lt;0.01,D7&gt;9999999999999990),"Transaction Amount is not valid","")</f>
        <v>Transaction Amount is not valid</v>
      </c>
      <c r="E8" s="7" t="str">
        <f>IF(AND(LEN(E7)&lt;&gt;8,LEN(E7)&lt;&gt;11),"BIC must be 8 or 11 characters long","")</f>
        <v>BIC must be 8 or 11 characters long</v>
      </c>
      <c r="F8" s="7" t="str">
        <f>IF(OR(LEN(F7)&lt;1,LEN(F7)&gt;70),"Creditor's Name must be between 1 and 70 characters long","")</f>
        <v>Creditor's Name must be between 1 and 70 characters long</v>
      </c>
      <c r="G8" s="7" t="str">
        <f>IF(LEN(G7)&gt;70,"Address cannot be longer than 70 characters","")</f>
        <v/>
      </c>
      <c r="H8" s="7" t="str">
        <f>IF(LEN(H7)&gt;70,"Address cannot be longer than 70 characters","")</f>
        <v/>
      </c>
      <c r="I8" s="7" t="str">
        <f>IF(OR(LEN(I7)&lt;10,LEN(I7)&gt;34),"IBAN may be up to 34 characters long","")</f>
        <v>IBAN may be up to 34 characters long</v>
      </c>
      <c r="J8" s="7" t="str">
        <f>IF(ISBLANK(J7),"Code cannot be left blank","")</f>
        <v>Code cannot be left blank</v>
      </c>
      <c r="K8" s="7" t="str">
        <f>IF(OR(LEN(K7)&lt;1,LEN(K7)&gt;140),"Transaction Details must be between 1 and 140 characters long","")</f>
        <v>Transaction Details must be between 1 and 140 characters long</v>
      </c>
      <c r="M8" s="1" t="s">
        <v>13</v>
      </c>
    </row>
    <row r="9" spans="1:13" x14ac:dyDescent="0.3">
      <c r="A9" s="13"/>
      <c r="B9" s="14"/>
      <c r="C9" s="17" t="s">
        <v>83</v>
      </c>
      <c r="D9" s="19"/>
      <c r="E9" s="62"/>
      <c r="F9" s="62"/>
      <c r="G9" s="62"/>
      <c r="H9" s="62"/>
      <c r="I9" s="62"/>
      <c r="J9" s="14"/>
      <c r="K9" s="15"/>
      <c r="M9" s="5" t="s">
        <v>12</v>
      </c>
    </row>
    <row r="10" spans="1:13" ht="43.2" x14ac:dyDescent="0.3">
      <c r="A10" s="7" t="str">
        <f>IF(OR(LEN(A9)&lt;1,LEN(A9)&gt;35),"Transaction Identification must be between 1 and 35 characters long","")</f>
        <v>Transaction Identification must be between 1 and 35 characters long</v>
      </c>
      <c r="B10" s="7" t="str">
        <f>IF(OR(LEN(B9)&lt;1,LEN(B9)&gt;35),"Uniqie Identification must be between 1 and 35 characters long","")</f>
        <v>Uniqie Identification must be between 1 and 35 characters long</v>
      </c>
      <c r="D10" s="7" t="str">
        <f>IF(OR(D9&lt;0.01,D9&gt;9999999999999990),"Transaction Amount is not valid","")</f>
        <v>Transaction Amount is not valid</v>
      </c>
      <c r="E10" s="7" t="str">
        <f>IF(AND(LEN(E9)&lt;&gt;8,LEN(E9)&lt;&gt;11),"BIC must be 8 or 11 characters long","")</f>
        <v>BIC must be 8 or 11 characters long</v>
      </c>
      <c r="F10" s="7" t="str">
        <f>IF(OR(LEN(F9)&lt;1,LEN(F9)&gt;70),"Creditor's Name must be between 1 and 70 characters long","")</f>
        <v>Creditor's Name must be between 1 and 70 characters long</v>
      </c>
      <c r="G10" s="7" t="str">
        <f>IF(LEN(G9)&gt;70,"Address cannot be longer than 70 characters","")</f>
        <v/>
      </c>
      <c r="H10" s="7" t="str">
        <f>IF(LEN(H9)&gt;70,"Address cannot be longer than 70 characters","")</f>
        <v/>
      </c>
      <c r="I10" s="7" t="str">
        <f>IF(OR(LEN(I9)&lt;10,LEN(I9)&gt;34),"IBAN may be up to 34 characters long","")</f>
        <v>IBAN may be up to 34 characters long</v>
      </c>
      <c r="J10" s="7" t="str">
        <f>IF(ISBLANK(J9),"Code cannot be left blank","")</f>
        <v>Code cannot be left blank</v>
      </c>
      <c r="K10" s="7" t="str">
        <f>IF(OR(LEN(K9)&lt;1,LEN(K9)&gt;140),"Transaction Details must be between 1 and 140 characters long","")</f>
        <v>Transaction Details must be between 1 and 140 characters long</v>
      </c>
      <c r="M10" s="1" t="s">
        <v>13</v>
      </c>
    </row>
    <row r="11" spans="1:13" x14ac:dyDescent="0.3">
      <c r="A11" s="13"/>
      <c r="B11" s="14"/>
      <c r="C11" s="17" t="s">
        <v>83</v>
      </c>
      <c r="D11" s="19"/>
      <c r="E11" s="62"/>
      <c r="F11" s="62"/>
      <c r="G11" s="62"/>
      <c r="H11" s="62"/>
      <c r="I11" s="62"/>
      <c r="J11" s="14"/>
      <c r="K11" s="15"/>
      <c r="M11" s="5" t="s">
        <v>12</v>
      </c>
    </row>
    <row r="12" spans="1:13" ht="43.2" x14ac:dyDescent="0.3">
      <c r="A12" s="7" t="str">
        <f>IF(OR(LEN(A11)&lt;1,LEN(A11)&gt;35),"Transaction Identification must be between 1 and 35 characters long","")</f>
        <v>Transaction Identification must be between 1 and 35 characters long</v>
      </c>
      <c r="B12" s="7" t="str">
        <f>IF(OR(LEN(B11)&lt;1,LEN(B11)&gt;35),"Uniqie Identification must be between 1 and 35 characters long","")</f>
        <v>Uniqie Identification must be between 1 and 35 characters long</v>
      </c>
      <c r="D12" s="7" t="str">
        <f>IF(OR(D11&lt;0.01,D11&gt;9999999999999990),"Transaction Amount is not valid","")</f>
        <v>Transaction Amount is not valid</v>
      </c>
      <c r="E12" s="7" t="str">
        <f>IF(AND(LEN(E11)&lt;&gt;8,LEN(E11)&lt;&gt;11),"BIC must be 8 or 11 characters long","")</f>
        <v>BIC must be 8 or 11 characters long</v>
      </c>
      <c r="F12" s="7" t="str">
        <f>IF(OR(LEN(F11)&lt;1,LEN(F11)&gt;70),"Creditor's Name must be between 1 and 70 characters long","")</f>
        <v>Creditor's Name must be between 1 and 70 characters long</v>
      </c>
      <c r="G12" s="7" t="str">
        <f>IF(LEN(G11)&gt;70,"Address cannot be longer than 70 characters","")</f>
        <v/>
      </c>
      <c r="H12" s="7" t="str">
        <f>IF(LEN(H11)&gt;70,"Address cannot be longer than 70 characters","")</f>
        <v/>
      </c>
      <c r="I12" s="7" t="str">
        <f>IF(OR(LEN(I11)&lt;10,LEN(I11)&gt;34),"IBAN may be up to 34 characters long","")</f>
        <v>IBAN may be up to 34 characters long</v>
      </c>
      <c r="J12" s="7" t="str">
        <f>IF(ISBLANK(J11),"Code cannot be left blank","")</f>
        <v>Code cannot be left blank</v>
      </c>
      <c r="K12" s="7" t="str">
        <f>IF(OR(LEN(K11)&lt;1,LEN(K11)&gt;140),"Transaction Details must be between 1 and 140 characters long","")</f>
        <v>Transaction Details must be between 1 and 140 characters long</v>
      </c>
      <c r="M12" s="1" t="s">
        <v>13</v>
      </c>
    </row>
    <row r="13" spans="1:13" x14ac:dyDescent="0.3">
      <c r="A13" s="13"/>
      <c r="B13" s="14"/>
      <c r="C13" s="17" t="s">
        <v>83</v>
      </c>
      <c r="D13" s="19"/>
      <c r="E13" s="62"/>
      <c r="F13" s="62"/>
      <c r="G13" s="62"/>
      <c r="H13" s="62"/>
      <c r="I13" s="62"/>
      <c r="J13" s="14"/>
      <c r="K13" s="15"/>
      <c r="M13" s="5" t="s">
        <v>12</v>
      </c>
    </row>
    <row r="14" spans="1:13" ht="43.2" x14ac:dyDescent="0.3">
      <c r="A14" s="7" t="str">
        <f>IF(OR(LEN(A13)&lt;1,LEN(A13)&gt;35),"Transaction Identification must be between 1 and 35 characters long","")</f>
        <v>Transaction Identification must be between 1 and 35 characters long</v>
      </c>
      <c r="B14" s="7" t="str">
        <f>IF(OR(LEN(B13)&lt;1,LEN(B13)&gt;35),"Uniqie Identification must be between 1 and 35 characters long","")</f>
        <v>Uniqie Identification must be between 1 and 35 characters long</v>
      </c>
      <c r="D14" s="7" t="str">
        <f>IF(OR(D13&lt;0.01,D13&gt;9999999999999990),"Transaction Amount is not valid","")</f>
        <v>Transaction Amount is not valid</v>
      </c>
      <c r="E14" s="7" t="str">
        <f>IF(AND(LEN(E13)&lt;&gt;8,LEN(E13)&lt;&gt;11),"BIC must be 8 or 11 characters long","")</f>
        <v>BIC must be 8 or 11 characters long</v>
      </c>
      <c r="F14" s="7" t="str">
        <f>IF(OR(LEN(F13)&lt;1,LEN(F13)&gt;70),"Creditor's Name must be between 1 and 70 characters long","")</f>
        <v>Creditor's Name must be between 1 and 70 characters long</v>
      </c>
      <c r="G14" s="7" t="str">
        <f>IF(LEN(G13)&gt;70,"Address cannot be longer than 70 characters","")</f>
        <v/>
      </c>
      <c r="H14" s="7" t="str">
        <f>IF(LEN(H13)&gt;70,"Address cannot be longer than 70 characters","")</f>
        <v/>
      </c>
      <c r="I14" s="7" t="str">
        <f>IF(OR(LEN(I13)&lt;10,LEN(I13)&gt;34),"IBAN may be up to 34 characters long","")</f>
        <v>IBAN may be up to 34 characters long</v>
      </c>
      <c r="J14" s="7" t="str">
        <f>IF(ISBLANK(J13),"Code cannot be left blank","")</f>
        <v>Code cannot be left blank</v>
      </c>
      <c r="K14" s="7" t="str">
        <f>IF(OR(LEN(K13)&lt;1,LEN(K13)&gt;140),"Transaction Details must be between 1 and 140 characters long","")</f>
        <v>Transaction Details must be between 1 and 140 characters long</v>
      </c>
      <c r="M14" s="1" t="s">
        <v>13</v>
      </c>
    </row>
    <row r="15" spans="1:13" x14ac:dyDescent="0.3">
      <c r="A15" s="13"/>
      <c r="B15" s="14"/>
      <c r="C15" s="17" t="s">
        <v>83</v>
      </c>
      <c r="D15" s="19"/>
      <c r="E15" s="62"/>
      <c r="F15" s="62"/>
      <c r="G15" s="62"/>
      <c r="H15" s="62"/>
      <c r="I15" s="62"/>
      <c r="J15" s="14"/>
      <c r="K15" s="15"/>
      <c r="M15" s="5" t="s">
        <v>12</v>
      </c>
    </row>
    <row r="16" spans="1:13" ht="43.2" x14ac:dyDescent="0.3">
      <c r="A16" s="7" t="str">
        <f>IF(OR(LEN(A15)&lt;1,LEN(A15)&gt;35),"Transaction Identification must be between 1 and 35 characters long","")</f>
        <v>Transaction Identification must be between 1 and 35 characters long</v>
      </c>
      <c r="B16" s="7" t="str">
        <f>IF(OR(LEN(B15)&lt;1,LEN(B15)&gt;35),"Uniqie Identification must be between 1 and 35 characters long","")</f>
        <v>Uniqie Identification must be between 1 and 35 characters long</v>
      </c>
      <c r="D16" s="7" t="str">
        <f>IF(OR(D15&lt;0.01,D15&gt;9999999999999990),"Transaction Amount is not valid","")</f>
        <v>Transaction Amount is not valid</v>
      </c>
      <c r="E16" s="7" t="str">
        <f>IF(AND(LEN(E15)&lt;&gt;8,LEN(E15)&lt;&gt;11),"BIC must be 8 or 11 characters long","")</f>
        <v>BIC must be 8 or 11 characters long</v>
      </c>
      <c r="F16" s="7" t="str">
        <f>IF(OR(LEN(F15)&lt;1,LEN(F15)&gt;70),"Creditor's Name must be between 1 and 70 characters long","")</f>
        <v>Creditor's Name must be between 1 and 70 characters long</v>
      </c>
      <c r="G16" s="7" t="str">
        <f>IF(LEN(G15)&gt;70,"Address cannot be longer than 70 characters","")</f>
        <v/>
      </c>
      <c r="H16" s="7" t="str">
        <f>IF(LEN(H15)&gt;70,"Address cannot be longer than 70 characters","")</f>
        <v/>
      </c>
      <c r="I16" s="7" t="str">
        <f>IF(OR(LEN(I15)&lt;10,LEN(I15)&gt;34),"IBAN may be up to 34 characters long","")</f>
        <v>IBAN may be up to 34 characters long</v>
      </c>
      <c r="J16" s="7" t="str">
        <f>IF(ISBLANK(J15),"Code cannot be left blank","")</f>
        <v>Code cannot be left blank</v>
      </c>
      <c r="K16" s="7" t="str">
        <f>IF(OR(LEN(K15)&lt;1,LEN(K15)&gt;140),"Transaction Details must be between 1 and 140 characters long","")</f>
        <v>Transaction Details must be between 1 and 140 characters long</v>
      </c>
      <c r="M16" s="1" t="s">
        <v>13</v>
      </c>
    </row>
    <row r="17" spans="1:13" x14ac:dyDescent="0.3">
      <c r="A17" s="13"/>
      <c r="B17" s="14"/>
      <c r="C17" s="17" t="s">
        <v>83</v>
      </c>
      <c r="D17" s="19"/>
      <c r="E17" s="62"/>
      <c r="F17" s="62"/>
      <c r="G17" s="62"/>
      <c r="H17" s="62"/>
      <c r="I17" s="62"/>
      <c r="J17" s="14"/>
      <c r="K17" s="15"/>
      <c r="M17" s="5" t="s">
        <v>12</v>
      </c>
    </row>
    <row r="18" spans="1:13" ht="43.2" x14ac:dyDescent="0.3">
      <c r="A18" s="7" t="str">
        <f>IF(OR(LEN(A17)&lt;1,LEN(A17)&gt;35),"Transaction Identification must be between 1 and 35 characters long","")</f>
        <v>Transaction Identification must be between 1 and 35 characters long</v>
      </c>
      <c r="B18" s="7" t="str">
        <f>IF(OR(LEN(B17)&lt;1,LEN(B17)&gt;35),"Uniqie Identification must be between 1 and 35 characters long","")</f>
        <v>Uniqie Identification must be between 1 and 35 characters long</v>
      </c>
      <c r="D18" s="7" t="str">
        <f>IF(OR(D17&lt;0.01,D17&gt;9999999999999990),"Transaction Amount is not valid","")</f>
        <v>Transaction Amount is not valid</v>
      </c>
      <c r="E18" s="7" t="str">
        <f>IF(AND(LEN(E17)&lt;&gt;8,LEN(E17)&lt;&gt;11),"BIC must be 8 or 11 characters long","")</f>
        <v>BIC must be 8 or 11 characters long</v>
      </c>
      <c r="F18" s="7" t="str">
        <f>IF(OR(LEN(F17)&lt;1,LEN(F17)&gt;70),"Creditor's Name must be between 1 and 70 characters long","")</f>
        <v>Creditor's Name must be between 1 and 70 characters long</v>
      </c>
      <c r="G18" s="7" t="str">
        <f>IF(LEN(G17)&gt;70,"Address cannot be longer than 70 characters","")</f>
        <v/>
      </c>
      <c r="H18" s="7" t="str">
        <f>IF(LEN(H17)&gt;70,"Address cannot be longer than 70 characters","")</f>
        <v/>
      </c>
      <c r="I18" s="7" t="str">
        <f>IF(OR(LEN(I17)&lt;10,LEN(I17)&gt;34),"IBAN may be up to 34 characters long","")</f>
        <v>IBAN may be up to 34 characters long</v>
      </c>
      <c r="J18" s="7" t="str">
        <f>IF(ISBLANK(J17),"Code cannot be left blank","")</f>
        <v>Code cannot be left blank</v>
      </c>
      <c r="K18" s="7" t="str">
        <f>IF(OR(LEN(K17)&lt;1,LEN(K17)&gt;140),"Transaction Details must be between 1 and 140 characters long","")</f>
        <v>Transaction Details must be between 1 and 140 characters long</v>
      </c>
      <c r="M18" s="1" t="s">
        <v>13</v>
      </c>
    </row>
    <row r="19" spans="1:13" x14ac:dyDescent="0.3">
      <c r="A19" s="13"/>
      <c r="B19" s="14"/>
      <c r="C19" s="17" t="s">
        <v>83</v>
      </c>
      <c r="D19" s="19"/>
      <c r="E19" s="62"/>
      <c r="F19" s="62"/>
      <c r="G19" s="62"/>
      <c r="H19" s="62"/>
      <c r="I19" s="62"/>
      <c r="J19" s="14"/>
      <c r="K19" s="15"/>
      <c r="M19" s="5" t="s">
        <v>12</v>
      </c>
    </row>
    <row r="20" spans="1:13" ht="43.2" x14ac:dyDescent="0.3">
      <c r="A20" s="7" t="str">
        <f>IF(OR(LEN(A19)&lt;1,LEN(A19)&gt;35),"Transaction Identification must be between 1 and 35 characters long","")</f>
        <v>Transaction Identification must be between 1 and 35 characters long</v>
      </c>
      <c r="B20" s="7" t="str">
        <f>IF(OR(LEN(B19)&lt;1,LEN(B19)&gt;35),"Uniqie Identification must be between 1 and 35 characters long","")</f>
        <v>Uniqie Identification must be between 1 and 35 characters long</v>
      </c>
      <c r="D20" s="7" t="str">
        <f>IF(OR(D19&lt;0.01,D19&gt;9999999999999990),"Transaction Amount is not valid","")</f>
        <v>Transaction Amount is not valid</v>
      </c>
      <c r="E20" s="7" t="str">
        <f>IF(AND(LEN(E19)&lt;&gt;8,LEN(E19)&lt;&gt;11),"BIC must be 8 or 11 characters long","")</f>
        <v>BIC must be 8 or 11 characters long</v>
      </c>
      <c r="F20" s="7" t="str">
        <f>IF(OR(LEN(F19)&lt;1,LEN(F19)&gt;70),"Creditor's Name must be between 1 and 70 characters long","")</f>
        <v>Creditor's Name must be between 1 and 70 characters long</v>
      </c>
      <c r="G20" s="7" t="str">
        <f>IF(LEN(G19)&gt;70,"Address cannot be longer than 70 characters","")</f>
        <v/>
      </c>
      <c r="H20" s="7" t="str">
        <f>IF(LEN(H19)&gt;70,"Address cannot be longer than 70 characters","")</f>
        <v/>
      </c>
      <c r="I20" s="7" t="str">
        <f>IF(OR(LEN(I19)&lt;10,LEN(I19)&gt;34),"IBAN may be up to 34 characters long","")</f>
        <v>IBAN may be up to 34 characters long</v>
      </c>
      <c r="J20" s="7" t="str">
        <f>IF(ISBLANK(J19),"Code cannot be left blank","")</f>
        <v>Code cannot be left blank</v>
      </c>
      <c r="K20" s="7" t="str">
        <f>IF(OR(LEN(K19)&lt;1,LEN(K19)&gt;140),"Transaction Details must be between 1 and 140 characters long","")</f>
        <v>Transaction Details must be between 1 and 140 characters long</v>
      </c>
      <c r="M20" s="1" t="s">
        <v>13</v>
      </c>
    </row>
    <row r="21" spans="1:13" x14ac:dyDescent="0.3">
      <c r="A21" s="13"/>
      <c r="B21" s="14"/>
      <c r="C21" s="17" t="s">
        <v>83</v>
      </c>
      <c r="D21" s="19"/>
      <c r="E21" s="62"/>
      <c r="F21" s="62"/>
      <c r="G21" s="62"/>
      <c r="H21" s="62"/>
      <c r="I21" s="62"/>
      <c r="J21" s="14"/>
      <c r="K21" s="15"/>
      <c r="M21" s="5" t="s">
        <v>12</v>
      </c>
    </row>
    <row r="22" spans="1:13" ht="43.2" x14ac:dyDescent="0.3">
      <c r="A22" s="7" t="str">
        <f>IF(OR(LEN(A21)&lt;1,LEN(A21)&gt;35),"Transaction Identification must be between 1 and 35 characters long","")</f>
        <v>Transaction Identification must be between 1 and 35 characters long</v>
      </c>
      <c r="B22" s="7" t="str">
        <f>IF(OR(LEN(B21)&lt;1,LEN(B21)&gt;35),"Uniqie Identification must be between 1 and 35 characters long","")</f>
        <v>Uniqie Identification must be between 1 and 35 characters long</v>
      </c>
      <c r="D22" s="7" t="str">
        <f>IF(OR(D21&lt;0.01,D21&gt;9999999999999990),"Transaction Amount is not valid","")</f>
        <v>Transaction Amount is not valid</v>
      </c>
      <c r="E22" s="7" t="str">
        <f>IF(AND(LEN(E21)&lt;&gt;8,LEN(E21)&lt;&gt;11),"BIC must be 8 or 11 characters long","")</f>
        <v>BIC must be 8 or 11 characters long</v>
      </c>
      <c r="F22" s="7" t="str">
        <f>IF(OR(LEN(F21)&lt;1,LEN(F21)&gt;70),"Creditor's Name must be between 1 and 70 characters long","")</f>
        <v>Creditor's Name must be between 1 and 70 characters long</v>
      </c>
      <c r="G22" s="7" t="str">
        <f>IF(LEN(G21)&gt;70,"Address cannot be longer than 70 characters","")</f>
        <v/>
      </c>
      <c r="H22" s="7" t="str">
        <f>IF(LEN(H21)&gt;70,"Address cannot be longer than 70 characters","")</f>
        <v/>
      </c>
      <c r="I22" s="7" t="str">
        <f>IF(OR(LEN(I21)&lt;10,LEN(I21)&gt;34),"IBAN may be up to 34 characters long","")</f>
        <v>IBAN may be up to 34 characters long</v>
      </c>
      <c r="J22" s="7" t="str">
        <f>IF(ISBLANK(J21),"Code cannot be left blank","")</f>
        <v>Code cannot be left blank</v>
      </c>
      <c r="K22" s="7" t="str">
        <f>IF(OR(LEN(K21)&lt;1,LEN(K21)&gt;140),"Transaction Details must be between 1 and 140 characters long","")</f>
        <v>Transaction Details must be between 1 and 140 characters long</v>
      </c>
      <c r="M22" s="1" t="s">
        <v>13</v>
      </c>
    </row>
    <row r="23" spans="1:13" x14ac:dyDescent="0.3">
      <c r="A23" s="13"/>
      <c r="B23" s="14"/>
      <c r="C23" s="17" t="s">
        <v>83</v>
      </c>
      <c r="D23" s="19"/>
      <c r="E23" s="62"/>
      <c r="F23" s="62"/>
      <c r="G23" s="62"/>
      <c r="H23" s="62"/>
      <c r="I23" s="62"/>
      <c r="J23" s="14"/>
      <c r="K23" s="15"/>
      <c r="M23" s="5" t="s">
        <v>12</v>
      </c>
    </row>
    <row r="24" spans="1:13" ht="43.2" x14ac:dyDescent="0.3">
      <c r="A24" s="7" t="str">
        <f>IF(OR(LEN(A23)&lt;1,LEN(A23)&gt;35),"Transaction Identification must be between 1 and 35 characters long","")</f>
        <v>Transaction Identification must be between 1 and 35 characters long</v>
      </c>
      <c r="B24" s="7" t="str">
        <f>IF(OR(LEN(B23)&lt;1,LEN(B23)&gt;35),"Uniqie Identification must be between 1 and 35 characters long","")</f>
        <v>Uniqie Identification must be between 1 and 35 characters long</v>
      </c>
      <c r="D24" s="7" t="str">
        <f>IF(OR(D23&lt;0.01,D23&gt;9999999999999990),"Transaction Amount is not valid","")</f>
        <v>Transaction Amount is not valid</v>
      </c>
      <c r="E24" s="7" t="str">
        <f>IF(AND(LEN(E23)&lt;&gt;8,LEN(E23)&lt;&gt;11),"BIC must be 8 or 11 characters long","")</f>
        <v>BIC must be 8 or 11 characters long</v>
      </c>
      <c r="F24" s="7" t="str">
        <f>IF(OR(LEN(F23)&lt;1,LEN(F23)&gt;70),"Creditor's Name must be between 1 and 70 characters long","")</f>
        <v>Creditor's Name must be between 1 and 70 characters long</v>
      </c>
      <c r="G24" s="7" t="str">
        <f>IF(LEN(G23)&gt;70,"Address cannot be longer than 70 characters","")</f>
        <v/>
      </c>
      <c r="H24" s="7" t="str">
        <f>IF(LEN(H23)&gt;70,"Address cannot be longer than 70 characters","")</f>
        <v/>
      </c>
      <c r="I24" s="7" t="str">
        <f>IF(OR(LEN(I23)&lt;10,LEN(I23)&gt;34),"IBAN may be up to 34 characters long","")</f>
        <v>IBAN may be up to 34 characters long</v>
      </c>
      <c r="J24" s="7" t="str">
        <f>IF(ISBLANK(J23),"Code cannot be left blank","")</f>
        <v>Code cannot be left blank</v>
      </c>
      <c r="K24" s="7" t="str">
        <f>IF(OR(LEN(K23)&lt;1,LEN(K23)&gt;140),"Transaction Details must be between 1 and 140 characters long","")</f>
        <v>Transaction Details must be between 1 and 140 characters long</v>
      </c>
      <c r="M24" s="1" t="s">
        <v>13</v>
      </c>
    </row>
    <row r="25" spans="1:13" x14ac:dyDescent="0.3">
      <c r="A25" s="13"/>
      <c r="B25" s="14"/>
      <c r="C25" s="17" t="s">
        <v>83</v>
      </c>
      <c r="D25" s="19"/>
      <c r="E25" s="62"/>
      <c r="F25" s="62"/>
      <c r="G25" s="62"/>
      <c r="H25" s="62"/>
      <c r="I25" s="62"/>
      <c r="J25" s="14"/>
      <c r="K25" s="15"/>
      <c r="M25" s="5" t="s">
        <v>12</v>
      </c>
    </row>
    <row r="26" spans="1:13" ht="43.2" x14ac:dyDescent="0.3">
      <c r="A26" s="7" t="str">
        <f>IF(OR(LEN(A25)&lt;1,LEN(A25)&gt;35),"Transaction Identification must be between 1 and 35 characters long","")</f>
        <v>Transaction Identification must be between 1 and 35 characters long</v>
      </c>
      <c r="B26" s="7" t="str">
        <f>IF(OR(LEN(B25)&lt;1,LEN(B25)&gt;35),"Uniqie Identification must be between 1 and 35 characters long","")</f>
        <v>Uniqie Identification must be between 1 and 35 characters long</v>
      </c>
      <c r="D26" s="7" t="str">
        <f>IF(OR(D25&lt;0.01,D25&gt;9999999999999990),"Transaction Amount is not valid","")</f>
        <v>Transaction Amount is not valid</v>
      </c>
      <c r="E26" s="7" t="str">
        <f>IF(AND(LEN(E25)&lt;&gt;8,LEN(E25)&lt;&gt;11),"BIC must be 8 or 11 characters long","")</f>
        <v>BIC must be 8 or 11 characters long</v>
      </c>
      <c r="F26" s="7" t="str">
        <f>IF(OR(LEN(F25)&lt;1,LEN(F25)&gt;70),"Creditor's Name must be between 1 and 70 characters long","")</f>
        <v>Creditor's Name must be between 1 and 70 characters long</v>
      </c>
      <c r="G26" s="7" t="str">
        <f>IF(LEN(G25)&gt;70,"Address cannot be longer than 70 characters","")</f>
        <v/>
      </c>
      <c r="H26" s="7" t="str">
        <f>IF(LEN(H25)&gt;70,"Address cannot be longer than 70 characters","")</f>
        <v/>
      </c>
      <c r="I26" s="7" t="str">
        <f>IF(OR(LEN(I25)&lt;10,LEN(I25)&gt;34),"IBAN may be up to 34 characters long","")</f>
        <v>IBAN may be up to 34 characters long</v>
      </c>
      <c r="J26" s="7" t="str">
        <f>IF(ISBLANK(J25),"Code cannot be left blank","")</f>
        <v>Code cannot be left blank</v>
      </c>
      <c r="K26" s="7" t="str">
        <f>IF(OR(LEN(K25)&lt;1,LEN(K25)&gt;140),"Transaction Details must be between 1 and 140 characters long","")</f>
        <v>Transaction Details must be between 1 and 140 characters long</v>
      </c>
      <c r="M26" s="1" t="s">
        <v>13</v>
      </c>
    </row>
    <row r="27" spans="1:13" x14ac:dyDescent="0.3">
      <c r="A27" s="13"/>
      <c r="B27" s="14"/>
      <c r="C27" s="17" t="s">
        <v>83</v>
      </c>
      <c r="D27" s="19"/>
      <c r="E27" s="62"/>
      <c r="F27" s="62"/>
      <c r="G27" s="62"/>
      <c r="H27" s="62"/>
      <c r="I27" s="62"/>
      <c r="J27" s="14"/>
      <c r="K27" s="15"/>
      <c r="M27" s="5" t="s">
        <v>12</v>
      </c>
    </row>
    <row r="28" spans="1:13" ht="43.2" x14ac:dyDescent="0.3">
      <c r="A28" s="7" t="str">
        <f>IF(OR(LEN(A27)&lt;1,LEN(A27)&gt;35),"Transaction Identification must be between 1 and 35 characters long","")</f>
        <v>Transaction Identification must be between 1 and 35 characters long</v>
      </c>
      <c r="B28" s="7" t="str">
        <f>IF(OR(LEN(B27)&lt;1,LEN(B27)&gt;35),"Uniqie Identification must be between 1 and 35 characters long","")</f>
        <v>Uniqie Identification must be between 1 and 35 characters long</v>
      </c>
      <c r="D28" s="7" t="str">
        <f>IF(OR(D27&lt;0.01,D27&gt;9999999999999990),"Transaction Amount is not valid","")</f>
        <v>Transaction Amount is not valid</v>
      </c>
      <c r="E28" s="7" t="str">
        <f>IF(AND(LEN(E27)&lt;&gt;8,LEN(E27)&lt;&gt;11),"BIC must be 8 or 11 characters long","")</f>
        <v>BIC must be 8 or 11 characters long</v>
      </c>
      <c r="F28" s="7" t="str">
        <f>IF(OR(LEN(F27)&lt;1,LEN(F27)&gt;70),"Creditor's Name must be between 1 and 70 characters long","")</f>
        <v>Creditor's Name must be between 1 and 70 characters long</v>
      </c>
      <c r="G28" s="7" t="str">
        <f>IF(LEN(G27)&gt;70,"Address cannot be longer than 70 characters","")</f>
        <v/>
      </c>
      <c r="H28" s="7" t="str">
        <f>IF(LEN(H27)&gt;70,"Address cannot be longer than 70 characters","")</f>
        <v/>
      </c>
      <c r="I28" s="7" t="str">
        <f>IF(OR(LEN(I27)&lt;10,LEN(I27)&gt;34),"IBAN may be up to 34 characters long","")</f>
        <v>IBAN may be up to 34 characters long</v>
      </c>
      <c r="J28" s="7" t="str">
        <f>IF(ISBLANK(J27),"Code cannot be left blank","")</f>
        <v>Code cannot be left blank</v>
      </c>
      <c r="K28" s="7" t="str">
        <f>IF(OR(LEN(K27)&lt;1,LEN(K27)&gt;140),"Transaction Details must be between 1 and 140 characters long","")</f>
        <v>Transaction Details must be between 1 and 140 characters long</v>
      </c>
      <c r="M28" s="1" t="s">
        <v>13</v>
      </c>
    </row>
    <row r="29" spans="1:13" x14ac:dyDescent="0.3">
      <c r="A29" s="13"/>
      <c r="B29" s="14"/>
      <c r="C29" s="17" t="s">
        <v>83</v>
      </c>
      <c r="D29" s="19"/>
      <c r="E29" s="62"/>
      <c r="F29" s="62"/>
      <c r="G29" s="62"/>
      <c r="H29" s="62"/>
      <c r="I29" s="62"/>
      <c r="J29" s="14"/>
      <c r="K29" s="15"/>
      <c r="M29" s="5" t="s">
        <v>12</v>
      </c>
    </row>
    <row r="30" spans="1:13" ht="43.2" x14ac:dyDescent="0.3">
      <c r="A30" s="7" t="str">
        <f>IF(OR(LEN(A29)&lt;1,LEN(A29)&gt;35),"Transaction Identification must be between 1 and 35 characters long","")</f>
        <v>Transaction Identification must be between 1 and 35 characters long</v>
      </c>
      <c r="B30" s="7" t="str">
        <f>IF(OR(LEN(B29)&lt;1,LEN(B29)&gt;35),"Uniqie Identification must be between 1 and 35 characters long","")</f>
        <v>Uniqie Identification must be between 1 and 35 characters long</v>
      </c>
      <c r="D30" s="7" t="str">
        <f>IF(OR(D29&lt;0.01,D29&gt;9999999999999990),"Transaction Amount is not valid","")</f>
        <v>Transaction Amount is not valid</v>
      </c>
      <c r="E30" s="7" t="str">
        <f>IF(AND(LEN(E29)&lt;&gt;8,LEN(E29)&lt;&gt;11),"BIC must be 8 or 11 characters long","")</f>
        <v>BIC must be 8 or 11 characters long</v>
      </c>
      <c r="F30" s="7" t="str">
        <f>IF(OR(LEN(F29)&lt;1,LEN(F29)&gt;70),"Creditor's Name must be between 1 and 70 characters long","")</f>
        <v>Creditor's Name must be between 1 and 70 characters long</v>
      </c>
      <c r="G30" s="7" t="str">
        <f>IF(LEN(G29)&gt;70,"Address cannot be longer than 70 characters","")</f>
        <v/>
      </c>
      <c r="H30" s="7" t="str">
        <f>IF(LEN(H29)&gt;70,"Address cannot be longer than 70 characters","")</f>
        <v/>
      </c>
      <c r="I30" s="7" t="str">
        <f>IF(OR(LEN(I29)&lt;10,LEN(I29)&gt;34),"IBAN may be up to 34 characters long","")</f>
        <v>IBAN may be up to 34 characters long</v>
      </c>
      <c r="J30" s="7" t="str">
        <f>IF(ISBLANK(J29),"Code cannot be left blank","")</f>
        <v>Code cannot be left blank</v>
      </c>
      <c r="K30" s="7" t="str">
        <f>IF(OR(LEN(K29)&lt;1,LEN(K29)&gt;140),"Transaction Details must be between 1 and 140 characters long","")</f>
        <v>Transaction Details must be between 1 and 140 characters long</v>
      </c>
      <c r="M30" s="1" t="s">
        <v>13</v>
      </c>
    </row>
    <row r="31" spans="1:13" x14ac:dyDescent="0.3">
      <c r="A31" s="13"/>
      <c r="B31" s="14"/>
      <c r="C31" s="17" t="s">
        <v>83</v>
      </c>
      <c r="D31" s="19"/>
      <c r="E31" s="62"/>
      <c r="F31" s="62"/>
      <c r="G31" s="62"/>
      <c r="H31" s="62"/>
      <c r="I31" s="62"/>
      <c r="J31" s="14"/>
      <c r="K31" s="15"/>
      <c r="M31" s="5" t="s">
        <v>12</v>
      </c>
    </row>
    <row r="32" spans="1:13" ht="43.2" x14ac:dyDescent="0.3">
      <c r="A32" s="7" t="str">
        <f>IF(OR(LEN(A31)&lt;1,LEN(A31)&gt;35),"Transaction Identification must be between 1 and 35 characters long","")</f>
        <v>Transaction Identification must be between 1 and 35 characters long</v>
      </c>
      <c r="B32" s="7" t="str">
        <f>IF(OR(LEN(B31)&lt;1,LEN(B31)&gt;35),"Uniqie Identification must be between 1 and 35 characters long","")</f>
        <v>Uniqie Identification must be between 1 and 35 characters long</v>
      </c>
      <c r="D32" s="7" t="str">
        <f>IF(OR(D31&lt;0.01,D31&gt;9999999999999990),"Transaction Amount is not valid","")</f>
        <v>Transaction Amount is not valid</v>
      </c>
      <c r="E32" s="7" t="str">
        <f>IF(AND(LEN(E31)&lt;&gt;8,LEN(E31)&lt;&gt;11),"BIC must be 8 or 11 characters long","")</f>
        <v>BIC must be 8 or 11 characters long</v>
      </c>
      <c r="F32" s="7" t="str">
        <f>IF(OR(LEN(F31)&lt;1,LEN(F31)&gt;70),"Creditor's Name must be between 1 and 70 characters long","")</f>
        <v>Creditor's Name must be between 1 and 70 characters long</v>
      </c>
      <c r="G32" s="7" t="str">
        <f>IF(LEN(G31)&gt;70,"Address cannot be longer than 70 characters","")</f>
        <v/>
      </c>
      <c r="H32" s="7" t="str">
        <f>IF(LEN(H31)&gt;70,"Address cannot be longer than 70 characters","")</f>
        <v/>
      </c>
      <c r="I32" s="7" t="str">
        <f>IF(OR(LEN(I31)&lt;10,LEN(I31)&gt;34),"IBAN may be up to 34 characters long","")</f>
        <v>IBAN may be up to 34 characters long</v>
      </c>
      <c r="J32" s="7" t="str">
        <f>IF(ISBLANK(J31),"Code cannot be left blank","")</f>
        <v>Code cannot be left blank</v>
      </c>
      <c r="K32" s="7" t="str">
        <f>IF(OR(LEN(K31)&lt;1,LEN(K31)&gt;140),"Transaction Details must be between 1 and 140 characters long","")</f>
        <v>Transaction Details must be between 1 and 140 characters long</v>
      </c>
      <c r="M32" s="1" t="s">
        <v>13</v>
      </c>
    </row>
    <row r="33" spans="1:13" x14ac:dyDescent="0.3">
      <c r="A33" s="13"/>
      <c r="B33" s="14"/>
      <c r="C33" s="17" t="s">
        <v>83</v>
      </c>
      <c r="D33" s="19"/>
      <c r="E33" s="62"/>
      <c r="F33" s="62"/>
      <c r="G33" s="62"/>
      <c r="H33" s="62"/>
      <c r="I33" s="62"/>
      <c r="J33" s="14"/>
      <c r="K33" s="15"/>
      <c r="M33" s="5" t="s">
        <v>12</v>
      </c>
    </row>
    <row r="34" spans="1:13" ht="43.2" x14ac:dyDescent="0.3">
      <c r="A34" s="7" t="str">
        <f>IF(OR(LEN(A33)&lt;1,LEN(A33)&gt;35),"Transaction Identification must be between 1 and 35 characters long","")</f>
        <v>Transaction Identification must be between 1 and 35 characters long</v>
      </c>
      <c r="B34" s="7" t="str">
        <f>IF(OR(LEN(B33)&lt;1,LEN(B33)&gt;35),"Uniqie Identification must be between 1 and 35 characters long","")</f>
        <v>Uniqie Identification must be between 1 and 35 characters long</v>
      </c>
      <c r="D34" s="7" t="str">
        <f>IF(OR(D33&lt;0.01,D33&gt;9999999999999990),"Transaction Amount is not valid","")</f>
        <v>Transaction Amount is not valid</v>
      </c>
      <c r="E34" s="7" t="str">
        <f>IF(AND(LEN(E33)&lt;&gt;8,LEN(E33)&lt;&gt;11),"BIC must be 8 or 11 characters long","")</f>
        <v>BIC must be 8 or 11 characters long</v>
      </c>
      <c r="F34" s="7" t="str">
        <f>IF(OR(LEN(F33)&lt;1,LEN(F33)&gt;70),"Creditor's Name must be between 1 and 70 characters long","")</f>
        <v>Creditor's Name must be between 1 and 70 characters long</v>
      </c>
      <c r="G34" s="7" t="str">
        <f>IF(LEN(G33)&gt;70,"Address cannot be longer than 70 characters","")</f>
        <v/>
      </c>
      <c r="H34" s="7" t="str">
        <f>IF(LEN(H33)&gt;70,"Address cannot be longer than 70 characters","")</f>
        <v/>
      </c>
      <c r="I34" s="7" t="str">
        <f>IF(OR(LEN(I33)&lt;10,LEN(I33)&gt;34),"IBAN may be up to 34 characters long","")</f>
        <v>IBAN may be up to 34 characters long</v>
      </c>
      <c r="J34" s="7" t="str">
        <f>IF(ISBLANK(J33),"Code cannot be left blank","")</f>
        <v>Code cannot be left blank</v>
      </c>
      <c r="K34" s="7" t="str">
        <f>IF(OR(LEN(K33)&lt;1,LEN(K33)&gt;140),"Transaction Details must be between 1 and 140 characters long","")</f>
        <v>Transaction Details must be between 1 and 140 characters long</v>
      </c>
      <c r="M34" s="1" t="s">
        <v>13</v>
      </c>
    </row>
    <row r="35" spans="1:13" x14ac:dyDescent="0.3">
      <c r="A35" s="13"/>
      <c r="B35" s="14"/>
      <c r="C35" s="17" t="s">
        <v>83</v>
      </c>
      <c r="D35" s="19"/>
      <c r="E35" s="62"/>
      <c r="F35" s="62"/>
      <c r="G35" s="62"/>
      <c r="H35" s="62"/>
      <c r="I35" s="62"/>
      <c r="J35" s="14"/>
      <c r="K35" s="15"/>
      <c r="M35" s="5" t="s">
        <v>12</v>
      </c>
    </row>
    <row r="36" spans="1:13" ht="43.2" x14ac:dyDescent="0.3">
      <c r="A36" s="7" t="str">
        <f>IF(OR(LEN(A35)&lt;1,LEN(A35)&gt;35),"Transaction Identification must be between 1 and 35 characters long","")</f>
        <v>Transaction Identification must be between 1 and 35 characters long</v>
      </c>
      <c r="B36" s="7" t="str">
        <f>IF(OR(LEN(B35)&lt;1,LEN(B35)&gt;35),"Uniqie Identification must be between 1 and 35 characters long","")</f>
        <v>Uniqie Identification must be between 1 and 35 characters long</v>
      </c>
      <c r="D36" s="7" t="str">
        <f>IF(OR(D35&lt;0.01,D35&gt;9999999999999990),"Transaction Amount is not valid","")</f>
        <v>Transaction Amount is not valid</v>
      </c>
      <c r="E36" s="7" t="str">
        <f>IF(AND(LEN(E35)&lt;&gt;8,LEN(E35)&lt;&gt;11),"BIC must be 8 or 11 characters long","")</f>
        <v>BIC must be 8 or 11 characters long</v>
      </c>
      <c r="F36" s="7" t="str">
        <f>IF(OR(LEN(F35)&lt;1,LEN(F35)&gt;70),"Creditor's Name must be between 1 and 70 characters long","")</f>
        <v>Creditor's Name must be between 1 and 70 characters long</v>
      </c>
      <c r="G36" s="7" t="str">
        <f>IF(LEN(G35)&gt;70,"Address cannot be longer than 70 characters","")</f>
        <v/>
      </c>
      <c r="H36" s="7" t="str">
        <f>IF(LEN(H35)&gt;70,"Address cannot be longer than 70 characters","")</f>
        <v/>
      </c>
      <c r="I36" s="7" t="str">
        <f>IF(OR(LEN(I35)&lt;10,LEN(I35)&gt;34),"IBAN may be up to 34 characters long","")</f>
        <v>IBAN may be up to 34 characters long</v>
      </c>
      <c r="J36" s="7" t="str">
        <f>IF(ISBLANK(J35),"Code cannot be left blank","")</f>
        <v>Code cannot be left blank</v>
      </c>
      <c r="K36" s="7" t="str">
        <f>IF(OR(LEN(K35)&lt;1,LEN(K35)&gt;140),"Transaction Details must be between 1 and 140 characters long","")</f>
        <v>Transaction Details must be between 1 and 140 characters long</v>
      </c>
      <c r="M36" s="1" t="s">
        <v>13</v>
      </c>
    </row>
    <row r="37" spans="1:13" x14ac:dyDescent="0.3">
      <c r="A37" s="13"/>
      <c r="B37" s="14"/>
      <c r="C37" s="17" t="s">
        <v>83</v>
      </c>
      <c r="D37" s="19"/>
      <c r="E37" s="62"/>
      <c r="F37" s="62"/>
      <c r="G37" s="62"/>
      <c r="H37" s="62"/>
      <c r="I37" s="62"/>
      <c r="J37" s="14"/>
      <c r="K37" s="15"/>
      <c r="M37" s="5" t="s">
        <v>12</v>
      </c>
    </row>
    <row r="38" spans="1:13" ht="43.2" x14ac:dyDescent="0.3">
      <c r="A38" s="7" t="str">
        <f>IF(OR(LEN(A37)&lt;1,LEN(A37)&gt;35),"Transaction Identification must be between 1 and 35 characters long","")</f>
        <v>Transaction Identification must be between 1 and 35 characters long</v>
      </c>
      <c r="B38" s="7" t="str">
        <f>IF(OR(LEN(B37)&lt;1,LEN(B37)&gt;35),"Uniqie Identification must be between 1 and 35 characters long","")</f>
        <v>Uniqie Identification must be between 1 and 35 characters long</v>
      </c>
      <c r="D38" s="7" t="str">
        <f>IF(OR(D37&lt;0.01,D37&gt;9999999999999990),"Transaction Amount is not valid","")</f>
        <v>Transaction Amount is not valid</v>
      </c>
      <c r="E38" s="7" t="str">
        <f>IF(AND(LEN(E37)&lt;&gt;8,LEN(E37)&lt;&gt;11),"BIC must be 8 or 11 characters long","")</f>
        <v>BIC must be 8 or 11 characters long</v>
      </c>
      <c r="F38" s="7" t="str">
        <f>IF(OR(LEN(F37)&lt;1,LEN(F37)&gt;70),"Creditor's Name must be between 1 and 70 characters long","")</f>
        <v>Creditor's Name must be between 1 and 70 characters long</v>
      </c>
      <c r="G38" s="7" t="str">
        <f>IF(LEN(G37)&gt;70,"Address cannot be longer than 70 characters","")</f>
        <v/>
      </c>
      <c r="H38" s="7" t="str">
        <f>IF(LEN(H37)&gt;70,"Address cannot be longer than 70 characters","")</f>
        <v/>
      </c>
      <c r="I38" s="7" t="str">
        <f>IF(OR(LEN(I37)&lt;10,LEN(I37)&gt;34),"IBAN may be up to 34 characters long","")</f>
        <v>IBAN may be up to 34 characters long</v>
      </c>
      <c r="J38" s="7" t="str">
        <f>IF(ISBLANK(J37),"Code cannot be left blank","")</f>
        <v>Code cannot be left blank</v>
      </c>
      <c r="K38" s="7" t="str">
        <f>IF(OR(LEN(K37)&lt;1,LEN(K37)&gt;140),"Transaction Details must be between 1 and 140 characters long","")</f>
        <v>Transaction Details must be between 1 and 140 characters long</v>
      </c>
      <c r="M38" s="1" t="s">
        <v>13</v>
      </c>
    </row>
    <row r="39" spans="1:13" x14ac:dyDescent="0.3">
      <c r="A39" s="13"/>
      <c r="B39" s="14"/>
      <c r="C39" s="17" t="s">
        <v>83</v>
      </c>
      <c r="D39" s="19"/>
      <c r="E39" s="62"/>
      <c r="F39" s="62"/>
      <c r="G39" s="62"/>
      <c r="H39" s="62"/>
      <c r="I39" s="62"/>
      <c r="J39" s="14"/>
      <c r="K39" s="15"/>
      <c r="M39" s="5" t="s">
        <v>12</v>
      </c>
    </row>
    <row r="40" spans="1:13" ht="43.2" x14ac:dyDescent="0.3">
      <c r="A40" s="7" t="str">
        <f>IF(OR(LEN(A39)&lt;1,LEN(A39)&gt;35),"Transaction Identification must be between 1 and 35 characters long","")</f>
        <v>Transaction Identification must be between 1 and 35 characters long</v>
      </c>
      <c r="B40" s="7" t="str">
        <f>IF(OR(LEN(B39)&lt;1,LEN(B39)&gt;35),"Uniqie Identification must be between 1 and 35 characters long","")</f>
        <v>Uniqie Identification must be between 1 and 35 characters long</v>
      </c>
      <c r="D40" s="7" t="str">
        <f>IF(OR(D39&lt;0.01,D39&gt;9999999999999990),"Transaction Amount is not valid","")</f>
        <v>Transaction Amount is not valid</v>
      </c>
      <c r="E40" s="7" t="str">
        <f>IF(AND(LEN(E39)&lt;&gt;8,LEN(E39)&lt;&gt;11),"BIC must be 8 or 11 characters long","")</f>
        <v>BIC must be 8 or 11 characters long</v>
      </c>
      <c r="F40" s="7" t="str">
        <f>IF(OR(LEN(F39)&lt;1,LEN(F39)&gt;70),"Creditor's Name must be between 1 and 70 characters long","")</f>
        <v>Creditor's Name must be between 1 and 70 characters long</v>
      </c>
      <c r="G40" s="7" t="str">
        <f>IF(LEN(G39)&gt;70,"Address cannot be longer than 70 characters","")</f>
        <v/>
      </c>
      <c r="H40" s="7" t="str">
        <f>IF(LEN(H39)&gt;70,"Address cannot be longer than 70 characters","")</f>
        <v/>
      </c>
      <c r="I40" s="7" t="str">
        <f>IF(OR(LEN(I39)&lt;10,LEN(I39)&gt;34),"IBAN may be up to 34 characters long","")</f>
        <v>IBAN may be up to 34 characters long</v>
      </c>
      <c r="J40" s="7" t="str">
        <f>IF(ISBLANK(J39),"Code cannot be left blank","")</f>
        <v>Code cannot be left blank</v>
      </c>
      <c r="K40" s="7" t="str">
        <f>IF(OR(LEN(K39)&lt;1,LEN(K39)&gt;140),"Transaction Details must be between 1 and 140 characters long","")</f>
        <v>Transaction Details must be between 1 and 140 characters long</v>
      </c>
      <c r="M40" s="1" t="s">
        <v>13</v>
      </c>
    </row>
    <row r="41" spans="1:13" x14ac:dyDescent="0.3">
      <c r="A41" s="13"/>
      <c r="B41" s="14"/>
      <c r="C41" s="17" t="s">
        <v>83</v>
      </c>
      <c r="D41" s="19"/>
      <c r="E41" s="62"/>
      <c r="F41" s="62"/>
      <c r="G41" s="62"/>
      <c r="H41" s="62"/>
      <c r="I41" s="62"/>
      <c r="J41" s="14"/>
      <c r="K41" s="15"/>
      <c r="M41" s="5" t="s">
        <v>12</v>
      </c>
    </row>
    <row r="42" spans="1:13" ht="43.2" x14ac:dyDescent="0.3">
      <c r="A42" s="7" t="str">
        <f>IF(OR(LEN(A41)&lt;1,LEN(A41)&gt;35),"Transaction Identification must be between 1 and 35 characters long","")</f>
        <v>Transaction Identification must be between 1 and 35 characters long</v>
      </c>
      <c r="B42" s="7" t="str">
        <f>IF(OR(LEN(B41)&lt;1,LEN(B41)&gt;35),"Uniqie Identification must be between 1 and 35 characters long","")</f>
        <v>Uniqie Identification must be between 1 and 35 characters long</v>
      </c>
      <c r="D42" s="7" t="str">
        <f>IF(OR(D41&lt;0.01,D41&gt;9999999999999990),"Transaction Amount is not valid","")</f>
        <v>Transaction Amount is not valid</v>
      </c>
      <c r="E42" s="7" t="str">
        <f>IF(AND(LEN(E41)&lt;&gt;8,LEN(E41)&lt;&gt;11),"BIC must be 8 or 11 characters long","")</f>
        <v>BIC must be 8 or 11 characters long</v>
      </c>
      <c r="F42" s="7" t="str">
        <f>IF(OR(LEN(F41)&lt;1,LEN(F41)&gt;70),"Creditor's Name must be between 1 and 70 characters long","")</f>
        <v>Creditor's Name must be between 1 and 70 characters long</v>
      </c>
      <c r="G42" s="7" t="str">
        <f>IF(LEN(G41)&gt;70,"Address cannot be longer than 70 characters","")</f>
        <v/>
      </c>
      <c r="H42" s="7" t="str">
        <f>IF(LEN(H41)&gt;70,"Address cannot be longer than 70 characters","")</f>
        <v/>
      </c>
      <c r="I42" s="7" t="str">
        <f>IF(OR(LEN(I41)&lt;10,LEN(I41)&gt;34),"IBAN may be up to 34 characters long","")</f>
        <v>IBAN may be up to 34 characters long</v>
      </c>
      <c r="J42" s="7" t="str">
        <f>IF(ISBLANK(J41),"Code cannot be left blank","")</f>
        <v>Code cannot be left blank</v>
      </c>
      <c r="K42" s="7" t="str">
        <f>IF(OR(LEN(K41)&lt;1,LEN(K41)&gt;140),"Transaction Details must be between 1 and 140 characters long","")</f>
        <v>Transaction Details must be between 1 and 140 characters long</v>
      </c>
      <c r="M42" s="1" t="s">
        <v>13</v>
      </c>
    </row>
    <row r="43" spans="1:13" x14ac:dyDescent="0.3">
      <c r="A43" s="13"/>
      <c r="B43" s="14"/>
      <c r="C43" s="17" t="s">
        <v>83</v>
      </c>
      <c r="D43" s="19"/>
      <c r="E43" s="62"/>
      <c r="F43" s="62"/>
      <c r="G43" s="62"/>
      <c r="H43" s="62"/>
      <c r="I43" s="62"/>
      <c r="J43" s="14"/>
      <c r="K43" s="15"/>
      <c r="M43" s="5" t="s">
        <v>12</v>
      </c>
    </row>
    <row r="44" spans="1:13" ht="43.2" x14ac:dyDescent="0.3">
      <c r="A44" s="7" t="str">
        <f>IF(OR(LEN(A43)&lt;1,LEN(A43)&gt;35),"Transaction Identification must be between 1 and 35 characters long","")</f>
        <v>Transaction Identification must be between 1 and 35 characters long</v>
      </c>
      <c r="B44" s="7" t="str">
        <f>IF(OR(LEN(B43)&lt;1,LEN(B43)&gt;35),"Uniqie Identification must be between 1 and 35 characters long","")</f>
        <v>Uniqie Identification must be between 1 and 35 characters long</v>
      </c>
      <c r="D44" s="7" t="str">
        <f>IF(OR(D43&lt;0.01,D43&gt;9999999999999990),"Transaction Amount is not valid","")</f>
        <v>Transaction Amount is not valid</v>
      </c>
      <c r="E44" s="7" t="str">
        <f>IF(AND(LEN(E43)&lt;&gt;8,LEN(E43)&lt;&gt;11),"BIC must be 8 or 11 characters long","")</f>
        <v>BIC must be 8 or 11 characters long</v>
      </c>
      <c r="F44" s="7" t="str">
        <f>IF(OR(LEN(F43)&lt;1,LEN(F43)&gt;70),"Creditor's Name must be between 1 and 70 characters long","")</f>
        <v>Creditor's Name must be between 1 and 70 characters long</v>
      </c>
      <c r="G44" s="7" t="str">
        <f>IF(LEN(G43)&gt;70,"Address cannot be longer than 70 characters","")</f>
        <v/>
      </c>
      <c r="H44" s="7" t="str">
        <f>IF(LEN(H43)&gt;70,"Address cannot be longer than 70 characters","")</f>
        <v/>
      </c>
      <c r="I44" s="7" t="str">
        <f>IF(OR(LEN(I43)&lt;10,LEN(I43)&gt;34),"IBAN may be up to 34 characters long","")</f>
        <v>IBAN may be up to 34 characters long</v>
      </c>
      <c r="J44" s="7" t="str">
        <f>IF(ISBLANK(J43),"Code cannot be left blank","")</f>
        <v>Code cannot be left blank</v>
      </c>
      <c r="K44" s="7" t="str">
        <f>IF(OR(LEN(K43)&lt;1,LEN(K43)&gt;140),"Transaction Details must be between 1 and 140 characters long","")</f>
        <v>Transaction Details must be between 1 and 140 characters long</v>
      </c>
      <c r="M44" s="1" t="s">
        <v>13</v>
      </c>
    </row>
    <row r="45" spans="1:13" x14ac:dyDescent="0.3">
      <c r="A45" s="13"/>
      <c r="B45" s="14"/>
      <c r="C45" s="17" t="s">
        <v>83</v>
      </c>
      <c r="D45" s="19"/>
      <c r="E45" s="62"/>
      <c r="F45" s="62"/>
      <c r="G45" s="62"/>
      <c r="H45" s="62"/>
      <c r="I45" s="62"/>
      <c r="J45" s="14"/>
      <c r="K45" s="15"/>
      <c r="M45" s="5" t="s">
        <v>12</v>
      </c>
    </row>
    <row r="46" spans="1:13" ht="43.2" x14ac:dyDescent="0.3">
      <c r="A46" s="7" t="str">
        <f>IF(OR(LEN(A45)&lt;1,LEN(A45)&gt;35),"Transaction Identification must be between 1 and 35 characters long","")</f>
        <v>Transaction Identification must be between 1 and 35 characters long</v>
      </c>
      <c r="B46" s="7" t="str">
        <f>IF(OR(LEN(B45)&lt;1,LEN(B45)&gt;35),"Uniqie Identification must be between 1 and 35 characters long","")</f>
        <v>Uniqie Identification must be between 1 and 35 characters long</v>
      </c>
      <c r="D46" s="7" t="str">
        <f>IF(OR(D45&lt;0.01,D45&gt;9999999999999990),"Transaction Amount is not valid","")</f>
        <v>Transaction Amount is not valid</v>
      </c>
      <c r="E46" s="7" t="str">
        <f>IF(AND(LEN(E45)&lt;&gt;8,LEN(E45)&lt;&gt;11),"BIC must be 8 or 11 characters long","")</f>
        <v>BIC must be 8 or 11 characters long</v>
      </c>
      <c r="F46" s="7" t="str">
        <f>IF(OR(LEN(F45)&lt;1,LEN(F45)&gt;70),"Creditor's Name must be between 1 and 70 characters long","")</f>
        <v>Creditor's Name must be between 1 and 70 characters long</v>
      </c>
      <c r="G46" s="7" t="str">
        <f>IF(LEN(G45)&gt;70,"Address cannot be longer than 70 characters","")</f>
        <v/>
      </c>
      <c r="H46" s="7" t="str">
        <f>IF(LEN(H45)&gt;70,"Address cannot be longer than 70 characters","")</f>
        <v/>
      </c>
      <c r="I46" s="7" t="str">
        <f>IF(OR(LEN(I45)&lt;10,LEN(I45)&gt;34),"IBAN may be up to 34 characters long","")</f>
        <v>IBAN may be up to 34 characters long</v>
      </c>
      <c r="J46" s="7" t="str">
        <f>IF(ISBLANK(J45),"Code cannot be left blank","")</f>
        <v>Code cannot be left blank</v>
      </c>
      <c r="K46" s="7" t="str">
        <f>IF(OR(LEN(K45)&lt;1,LEN(K45)&gt;140),"Transaction Details must be between 1 and 140 characters long","")</f>
        <v>Transaction Details must be between 1 and 140 characters long</v>
      </c>
      <c r="M46" s="1" t="s">
        <v>13</v>
      </c>
    </row>
    <row r="47" spans="1:13" x14ac:dyDescent="0.3">
      <c r="A47" s="13"/>
      <c r="B47" s="14"/>
      <c r="C47" s="17" t="s">
        <v>83</v>
      </c>
      <c r="D47" s="19"/>
      <c r="E47" s="62"/>
      <c r="F47" s="62"/>
      <c r="G47" s="62"/>
      <c r="H47" s="62"/>
      <c r="I47" s="62"/>
      <c r="J47" s="14"/>
      <c r="K47" s="15"/>
      <c r="M47" s="5" t="s">
        <v>12</v>
      </c>
    </row>
    <row r="48" spans="1:13" ht="43.2" x14ac:dyDescent="0.3">
      <c r="A48" s="7" t="str">
        <f>IF(OR(LEN(A47)&lt;1,LEN(A47)&gt;35),"Transaction Identification must be between 1 and 35 characters long","")</f>
        <v>Transaction Identification must be between 1 and 35 characters long</v>
      </c>
      <c r="B48" s="7" t="str">
        <f>IF(OR(LEN(B47)&lt;1,LEN(B47)&gt;35),"Uniqie Identification must be between 1 and 35 characters long","")</f>
        <v>Uniqie Identification must be between 1 and 35 characters long</v>
      </c>
      <c r="D48" s="7" t="str">
        <f>IF(OR(D47&lt;0.01,D47&gt;9999999999999990),"Transaction Amount is not valid","")</f>
        <v>Transaction Amount is not valid</v>
      </c>
      <c r="E48" s="7" t="str">
        <f>IF(AND(LEN(E47)&lt;&gt;8,LEN(E47)&lt;&gt;11),"BIC must be 8 or 11 characters long","")</f>
        <v>BIC must be 8 or 11 characters long</v>
      </c>
      <c r="F48" s="7" t="str">
        <f>IF(OR(LEN(F47)&lt;1,LEN(F47)&gt;70),"Creditor's Name must be between 1 and 70 characters long","")</f>
        <v>Creditor's Name must be between 1 and 70 characters long</v>
      </c>
      <c r="G48" s="7" t="str">
        <f>IF(LEN(G47)&gt;70,"Address cannot be longer than 70 characters","")</f>
        <v/>
      </c>
      <c r="H48" s="7" t="str">
        <f>IF(LEN(H47)&gt;70,"Address cannot be longer than 70 characters","")</f>
        <v/>
      </c>
      <c r="I48" s="7" t="str">
        <f>IF(OR(LEN(I47)&lt;10,LEN(I47)&gt;34),"IBAN may be up to 34 characters long","")</f>
        <v>IBAN may be up to 34 characters long</v>
      </c>
      <c r="J48" s="7" t="str">
        <f>IF(ISBLANK(J47),"Code cannot be left blank","")</f>
        <v>Code cannot be left blank</v>
      </c>
      <c r="K48" s="7" t="str">
        <f>IF(OR(LEN(K47)&lt;1,LEN(K47)&gt;140),"Transaction Details must be between 1 and 140 characters long","")</f>
        <v>Transaction Details must be between 1 and 140 characters long</v>
      </c>
      <c r="M48" s="1" t="s">
        <v>13</v>
      </c>
    </row>
    <row r="49" spans="1:13" x14ac:dyDescent="0.3">
      <c r="A49" s="13"/>
      <c r="B49" s="14"/>
      <c r="C49" s="17" t="s">
        <v>83</v>
      </c>
      <c r="D49" s="19"/>
      <c r="E49" s="62"/>
      <c r="F49" s="62"/>
      <c r="G49" s="62"/>
      <c r="H49" s="62"/>
      <c r="I49" s="62"/>
      <c r="J49" s="14"/>
      <c r="K49" s="15"/>
      <c r="M49" s="5" t="s">
        <v>12</v>
      </c>
    </row>
    <row r="50" spans="1:13" ht="43.2" x14ac:dyDescent="0.3">
      <c r="A50" s="7" t="str">
        <f>IF(OR(LEN(A49)&lt;1,LEN(A49)&gt;35),"Transaction Identification must be between 1 and 35 characters long","")</f>
        <v>Transaction Identification must be between 1 and 35 characters long</v>
      </c>
      <c r="B50" s="7" t="str">
        <f>IF(OR(LEN(B49)&lt;1,LEN(B49)&gt;35),"Uniqie Identification must be between 1 and 35 characters long","")</f>
        <v>Uniqie Identification must be between 1 and 35 characters long</v>
      </c>
      <c r="D50" s="7" t="str">
        <f>IF(OR(D49&lt;0.01,D49&gt;9999999999999990),"Transaction Amount is not valid","")</f>
        <v>Transaction Amount is not valid</v>
      </c>
      <c r="E50" s="7" t="str">
        <f>IF(AND(LEN(E49)&lt;&gt;8,LEN(E49)&lt;&gt;11),"BIC must be 8 or 11 characters long","")</f>
        <v>BIC must be 8 or 11 characters long</v>
      </c>
      <c r="F50" s="7" t="str">
        <f>IF(OR(LEN(F49)&lt;1,LEN(F49)&gt;70),"Creditor's Name must be between 1 and 70 characters long","")</f>
        <v>Creditor's Name must be between 1 and 70 characters long</v>
      </c>
      <c r="G50" s="7" t="str">
        <f>IF(LEN(G49)&gt;70,"Address cannot be longer than 70 characters","")</f>
        <v/>
      </c>
      <c r="H50" s="7" t="str">
        <f>IF(LEN(H49)&gt;70,"Address cannot be longer than 70 characters","")</f>
        <v/>
      </c>
      <c r="I50" s="7" t="str">
        <f>IF(OR(LEN(I49)&lt;10,LEN(I49)&gt;34),"IBAN may be up to 34 characters long","")</f>
        <v>IBAN may be up to 34 characters long</v>
      </c>
      <c r="J50" s="7" t="str">
        <f>IF(ISBLANK(J49),"Code cannot be left blank","")</f>
        <v>Code cannot be left blank</v>
      </c>
      <c r="K50" s="7" t="str">
        <f>IF(OR(LEN(K49)&lt;1,LEN(K49)&gt;140),"Transaction Details must be between 1 and 140 characters long","")</f>
        <v>Transaction Details must be between 1 and 140 characters long</v>
      </c>
      <c r="M50" s="1" t="s">
        <v>13</v>
      </c>
    </row>
    <row r="51" spans="1:13" x14ac:dyDescent="0.3">
      <c r="A51" s="13"/>
      <c r="B51" s="14"/>
      <c r="C51" s="17" t="s">
        <v>83</v>
      </c>
      <c r="D51" s="19"/>
      <c r="E51" s="62"/>
      <c r="F51" s="62"/>
      <c r="G51" s="62"/>
      <c r="H51" s="62"/>
      <c r="I51" s="62"/>
      <c r="J51" s="14"/>
      <c r="K51" s="15"/>
      <c r="M51" s="5" t="s">
        <v>12</v>
      </c>
    </row>
    <row r="52" spans="1:13" ht="43.2" x14ac:dyDescent="0.3">
      <c r="A52" s="7" t="str">
        <f>IF(OR(LEN(A51)&lt;1,LEN(A51)&gt;35),"Transaction Identification must be between 1 and 35 characters long","")</f>
        <v>Transaction Identification must be between 1 and 35 characters long</v>
      </c>
      <c r="B52" s="7" t="str">
        <f>IF(OR(LEN(B51)&lt;1,LEN(B51)&gt;35),"Uniqie Identification must be between 1 and 35 characters long","")</f>
        <v>Uniqie Identification must be between 1 and 35 characters long</v>
      </c>
      <c r="D52" s="7" t="str">
        <f>IF(OR(D51&lt;0.01,D51&gt;9999999999999990),"Transaction Amount is not valid","")</f>
        <v>Transaction Amount is not valid</v>
      </c>
      <c r="E52" s="7" t="str">
        <f>IF(AND(LEN(E51)&lt;&gt;8,LEN(E51)&lt;&gt;11),"BIC must be 8 or 11 characters long","")</f>
        <v>BIC must be 8 or 11 characters long</v>
      </c>
      <c r="F52" s="7" t="str">
        <f>IF(OR(LEN(F51)&lt;1,LEN(F51)&gt;70),"Creditor's Name must be between 1 and 70 characters long","")</f>
        <v>Creditor's Name must be between 1 and 70 characters long</v>
      </c>
      <c r="G52" s="7" t="str">
        <f>IF(LEN(G51)&gt;70,"Address cannot be longer than 70 characters","")</f>
        <v/>
      </c>
      <c r="H52" s="7" t="str">
        <f>IF(LEN(H51)&gt;70,"Address cannot be longer than 70 characters","")</f>
        <v/>
      </c>
      <c r="I52" s="7" t="str">
        <f>IF(OR(LEN(I51)&lt;10,LEN(I51)&gt;34),"IBAN may be up to 34 characters long","")</f>
        <v>IBAN may be up to 34 characters long</v>
      </c>
      <c r="J52" s="7" t="str">
        <f>IF(ISBLANK(J51),"Code cannot be left blank","")</f>
        <v>Code cannot be left blank</v>
      </c>
      <c r="K52" s="7" t="str">
        <f>IF(OR(LEN(K51)&lt;1,LEN(K51)&gt;140),"Transaction Details must be between 1 and 140 characters long","")</f>
        <v>Transaction Details must be between 1 and 140 characters long</v>
      </c>
      <c r="M52" s="1" t="s">
        <v>13</v>
      </c>
    </row>
    <row r="53" spans="1:13" x14ac:dyDescent="0.3">
      <c r="A53" s="13"/>
      <c r="B53" s="14"/>
      <c r="C53" s="17" t="s">
        <v>83</v>
      </c>
      <c r="D53" s="19"/>
      <c r="E53" s="62"/>
      <c r="F53" s="62"/>
      <c r="G53" s="62"/>
      <c r="H53" s="62"/>
      <c r="I53" s="62"/>
      <c r="J53" s="14"/>
      <c r="K53" s="15"/>
      <c r="M53" s="5" t="s">
        <v>12</v>
      </c>
    </row>
    <row r="54" spans="1:13" ht="43.2" x14ac:dyDescent="0.3">
      <c r="A54" s="7" t="str">
        <f>IF(OR(LEN(A53)&lt;1,LEN(A53)&gt;35),"Transaction Identification must be between 1 and 35 characters long","")</f>
        <v>Transaction Identification must be between 1 and 35 characters long</v>
      </c>
      <c r="B54" s="7" t="str">
        <f>IF(OR(LEN(B53)&lt;1,LEN(B53)&gt;35),"Uniqie Identification must be between 1 and 35 characters long","")</f>
        <v>Uniqie Identification must be between 1 and 35 characters long</v>
      </c>
      <c r="D54" s="7" t="str">
        <f>IF(OR(D53&lt;0.01,D53&gt;9999999999999990),"Transaction Amount is not valid","")</f>
        <v>Transaction Amount is not valid</v>
      </c>
      <c r="E54" s="7" t="str">
        <f>IF(AND(LEN(E53)&lt;&gt;8,LEN(E53)&lt;&gt;11),"BIC must be 8 or 11 characters long","")</f>
        <v>BIC must be 8 or 11 characters long</v>
      </c>
      <c r="F54" s="7" t="str">
        <f>IF(OR(LEN(F53)&lt;1,LEN(F53)&gt;70),"Creditor's Name must be between 1 and 70 characters long","")</f>
        <v>Creditor's Name must be between 1 and 70 characters long</v>
      </c>
      <c r="G54" s="7" t="str">
        <f>IF(LEN(G53)&gt;70,"Address cannot be longer than 70 characters","")</f>
        <v/>
      </c>
      <c r="H54" s="7" t="str">
        <f>IF(LEN(H53)&gt;70,"Address cannot be longer than 70 characters","")</f>
        <v/>
      </c>
      <c r="I54" s="7" t="str">
        <f>IF(OR(LEN(I53)&lt;10,LEN(I53)&gt;34),"IBAN may be up to 34 characters long","")</f>
        <v>IBAN may be up to 34 characters long</v>
      </c>
      <c r="J54" s="7" t="str">
        <f>IF(ISBLANK(J53),"Code cannot be left blank","")</f>
        <v>Code cannot be left blank</v>
      </c>
      <c r="K54" s="7" t="str">
        <f>IF(OR(LEN(K53)&lt;1,LEN(K53)&gt;140),"Transaction Details must be between 1 and 140 characters long","")</f>
        <v>Transaction Details must be between 1 and 140 characters long</v>
      </c>
      <c r="M54" s="1" t="s">
        <v>13</v>
      </c>
    </row>
    <row r="55" spans="1:13" x14ac:dyDescent="0.3">
      <c r="A55" s="13"/>
      <c r="B55" s="14"/>
      <c r="C55" s="17" t="s">
        <v>83</v>
      </c>
      <c r="D55" s="19"/>
      <c r="E55" s="62"/>
      <c r="F55" s="62"/>
      <c r="G55" s="62"/>
      <c r="H55" s="62"/>
      <c r="I55" s="62"/>
      <c r="J55" s="14"/>
      <c r="K55" s="15"/>
      <c r="M55" s="5" t="s">
        <v>12</v>
      </c>
    </row>
    <row r="56" spans="1:13" ht="43.2" x14ac:dyDescent="0.3">
      <c r="A56" s="7" t="str">
        <f>IF(OR(LEN(A55)&lt;1,LEN(A55)&gt;35),"Transaction Identification must be between 1 and 35 characters long","")</f>
        <v>Transaction Identification must be between 1 and 35 characters long</v>
      </c>
      <c r="B56" s="7" t="str">
        <f>IF(OR(LEN(B55)&lt;1,LEN(B55)&gt;35),"Uniqie Identification must be between 1 and 35 characters long","")</f>
        <v>Uniqie Identification must be between 1 and 35 characters long</v>
      </c>
      <c r="D56" s="7" t="str">
        <f>IF(OR(D55&lt;0.01,D55&gt;9999999999999990),"Transaction Amount is not valid","")</f>
        <v>Transaction Amount is not valid</v>
      </c>
      <c r="E56" s="7" t="str">
        <f>IF(AND(LEN(E55)&lt;&gt;8,LEN(E55)&lt;&gt;11),"BIC must be 8 or 11 characters long","")</f>
        <v>BIC must be 8 or 11 characters long</v>
      </c>
      <c r="F56" s="7" t="str">
        <f>IF(OR(LEN(F55)&lt;1,LEN(F55)&gt;70),"Creditor's Name must be between 1 and 70 characters long","")</f>
        <v>Creditor's Name must be between 1 and 70 characters long</v>
      </c>
      <c r="G56" s="7" t="str">
        <f>IF(LEN(G55)&gt;70,"Address cannot be longer than 70 characters","")</f>
        <v/>
      </c>
      <c r="H56" s="7" t="str">
        <f>IF(LEN(H55)&gt;70,"Address cannot be longer than 70 characters","")</f>
        <v/>
      </c>
      <c r="I56" s="7" t="str">
        <f>IF(OR(LEN(I55)&lt;10,LEN(I55)&gt;34),"IBAN may be up to 34 characters long","")</f>
        <v>IBAN may be up to 34 characters long</v>
      </c>
      <c r="J56" s="7" t="str">
        <f>IF(ISBLANK(J55),"Code cannot be left blank","")</f>
        <v>Code cannot be left blank</v>
      </c>
      <c r="K56" s="7" t="str">
        <f>IF(OR(LEN(K55)&lt;1,LEN(K55)&gt;140),"Transaction Details must be between 1 and 140 characters long","")</f>
        <v>Transaction Details must be between 1 and 140 characters long</v>
      </c>
      <c r="M56" s="1" t="s">
        <v>13</v>
      </c>
    </row>
    <row r="57" spans="1:13" x14ac:dyDescent="0.3">
      <c r="A57" s="13"/>
      <c r="B57" s="14"/>
      <c r="C57" s="17" t="s">
        <v>83</v>
      </c>
      <c r="D57" s="19"/>
      <c r="E57" s="62"/>
      <c r="F57" s="62"/>
      <c r="G57" s="62"/>
      <c r="H57" s="62"/>
      <c r="I57" s="62"/>
      <c r="J57" s="14"/>
      <c r="K57" s="15"/>
      <c r="M57" s="5" t="s">
        <v>12</v>
      </c>
    </row>
    <row r="58" spans="1:13" ht="43.2" x14ac:dyDescent="0.3">
      <c r="A58" s="7" t="str">
        <f>IF(OR(LEN(A57)&lt;1,LEN(A57)&gt;35),"Transaction Identification must be between 1 and 35 characters long","")</f>
        <v>Transaction Identification must be between 1 and 35 characters long</v>
      </c>
      <c r="B58" s="7" t="str">
        <f>IF(OR(LEN(B57)&lt;1,LEN(B57)&gt;35),"Uniqie Identification must be between 1 and 35 characters long","")</f>
        <v>Uniqie Identification must be between 1 and 35 characters long</v>
      </c>
      <c r="D58" s="7" t="str">
        <f>IF(OR(D57&lt;0.01,D57&gt;9999999999999990),"Transaction Amount is not valid","")</f>
        <v>Transaction Amount is not valid</v>
      </c>
      <c r="E58" s="7" t="str">
        <f>IF(AND(LEN(E57)&lt;&gt;8,LEN(E57)&lt;&gt;11),"BIC must be 8 or 11 characters long","")</f>
        <v>BIC must be 8 or 11 characters long</v>
      </c>
      <c r="F58" s="7" t="str">
        <f>IF(OR(LEN(F57)&lt;1,LEN(F57)&gt;70),"Creditor's Name must be between 1 and 70 characters long","")</f>
        <v>Creditor's Name must be between 1 and 70 characters long</v>
      </c>
      <c r="G58" s="7" t="str">
        <f>IF(LEN(G57)&gt;70,"Address cannot be longer than 70 characters","")</f>
        <v/>
      </c>
      <c r="H58" s="7" t="str">
        <f>IF(LEN(H57)&gt;70,"Address cannot be longer than 70 characters","")</f>
        <v/>
      </c>
      <c r="I58" s="7" t="str">
        <f>IF(OR(LEN(I57)&lt;10,LEN(I57)&gt;34),"IBAN may be up to 34 characters long","")</f>
        <v>IBAN may be up to 34 characters long</v>
      </c>
      <c r="J58" s="7" t="str">
        <f>IF(ISBLANK(J57),"Code cannot be left blank","")</f>
        <v>Code cannot be left blank</v>
      </c>
      <c r="K58" s="7" t="str">
        <f>IF(OR(LEN(K57)&lt;1,LEN(K57)&gt;140),"Transaction Details must be between 1 and 140 characters long","")</f>
        <v>Transaction Details must be between 1 and 140 characters long</v>
      </c>
      <c r="M58" s="1" t="s">
        <v>13</v>
      </c>
    </row>
    <row r="59" spans="1:13" x14ac:dyDescent="0.3">
      <c r="A59" s="13"/>
      <c r="B59" s="14"/>
      <c r="C59" s="17" t="s">
        <v>83</v>
      </c>
      <c r="D59" s="19"/>
      <c r="E59" s="62"/>
      <c r="F59" s="62"/>
      <c r="G59" s="62"/>
      <c r="H59" s="62"/>
      <c r="I59" s="62"/>
      <c r="J59" s="14"/>
      <c r="K59" s="15"/>
      <c r="M59" s="5" t="s">
        <v>12</v>
      </c>
    </row>
    <row r="60" spans="1:13" ht="43.2" x14ac:dyDescent="0.3">
      <c r="A60" s="7" t="str">
        <f>IF(OR(LEN(A59)&lt;1,LEN(A59)&gt;35),"Transaction Identification must be between 1 and 35 characters long","")</f>
        <v>Transaction Identification must be between 1 and 35 characters long</v>
      </c>
      <c r="B60" s="7" t="str">
        <f>IF(OR(LEN(B59)&lt;1,LEN(B59)&gt;35),"Uniqie Identification must be between 1 and 35 characters long","")</f>
        <v>Uniqie Identification must be between 1 and 35 characters long</v>
      </c>
      <c r="D60" s="7" t="str">
        <f>IF(OR(D59&lt;0.01,D59&gt;9999999999999990),"Transaction Amount is not valid","")</f>
        <v>Transaction Amount is not valid</v>
      </c>
      <c r="E60" s="7" t="str">
        <f>IF(AND(LEN(E59)&lt;&gt;8,LEN(E59)&lt;&gt;11),"BIC must be 8 or 11 characters long","")</f>
        <v>BIC must be 8 or 11 characters long</v>
      </c>
      <c r="F60" s="7" t="str">
        <f>IF(OR(LEN(F59)&lt;1,LEN(F59)&gt;70),"Creditor's Name must be between 1 and 70 characters long","")</f>
        <v>Creditor's Name must be between 1 and 70 characters long</v>
      </c>
      <c r="G60" s="7" t="str">
        <f>IF(LEN(G59)&gt;70,"Address cannot be longer than 70 characters","")</f>
        <v/>
      </c>
      <c r="H60" s="7" t="str">
        <f>IF(LEN(H59)&gt;70,"Address cannot be longer than 70 characters","")</f>
        <v/>
      </c>
      <c r="I60" s="7" t="str">
        <f>IF(OR(LEN(I59)&lt;10,LEN(I59)&gt;34),"IBAN may be up to 34 characters long","")</f>
        <v>IBAN may be up to 34 characters long</v>
      </c>
      <c r="J60" s="7" t="str">
        <f>IF(ISBLANK(J59),"Code cannot be left blank","")</f>
        <v>Code cannot be left blank</v>
      </c>
      <c r="K60" s="7" t="str">
        <f>IF(OR(LEN(K59)&lt;1,LEN(K59)&gt;140),"Transaction Details must be between 1 and 140 characters long","")</f>
        <v>Transaction Details must be between 1 and 140 characters long</v>
      </c>
      <c r="M60" s="1" t="s">
        <v>13</v>
      </c>
    </row>
    <row r="61" spans="1:13" x14ac:dyDescent="0.3">
      <c r="A61" s="13"/>
      <c r="B61" s="14"/>
      <c r="C61" s="17" t="s">
        <v>83</v>
      </c>
      <c r="D61" s="19"/>
      <c r="E61" s="62"/>
      <c r="F61" s="62"/>
      <c r="G61" s="62"/>
      <c r="H61" s="62"/>
      <c r="I61" s="62"/>
      <c r="J61" s="14"/>
      <c r="K61" s="15"/>
      <c r="M61" s="5" t="s">
        <v>12</v>
      </c>
    </row>
    <row r="62" spans="1:13" ht="43.2" x14ac:dyDescent="0.3">
      <c r="A62" s="7" t="str">
        <f>IF(OR(LEN(A61)&lt;1,LEN(A61)&gt;35),"Transaction Identification must be between 1 and 35 characters long","")</f>
        <v>Transaction Identification must be between 1 and 35 characters long</v>
      </c>
      <c r="B62" s="7" t="str">
        <f>IF(OR(LEN(B61)&lt;1,LEN(B61)&gt;35),"Uniqie Identification must be between 1 and 35 characters long","")</f>
        <v>Uniqie Identification must be between 1 and 35 characters long</v>
      </c>
      <c r="D62" s="7" t="str">
        <f>IF(OR(D61&lt;0.01,D61&gt;9999999999999990),"Transaction Amount is not valid","")</f>
        <v>Transaction Amount is not valid</v>
      </c>
      <c r="E62" s="7" t="str">
        <f>IF(AND(LEN(E61)&lt;&gt;8,LEN(E61)&lt;&gt;11),"BIC must be 8 or 11 characters long","")</f>
        <v>BIC must be 8 or 11 characters long</v>
      </c>
      <c r="F62" s="7" t="str">
        <f>IF(OR(LEN(F61)&lt;1,LEN(F61)&gt;70),"Creditor's Name must be between 1 and 70 characters long","")</f>
        <v>Creditor's Name must be between 1 and 70 characters long</v>
      </c>
      <c r="G62" s="7" t="str">
        <f>IF(LEN(G61)&gt;70,"Address cannot be longer than 70 characters","")</f>
        <v/>
      </c>
      <c r="H62" s="7" t="str">
        <f>IF(LEN(H61)&gt;70,"Address cannot be longer than 70 characters","")</f>
        <v/>
      </c>
      <c r="I62" s="7" t="str">
        <f>IF(OR(LEN(I61)&lt;10,LEN(I61)&gt;34),"IBAN may be up to 34 characters long","")</f>
        <v>IBAN may be up to 34 characters long</v>
      </c>
      <c r="J62" s="7" t="str">
        <f>IF(ISBLANK(J61),"Code cannot be left blank","")</f>
        <v>Code cannot be left blank</v>
      </c>
      <c r="K62" s="7" t="str">
        <f>IF(OR(LEN(K61)&lt;1,LEN(K61)&gt;140),"Transaction Details must be between 1 and 140 characters long","")</f>
        <v>Transaction Details must be between 1 and 140 characters long</v>
      </c>
      <c r="M62" s="1" t="s">
        <v>13</v>
      </c>
    </row>
    <row r="63" spans="1:13" x14ac:dyDescent="0.3">
      <c r="A63" s="13"/>
      <c r="B63" s="14"/>
      <c r="C63" s="17" t="s">
        <v>83</v>
      </c>
      <c r="D63" s="19"/>
      <c r="E63" s="62"/>
      <c r="F63" s="62"/>
      <c r="G63" s="62"/>
      <c r="H63" s="62"/>
      <c r="I63" s="62"/>
      <c r="J63" s="14"/>
      <c r="K63" s="15"/>
      <c r="M63" s="5" t="s">
        <v>12</v>
      </c>
    </row>
    <row r="64" spans="1:13" ht="43.2" x14ac:dyDescent="0.3">
      <c r="A64" s="7" t="str">
        <f>IF(OR(LEN(A63)&lt;1,LEN(A63)&gt;35),"Transaction Identification must be between 1 and 35 characters long","")</f>
        <v>Transaction Identification must be between 1 and 35 characters long</v>
      </c>
      <c r="B64" s="7" t="str">
        <f>IF(OR(LEN(B63)&lt;1,LEN(B63)&gt;35),"Uniqie Identification must be between 1 and 35 characters long","")</f>
        <v>Uniqie Identification must be between 1 and 35 characters long</v>
      </c>
      <c r="D64" s="7" t="str">
        <f>IF(OR(D63&lt;0.01,D63&gt;9999999999999990),"Transaction Amount is not valid","")</f>
        <v>Transaction Amount is not valid</v>
      </c>
      <c r="E64" s="7" t="str">
        <f>IF(AND(LEN(E63)&lt;&gt;8,LEN(E63)&lt;&gt;11),"BIC must be 8 or 11 characters long","")</f>
        <v>BIC must be 8 or 11 characters long</v>
      </c>
      <c r="F64" s="7" t="str">
        <f>IF(OR(LEN(F63)&lt;1,LEN(F63)&gt;70),"Creditor's Name must be between 1 and 70 characters long","")</f>
        <v>Creditor's Name must be between 1 and 70 characters long</v>
      </c>
      <c r="G64" s="7" t="str">
        <f>IF(LEN(G63)&gt;70,"Address cannot be longer than 70 characters","")</f>
        <v/>
      </c>
      <c r="H64" s="7" t="str">
        <f>IF(LEN(H63)&gt;70,"Address cannot be longer than 70 characters","")</f>
        <v/>
      </c>
      <c r="I64" s="7" t="str">
        <f>IF(OR(LEN(I63)&lt;10,LEN(I63)&gt;34),"IBAN may be up to 34 characters long","")</f>
        <v>IBAN may be up to 34 characters long</v>
      </c>
      <c r="J64" s="7" t="str">
        <f>IF(ISBLANK(J63),"Code cannot be left blank","")</f>
        <v>Code cannot be left blank</v>
      </c>
      <c r="K64" s="7" t="str">
        <f>IF(OR(LEN(K63)&lt;1,LEN(K63)&gt;140),"Transaction Details must be between 1 and 140 characters long","")</f>
        <v>Transaction Details must be between 1 and 140 characters long</v>
      </c>
      <c r="M64" s="1" t="s">
        <v>13</v>
      </c>
    </row>
    <row r="65" spans="1:13" x14ac:dyDescent="0.3">
      <c r="A65" s="13"/>
      <c r="B65" s="14"/>
      <c r="C65" s="17" t="s">
        <v>83</v>
      </c>
      <c r="D65" s="19"/>
      <c r="E65" s="62"/>
      <c r="F65" s="62"/>
      <c r="G65" s="62"/>
      <c r="H65" s="62"/>
      <c r="I65" s="62"/>
      <c r="J65" s="14"/>
      <c r="K65" s="15"/>
      <c r="M65" s="5" t="s">
        <v>12</v>
      </c>
    </row>
    <row r="66" spans="1:13" ht="43.2" x14ac:dyDescent="0.3">
      <c r="A66" s="7" t="str">
        <f>IF(OR(LEN(A65)&lt;1,LEN(A65)&gt;35),"Transaction Identification must be between 1 and 35 characters long","")</f>
        <v>Transaction Identification must be between 1 and 35 characters long</v>
      </c>
      <c r="B66" s="7" t="str">
        <f>IF(OR(LEN(B65)&lt;1,LEN(B65)&gt;35),"Uniqie Identification must be between 1 and 35 characters long","")</f>
        <v>Uniqie Identification must be between 1 and 35 characters long</v>
      </c>
      <c r="D66" s="7" t="str">
        <f>IF(OR(D65&lt;0.01,D65&gt;9999999999999990),"Transaction Amount is not valid","")</f>
        <v>Transaction Amount is not valid</v>
      </c>
      <c r="E66" s="7" t="str">
        <f>IF(AND(LEN(E65)&lt;&gt;8,LEN(E65)&lt;&gt;11),"BIC must be 8 or 11 characters long","")</f>
        <v>BIC must be 8 or 11 characters long</v>
      </c>
      <c r="F66" s="7" t="str">
        <f>IF(OR(LEN(F65)&lt;1,LEN(F65)&gt;70),"Creditor's Name must be between 1 and 70 characters long","")</f>
        <v>Creditor's Name must be between 1 and 70 characters long</v>
      </c>
      <c r="G66" s="7" t="str">
        <f>IF(LEN(G65)&gt;70,"Address cannot be longer than 70 characters","")</f>
        <v/>
      </c>
      <c r="H66" s="7" t="str">
        <f>IF(LEN(H65)&gt;70,"Address cannot be longer than 70 characters","")</f>
        <v/>
      </c>
      <c r="I66" s="7" t="str">
        <f>IF(OR(LEN(I65)&lt;10,LEN(I65)&gt;34),"IBAN may be up to 34 characters long","")</f>
        <v>IBAN may be up to 34 characters long</v>
      </c>
      <c r="J66" s="7" t="str">
        <f>IF(ISBLANK(J65),"Code cannot be left blank","")</f>
        <v>Code cannot be left blank</v>
      </c>
      <c r="K66" s="7" t="str">
        <f>IF(OR(LEN(K65)&lt;1,LEN(K65)&gt;140),"Transaction Details must be between 1 and 140 characters long","")</f>
        <v>Transaction Details must be between 1 and 140 characters long</v>
      </c>
      <c r="M66" s="1" t="s">
        <v>13</v>
      </c>
    </row>
    <row r="67" spans="1:13" x14ac:dyDescent="0.3">
      <c r="A67" s="13"/>
      <c r="B67" s="14"/>
      <c r="C67" s="17" t="s">
        <v>83</v>
      </c>
      <c r="D67" s="19"/>
      <c r="E67" s="62"/>
      <c r="F67" s="62"/>
      <c r="G67" s="62"/>
      <c r="H67" s="62"/>
      <c r="I67" s="62"/>
      <c r="J67" s="14"/>
      <c r="K67" s="15"/>
      <c r="M67" s="5" t="s">
        <v>12</v>
      </c>
    </row>
    <row r="68" spans="1:13" ht="43.2" x14ac:dyDescent="0.3">
      <c r="A68" s="7" t="str">
        <f>IF(OR(LEN(A67)&lt;1,LEN(A67)&gt;35),"Transaction Identification must be between 1 and 35 characters long","")</f>
        <v>Transaction Identification must be between 1 and 35 characters long</v>
      </c>
      <c r="B68" s="7" t="str">
        <f>IF(OR(LEN(B67)&lt;1,LEN(B67)&gt;35),"Uniqie Identification must be between 1 and 35 characters long","")</f>
        <v>Uniqie Identification must be between 1 and 35 characters long</v>
      </c>
      <c r="D68" s="7" t="str">
        <f>IF(OR(D67&lt;0.01,D67&gt;9999999999999990),"Transaction Amount is not valid","")</f>
        <v>Transaction Amount is not valid</v>
      </c>
      <c r="E68" s="7" t="str">
        <f>IF(AND(LEN(E67)&lt;&gt;8,LEN(E67)&lt;&gt;11),"BIC must be 8 or 11 characters long","")</f>
        <v>BIC must be 8 or 11 characters long</v>
      </c>
      <c r="F68" s="7" t="str">
        <f>IF(OR(LEN(F67)&lt;1,LEN(F67)&gt;70),"Creditor's Name must be between 1 and 70 characters long","")</f>
        <v>Creditor's Name must be between 1 and 70 characters long</v>
      </c>
      <c r="G68" s="7" t="str">
        <f>IF(LEN(G67)&gt;70,"Address cannot be longer than 70 characters","")</f>
        <v/>
      </c>
      <c r="H68" s="7" t="str">
        <f>IF(LEN(H67)&gt;70,"Address cannot be longer than 70 characters","")</f>
        <v/>
      </c>
      <c r="I68" s="7" t="str">
        <f>IF(OR(LEN(I67)&lt;10,LEN(I67)&gt;34),"IBAN may be up to 34 characters long","")</f>
        <v>IBAN may be up to 34 characters long</v>
      </c>
      <c r="J68" s="7" t="str">
        <f>IF(ISBLANK(J67),"Code cannot be left blank","")</f>
        <v>Code cannot be left blank</v>
      </c>
      <c r="K68" s="7" t="str">
        <f>IF(OR(LEN(K67)&lt;1,LEN(K67)&gt;140),"Transaction Details must be between 1 and 140 characters long","")</f>
        <v>Transaction Details must be between 1 and 140 characters long</v>
      </c>
      <c r="M68" s="1" t="s">
        <v>13</v>
      </c>
    </row>
    <row r="69" spans="1:13" x14ac:dyDescent="0.3">
      <c r="A69" s="13"/>
      <c r="B69" s="14"/>
      <c r="C69" s="17" t="s">
        <v>83</v>
      </c>
      <c r="D69" s="19"/>
      <c r="E69" s="62"/>
      <c r="F69" s="62"/>
      <c r="G69" s="62"/>
      <c r="H69" s="62"/>
      <c r="I69" s="62"/>
      <c r="J69" s="14"/>
      <c r="K69" s="15"/>
      <c r="M69" s="5" t="s">
        <v>12</v>
      </c>
    </row>
    <row r="70" spans="1:13" ht="43.2" x14ac:dyDescent="0.3">
      <c r="A70" s="7" t="str">
        <f>IF(OR(LEN(A69)&lt;1,LEN(A69)&gt;35),"Transaction Identification must be between 1 and 35 characters long","")</f>
        <v>Transaction Identification must be between 1 and 35 characters long</v>
      </c>
      <c r="B70" s="7" t="str">
        <f>IF(OR(LEN(B69)&lt;1,LEN(B69)&gt;35),"Uniqie Identification must be between 1 and 35 characters long","")</f>
        <v>Uniqie Identification must be between 1 and 35 characters long</v>
      </c>
      <c r="D70" s="7" t="str">
        <f>IF(OR(D69&lt;0.01,D69&gt;9999999999999990),"Transaction Amount is not valid","")</f>
        <v>Transaction Amount is not valid</v>
      </c>
      <c r="E70" s="7" t="str">
        <f>IF(AND(LEN(E69)&lt;&gt;8,LEN(E69)&lt;&gt;11),"BIC must be 8 or 11 characters long","")</f>
        <v>BIC must be 8 or 11 characters long</v>
      </c>
      <c r="F70" s="7" t="str">
        <f>IF(OR(LEN(F69)&lt;1,LEN(F69)&gt;70),"Creditor's Name must be between 1 and 70 characters long","")</f>
        <v>Creditor's Name must be between 1 and 70 characters long</v>
      </c>
      <c r="G70" s="7" t="str">
        <f>IF(LEN(G69)&gt;70,"Address cannot be longer than 70 characters","")</f>
        <v/>
      </c>
      <c r="H70" s="7" t="str">
        <f>IF(LEN(H69)&gt;70,"Address cannot be longer than 70 characters","")</f>
        <v/>
      </c>
      <c r="I70" s="7" t="str">
        <f>IF(OR(LEN(I69)&lt;10,LEN(I69)&gt;34),"IBAN may be up to 34 characters long","")</f>
        <v>IBAN may be up to 34 characters long</v>
      </c>
      <c r="J70" s="7" t="str">
        <f>IF(ISBLANK(J69),"Code cannot be left blank","")</f>
        <v>Code cannot be left blank</v>
      </c>
      <c r="K70" s="7" t="str">
        <f>IF(OR(LEN(K69)&lt;1,LEN(K69)&gt;140),"Transaction Details must be between 1 and 140 characters long","")</f>
        <v>Transaction Details must be between 1 and 140 characters long</v>
      </c>
      <c r="M70" s="1" t="s">
        <v>13</v>
      </c>
    </row>
    <row r="71" spans="1:13" x14ac:dyDescent="0.3">
      <c r="A71" s="13"/>
      <c r="B71" s="14"/>
      <c r="C71" s="17" t="s">
        <v>83</v>
      </c>
      <c r="D71" s="19"/>
      <c r="E71" s="62"/>
      <c r="F71" s="62"/>
      <c r="G71" s="62"/>
      <c r="H71" s="62"/>
      <c r="I71" s="62"/>
      <c r="J71" s="14"/>
      <c r="K71" s="15"/>
      <c r="M71" s="5" t="s">
        <v>12</v>
      </c>
    </row>
    <row r="72" spans="1:13" ht="43.2" x14ac:dyDescent="0.3">
      <c r="A72" s="7" t="str">
        <f>IF(OR(LEN(A71)&lt;1,LEN(A71)&gt;35),"Transaction Identification must be between 1 and 35 characters long","")</f>
        <v>Transaction Identification must be between 1 and 35 characters long</v>
      </c>
      <c r="B72" s="7" t="str">
        <f>IF(OR(LEN(B71)&lt;1,LEN(B71)&gt;35),"Uniqie Identification must be between 1 and 35 characters long","")</f>
        <v>Uniqie Identification must be between 1 and 35 characters long</v>
      </c>
      <c r="D72" s="7" t="str">
        <f>IF(OR(D71&lt;0.01,D71&gt;9999999999999990),"Transaction Amount is not valid","")</f>
        <v>Transaction Amount is not valid</v>
      </c>
      <c r="E72" s="7" t="str">
        <f>IF(AND(LEN(E71)&lt;&gt;8,LEN(E71)&lt;&gt;11),"BIC must be 8 or 11 characters long","")</f>
        <v>BIC must be 8 or 11 characters long</v>
      </c>
      <c r="F72" s="7" t="str">
        <f>IF(OR(LEN(F71)&lt;1,LEN(F71)&gt;70),"Creditor's Name must be between 1 and 70 characters long","")</f>
        <v>Creditor's Name must be between 1 and 70 characters long</v>
      </c>
      <c r="G72" s="7" t="str">
        <f>IF(LEN(G71)&gt;70,"Address cannot be longer than 70 characters","")</f>
        <v/>
      </c>
      <c r="H72" s="7" t="str">
        <f>IF(LEN(H71)&gt;70,"Address cannot be longer than 70 characters","")</f>
        <v/>
      </c>
      <c r="I72" s="7" t="str">
        <f>IF(OR(LEN(I71)&lt;10,LEN(I71)&gt;34),"IBAN may be up to 34 characters long","")</f>
        <v>IBAN may be up to 34 characters long</v>
      </c>
      <c r="J72" s="7" t="str">
        <f>IF(ISBLANK(J71),"Code cannot be left blank","")</f>
        <v>Code cannot be left blank</v>
      </c>
      <c r="K72" s="7" t="str">
        <f>IF(OR(LEN(K71)&lt;1,LEN(K71)&gt;140),"Transaction Details must be between 1 and 140 characters long","")</f>
        <v>Transaction Details must be between 1 and 140 characters long</v>
      </c>
      <c r="M72" s="1" t="s">
        <v>13</v>
      </c>
    </row>
    <row r="73" spans="1:13" x14ac:dyDescent="0.3">
      <c r="A73" s="13"/>
      <c r="B73" s="14"/>
      <c r="C73" s="17" t="s">
        <v>83</v>
      </c>
      <c r="D73" s="19"/>
      <c r="E73" s="62"/>
      <c r="F73" s="62"/>
      <c r="G73" s="62"/>
      <c r="H73" s="62"/>
      <c r="I73" s="62"/>
      <c r="J73" s="14"/>
      <c r="K73" s="15"/>
      <c r="M73" s="5" t="s">
        <v>12</v>
      </c>
    </row>
    <row r="74" spans="1:13" ht="43.2" x14ac:dyDescent="0.3">
      <c r="A74" s="7" t="str">
        <f>IF(OR(LEN(A73)&lt;1,LEN(A73)&gt;35),"Transaction Identification must be between 1 and 35 characters long","")</f>
        <v>Transaction Identification must be between 1 and 35 characters long</v>
      </c>
      <c r="B74" s="7" t="str">
        <f>IF(OR(LEN(B73)&lt;1,LEN(B73)&gt;35),"Uniqie Identification must be between 1 and 35 characters long","")</f>
        <v>Uniqie Identification must be between 1 and 35 characters long</v>
      </c>
      <c r="D74" s="7" t="str">
        <f>IF(OR(D73&lt;0.01,D73&gt;9999999999999990),"Transaction Amount is not valid","")</f>
        <v>Transaction Amount is not valid</v>
      </c>
      <c r="E74" s="7" t="str">
        <f>IF(AND(LEN(E73)&lt;&gt;8,LEN(E73)&lt;&gt;11),"BIC must be 8 or 11 characters long","")</f>
        <v>BIC must be 8 or 11 characters long</v>
      </c>
      <c r="F74" s="7" t="str">
        <f>IF(OR(LEN(F73)&lt;1,LEN(F73)&gt;70),"Creditor's Name must be between 1 and 70 characters long","")</f>
        <v>Creditor's Name must be between 1 and 70 characters long</v>
      </c>
      <c r="G74" s="7" t="str">
        <f>IF(LEN(G73)&gt;70,"Address cannot be longer than 70 characters","")</f>
        <v/>
      </c>
      <c r="H74" s="7" t="str">
        <f>IF(LEN(H73)&gt;70,"Address cannot be longer than 70 characters","")</f>
        <v/>
      </c>
      <c r="I74" s="7" t="str">
        <f>IF(OR(LEN(I73)&lt;10,LEN(I73)&gt;34),"IBAN may be up to 34 characters long","")</f>
        <v>IBAN may be up to 34 characters long</v>
      </c>
      <c r="J74" s="7" t="str">
        <f>IF(ISBLANK(J73),"Code cannot be left blank","")</f>
        <v>Code cannot be left blank</v>
      </c>
      <c r="K74" s="7" t="str">
        <f>IF(OR(LEN(K73)&lt;1,LEN(K73)&gt;140),"Transaction Details must be between 1 and 140 characters long","")</f>
        <v>Transaction Details must be between 1 and 140 characters long</v>
      </c>
      <c r="M74" s="1" t="s">
        <v>13</v>
      </c>
    </row>
    <row r="75" spans="1:13" x14ac:dyDescent="0.3">
      <c r="A75" s="13"/>
      <c r="B75" s="14"/>
      <c r="C75" s="17" t="s">
        <v>83</v>
      </c>
      <c r="D75" s="19"/>
      <c r="E75" s="62"/>
      <c r="F75" s="62"/>
      <c r="G75" s="62"/>
      <c r="H75" s="62"/>
      <c r="I75" s="62"/>
      <c r="J75" s="14"/>
      <c r="K75" s="15"/>
      <c r="M75" s="5" t="s">
        <v>12</v>
      </c>
    </row>
    <row r="76" spans="1:13" ht="43.2" x14ac:dyDescent="0.3">
      <c r="A76" s="7" t="str">
        <f>IF(OR(LEN(A75)&lt;1,LEN(A75)&gt;35),"Transaction Identification must be between 1 and 35 characters long","")</f>
        <v>Transaction Identification must be between 1 and 35 characters long</v>
      </c>
      <c r="B76" s="7" t="str">
        <f>IF(OR(LEN(B75)&lt;1,LEN(B75)&gt;35),"Uniqie Identification must be between 1 and 35 characters long","")</f>
        <v>Uniqie Identification must be between 1 and 35 characters long</v>
      </c>
      <c r="D76" s="7" t="str">
        <f>IF(OR(D75&lt;0.01,D75&gt;9999999999999990),"Transaction Amount is not valid","")</f>
        <v>Transaction Amount is not valid</v>
      </c>
      <c r="E76" s="7" t="str">
        <f>IF(AND(LEN(E75)&lt;&gt;8,LEN(E75)&lt;&gt;11),"BIC must be 8 or 11 characters long","")</f>
        <v>BIC must be 8 or 11 characters long</v>
      </c>
      <c r="F76" s="7" t="str">
        <f>IF(OR(LEN(F75)&lt;1,LEN(F75)&gt;70),"Creditor's Name must be between 1 and 70 characters long","")</f>
        <v>Creditor's Name must be between 1 and 70 characters long</v>
      </c>
      <c r="G76" s="7" t="str">
        <f>IF(LEN(G75)&gt;70,"Address cannot be longer than 70 characters","")</f>
        <v/>
      </c>
      <c r="H76" s="7" t="str">
        <f>IF(LEN(H75)&gt;70,"Address cannot be longer than 70 characters","")</f>
        <v/>
      </c>
      <c r="I76" s="7" t="str">
        <f>IF(OR(LEN(I75)&lt;10,LEN(I75)&gt;34),"IBAN may be up to 34 characters long","")</f>
        <v>IBAN may be up to 34 characters long</v>
      </c>
      <c r="J76" s="7" t="str">
        <f>IF(ISBLANK(J75),"Code cannot be left blank","")</f>
        <v>Code cannot be left blank</v>
      </c>
      <c r="K76" s="7" t="str">
        <f>IF(OR(LEN(K75)&lt;1,LEN(K75)&gt;140),"Transaction Details must be between 1 and 140 characters long","")</f>
        <v>Transaction Details must be between 1 and 140 characters long</v>
      </c>
      <c r="M76" s="1" t="s">
        <v>13</v>
      </c>
    </row>
    <row r="77" spans="1:13" x14ac:dyDescent="0.3">
      <c r="A77" s="13"/>
      <c r="B77" s="14"/>
      <c r="C77" s="17" t="s">
        <v>83</v>
      </c>
      <c r="D77" s="19"/>
      <c r="E77" s="62"/>
      <c r="F77" s="62"/>
      <c r="G77" s="62"/>
      <c r="H77" s="62"/>
      <c r="I77" s="62"/>
      <c r="J77" s="14"/>
      <c r="K77" s="15"/>
      <c r="M77" s="5" t="s">
        <v>12</v>
      </c>
    </row>
    <row r="78" spans="1:13" ht="43.2" x14ac:dyDescent="0.3">
      <c r="A78" s="7" t="str">
        <f>IF(OR(LEN(A77)&lt;1,LEN(A77)&gt;35),"Transaction Identification must be between 1 and 35 characters long","")</f>
        <v>Transaction Identification must be between 1 and 35 characters long</v>
      </c>
      <c r="B78" s="7" t="str">
        <f>IF(OR(LEN(B77)&lt;1,LEN(B77)&gt;35),"Uniqie Identification must be between 1 and 35 characters long","")</f>
        <v>Uniqie Identification must be between 1 and 35 characters long</v>
      </c>
      <c r="D78" s="7" t="str">
        <f>IF(OR(D77&lt;0.01,D77&gt;9999999999999990),"Transaction Amount is not valid","")</f>
        <v>Transaction Amount is not valid</v>
      </c>
      <c r="E78" s="7" t="str">
        <f>IF(AND(LEN(E77)&lt;&gt;8,LEN(E77)&lt;&gt;11),"BIC must be 8 or 11 characters long","")</f>
        <v>BIC must be 8 or 11 characters long</v>
      </c>
      <c r="F78" s="7" t="str">
        <f>IF(OR(LEN(F77)&lt;1,LEN(F77)&gt;70),"Creditor's Name must be between 1 and 70 characters long","")</f>
        <v>Creditor's Name must be between 1 and 70 characters long</v>
      </c>
      <c r="G78" s="7" t="str">
        <f>IF(LEN(G77)&gt;70,"Address cannot be longer than 70 characters","")</f>
        <v/>
      </c>
      <c r="H78" s="7" t="str">
        <f>IF(LEN(H77)&gt;70,"Address cannot be longer than 70 characters","")</f>
        <v/>
      </c>
      <c r="I78" s="7" t="str">
        <f>IF(OR(LEN(I77)&lt;10,LEN(I77)&gt;34),"IBAN may be up to 34 characters long","")</f>
        <v>IBAN may be up to 34 characters long</v>
      </c>
      <c r="J78" s="7" t="str">
        <f>IF(ISBLANK(J77),"Code cannot be left blank","")</f>
        <v>Code cannot be left blank</v>
      </c>
      <c r="K78" s="7" t="str">
        <f>IF(OR(LEN(K77)&lt;1,LEN(K77)&gt;140),"Transaction Details must be between 1 and 140 characters long","")</f>
        <v>Transaction Details must be between 1 and 140 characters long</v>
      </c>
      <c r="M78" s="1" t="s">
        <v>13</v>
      </c>
    </row>
    <row r="79" spans="1:13" x14ac:dyDescent="0.3">
      <c r="A79" s="13"/>
      <c r="B79" s="14"/>
      <c r="C79" s="17" t="s">
        <v>83</v>
      </c>
      <c r="D79" s="19"/>
      <c r="E79" s="62"/>
      <c r="F79" s="62"/>
      <c r="G79" s="62"/>
      <c r="H79" s="62"/>
      <c r="I79" s="62"/>
      <c r="J79" s="14"/>
      <c r="K79" s="15"/>
      <c r="M79" s="5" t="s">
        <v>12</v>
      </c>
    </row>
    <row r="80" spans="1:13" ht="43.2" x14ac:dyDescent="0.3">
      <c r="A80" s="7" t="str">
        <f>IF(OR(LEN(A79)&lt;1,LEN(A79)&gt;35),"Transaction Identification must be between 1 and 35 characters long","")</f>
        <v>Transaction Identification must be between 1 and 35 characters long</v>
      </c>
      <c r="B80" s="7" t="str">
        <f>IF(OR(LEN(B79)&lt;1,LEN(B79)&gt;35),"Uniqie Identification must be between 1 and 35 characters long","")</f>
        <v>Uniqie Identification must be between 1 and 35 characters long</v>
      </c>
      <c r="D80" s="7" t="str">
        <f>IF(OR(D79&lt;0.01,D79&gt;9999999999999990),"Transaction Amount is not valid","")</f>
        <v>Transaction Amount is not valid</v>
      </c>
      <c r="E80" s="7" t="str">
        <f>IF(AND(LEN(E79)&lt;&gt;8,LEN(E79)&lt;&gt;11),"BIC must be 8 or 11 characters long","")</f>
        <v>BIC must be 8 or 11 characters long</v>
      </c>
      <c r="F80" s="7" t="str">
        <f>IF(OR(LEN(F79)&lt;1,LEN(F79)&gt;70),"Creditor's Name must be between 1 and 70 characters long","")</f>
        <v>Creditor's Name must be between 1 and 70 characters long</v>
      </c>
      <c r="G80" s="7" t="str">
        <f>IF(LEN(G79)&gt;70,"Address cannot be longer than 70 characters","")</f>
        <v/>
      </c>
      <c r="H80" s="7" t="str">
        <f>IF(LEN(H79)&gt;70,"Address cannot be longer than 70 characters","")</f>
        <v/>
      </c>
      <c r="I80" s="7" t="str">
        <f>IF(OR(LEN(I79)&lt;10,LEN(I79)&gt;34),"IBAN may be up to 34 characters long","")</f>
        <v>IBAN may be up to 34 characters long</v>
      </c>
      <c r="J80" s="7" t="str">
        <f>IF(ISBLANK(J79),"Code cannot be left blank","")</f>
        <v>Code cannot be left blank</v>
      </c>
      <c r="K80" s="7" t="str">
        <f>IF(OR(LEN(K79)&lt;1,LEN(K79)&gt;140),"Transaction Details must be between 1 and 140 characters long","")</f>
        <v>Transaction Details must be between 1 and 140 characters long</v>
      </c>
      <c r="M80" s="1" t="s">
        <v>13</v>
      </c>
    </row>
    <row r="81" spans="1:13" x14ac:dyDescent="0.3">
      <c r="A81" s="13"/>
      <c r="B81" s="14"/>
      <c r="C81" s="17" t="s">
        <v>83</v>
      </c>
      <c r="D81" s="19"/>
      <c r="E81" s="62"/>
      <c r="F81" s="62"/>
      <c r="G81" s="62"/>
      <c r="H81" s="62"/>
      <c r="I81" s="62"/>
      <c r="J81" s="14"/>
      <c r="K81" s="15"/>
      <c r="M81" s="5" t="s">
        <v>12</v>
      </c>
    </row>
    <row r="82" spans="1:13" ht="43.2" x14ac:dyDescent="0.3">
      <c r="A82" s="7" t="str">
        <f>IF(OR(LEN(A81)&lt;1,LEN(A81)&gt;35),"Transaction Identification must be between 1 and 35 characters long","")</f>
        <v>Transaction Identification must be between 1 and 35 characters long</v>
      </c>
      <c r="B82" s="7" t="str">
        <f>IF(OR(LEN(B81)&lt;1,LEN(B81)&gt;35),"Uniqie Identification must be between 1 and 35 characters long","")</f>
        <v>Uniqie Identification must be between 1 and 35 characters long</v>
      </c>
      <c r="D82" s="7" t="str">
        <f>IF(OR(D81&lt;0.01,D81&gt;9999999999999990),"Transaction Amount is not valid","")</f>
        <v>Transaction Amount is not valid</v>
      </c>
      <c r="E82" s="7" t="str">
        <f>IF(AND(LEN(E81)&lt;&gt;8,LEN(E81)&lt;&gt;11),"BIC must be 8 or 11 characters long","")</f>
        <v>BIC must be 8 or 11 characters long</v>
      </c>
      <c r="F82" s="7" t="str">
        <f>IF(OR(LEN(F81)&lt;1,LEN(F81)&gt;70),"Creditor's Name must be between 1 and 70 characters long","")</f>
        <v>Creditor's Name must be between 1 and 70 characters long</v>
      </c>
      <c r="G82" s="7" t="str">
        <f>IF(LEN(G81)&gt;70,"Address cannot be longer than 70 characters","")</f>
        <v/>
      </c>
      <c r="H82" s="7" t="str">
        <f>IF(LEN(H81)&gt;70,"Address cannot be longer than 70 characters","")</f>
        <v/>
      </c>
      <c r="I82" s="7" t="str">
        <f>IF(OR(LEN(I81)&lt;10,LEN(I81)&gt;34),"IBAN may be up to 34 characters long","")</f>
        <v>IBAN may be up to 34 characters long</v>
      </c>
      <c r="J82" s="7" t="str">
        <f>IF(ISBLANK(J81),"Code cannot be left blank","")</f>
        <v>Code cannot be left blank</v>
      </c>
      <c r="K82" s="7" t="str">
        <f>IF(OR(LEN(K81)&lt;1,LEN(K81)&gt;140),"Transaction Details must be between 1 and 140 characters long","")</f>
        <v>Transaction Details must be between 1 and 140 characters long</v>
      </c>
      <c r="M82" s="1" t="s">
        <v>13</v>
      </c>
    </row>
    <row r="83" spans="1:13" x14ac:dyDescent="0.3">
      <c r="A83" s="13"/>
      <c r="B83" s="14"/>
      <c r="C83" s="17" t="s">
        <v>83</v>
      </c>
      <c r="D83" s="19"/>
      <c r="E83" s="62"/>
      <c r="F83" s="62"/>
      <c r="G83" s="62"/>
      <c r="H83" s="62"/>
      <c r="I83" s="62"/>
      <c r="J83" s="14"/>
      <c r="K83" s="15"/>
      <c r="M83" s="5" t="s">
        <v>12</v>
      </c>
    </row>
    <row r="84" spans="1:13" ht="43.2" x14ac:dyDescent="0.3">
      <c r="A84" s="7" t="str">
        <f>IF(OR(LEN(A83)&lt;1,LEN(A83)&gt;35),"Transaction Identification must be between 1 and 35 characters long","")</f>
        <v>Transaction Identification must be between 1 and 35 characters long</v>
      </c>
      <c r="B84" s="7" t="str">
        <f>IF(OR(LEN(B83)&lt;1,LEN(B83)&gt;35),"Uniqie Identification must be between 1 and 35 characters long","")</f>
        <v>Uniqie Identification must be between 1 and 35 characters long</v>
      </c>
      <c r="D84" s="7" t="str">
        <f>IF(OR(D83&lt;0.01,D83&gt;9999999999999990),"Transaction Amount is not valid","")</f>
        <v>Transaction Amount is not valid</v>
      </c>
      <c r="E84" s="7" t="str">
        <f>IF(AND(LEN(E83)&lt;&gt;8,LEN(E83)&lt;&gt;11),"BIC must be 8 or 11 characters long","")</f>
        <v>BIC must be 8 or 11 characters long</v>
      </c>
      <c r="F84" s="7" t="str">
        <f>IF(OR(LEN(F83)&lt;1,LEN(F83)&gt;70),"Creditor's Name must be between 1 and 70 characters long","")</f>
        <v>Creditor's Name must be between 1 and 70 characters long</v>
      </c>
      <c r="G84" s="7" t="str">
        <f>IF(LEN(G83)&gt;70,"Address cannot be longer than 70 characters","")</f>
        <v/>
      </c>
      <c r="H84" s="7" t="str">
        <f>IF(LEN(H83)&gt;70,"Address cannot be longer than 70 characters","")</f>
        <v/>
      </c>
      <c r="I84" s="7" t="str">
        <f>IF(OR(LEN(I83)&lt;10,LEN(I83)&gt;34),"IBAN may be up to 34 characters long","")</f>
        <v>IBAN may be up to 34 characters long</v>
      </c>
      <c r="J84" s="7" t="str">
        <f>IF(ISBLANK(J83),"Code cannot be left blank","")</f>
        <v>Code cannot be left blank</v>
      </c>
      <c r="K84" s="7" t="str">
        <f>IF(OR(LEN(K83)&lt;1,LEN(K83)&gt;140),"Transaction Details must be between 1 and 140 characters long","")</f>
        <v>Transaction Details must be between 1 and 140 characters long</v>
      </c>
      <c r="M84" s="1" t="s">
        <v>13</v>
      </c>
    </row>
    <row r="85" spans="1:13" x14ac:dyDescent="0.3">
      <c r="A85" s="13"/>
      <c r="B85" s="14"/>
      <c r="C85" s="17" t="s">
        <v>83</v>
      </c>
      <c r="D85" s="19"/>
      <c r="E85" s="62"/>
      <c r="F85" s="62"/>
      <c r="G85" s="62"/>
      <c r="H85" s="62"/>
      <c r="I85" s="62"/>
      <c r="J85" s="14"/>
      <c r="K85" s="15"/>
      <c r="M85" s="5" t="s">
        <v>12</v>
      </c>
    </row>
    <row r="86" spans="1:13" ht="43.2" x14ac:dyDescent="0.3">
      <c r="A86" s="7" t="str">
        <f>IF(OR(LEN(A85)&lt;1,LEN(A85)&gt;35),"Transaction Identification must be between 1 and 35 characters long","")</f>
        <v>Transaction Identification must be between 1 and 35 characters long</v>
      </c>
      <c r="B86" s="7" t="str">
        <f>IF(OR(LEN(B85)&lt;1,LEN(B85)&gt;35),"Uniqie Identification must be between 1 and 35 characters long","")</f>
        <v>Uniqie Identification must be between 1 and 35 characters long</v>
      </c>
      <c r="D86" s="7" t="str">
        <f>IF(OR(D85&lt;0.01,D85&gt;9999999999999990),"Transaction Amount is not valid","")</f>
        <v>Transaction Amount is not valid</v>
      </c>
      <c r="E86" s="7" t="str">
        <f>IF(AND(LEN(E85)&lt;&gt;8,LEN(E85)&lt;&gt;11),"BIC must be 8 or 11 characters long","")</f>
        <v>BIC must be 8 or 11 characters long</v>
      </c>
      <c r="F86" s="7" t="str">
        <f>IF(OR(LEN(F85)&lt;1,LEN(F85)&gt;70),"Creditor's Name must be between 1 and 70 characters long","")</f>
        <v>Creditor's Name must be between 1 and 70 characters long</v>
      </c>
      <c r="G86" s="7" t="str">
        <f>IF(LEN(G85)&gt;70,"Address cannot be longer than 70 characters","")</f>
        <v/>
      </c>
      <c r="H86" s="7" t="str">
        <f>IF(LEN(H85)&gt;70,"Address cannot be longer than 70 characters","")</f>
        <v/>
      </c>
      <c r="I86" s="7" t="str">
        <f>IF(OR(LEN(I85)&lt;10,LEN(I85)&gt;34),"IBAN may be up to 34 characters long","")</f>
        <v>IBAN may be up to 34 characters long</v>
      </c>
      <c r="J86" s="7" t="str">
        <f>IF(ISBLANK(J85),"Code cannot be left blank","")</f>
        <v>Code cannot be left blank</v>
      </c>
      <c r="K86" s="7" t="str">
        <f>IF(OR(LEN(K85)&lt;1,LEN(K85)&gt;140),"Transaction Details must be between 1 and 140 characters long","")</f>
        <v>Transaction Details must be between 1 and 140 characters long</v>
      </c>
      <c r="M86" s="1" t="s">
        <v>13</v>
      </c>
    </row>
    <row r="87" spans="1:13" x14ac:dyDescent="0.3">
      <c r="A87" s="13"/>
      <c r="B87" s="14"/>
      <c r="C87" s="17" t="s">
        <v>83</v>
      </c>
      <c r="D87" s="19"/>
      <c r="E87" s="62"/>
      <c r="F87" s="62"/>
      <c r="G87" s="62"/>
      <c r="H87" s="62"/>
      <c r="I87" s="62"/>
      <c r="J87" s="14"/>
      <c r="K87" s="15"/>
      <c r="M87" s="5" t="s">
        <v>12</v>
      </c>
    </row>
    <row r="88" spans="1:13" ht="43.2" x14ac:dyDescent="0.3">
      <c r="A88" s="7" t="str">
        <f>IF(OR(LEN(A87)&lt;1,LEN(A87)&gt;35),"Transaction Identification must be between 1 and 35 characters long","")</f>
        <v>Transaction Identification must be between 1 and 35 characters long</v>
      </c>
      <c r="B88" s="7" t="str">
        <f>IF(OR(LEN(B87)&lt;1,LEN(B87)&gt;35),"Uniqie Identification must be between 1 and 35 characters long","")</f>
        <v>Uniqie Identification must be between 1 and 35 characters long</v>
      </c>
      <c r="D88" s="7" t="str">
        <f>IF(OR(D87&lt;0.01,D87&gt;9999999999999990),"Transaction Amount is not valid","")</f>
        <v>Transaction Amount is not valid</v>
      </c>
      <c r="E88" s="7" t="str">
        <f>IF(AND(LEN(E87)&lt;&gt;8,LEN(E87)&lt;&gt;11),"BIC must be 8 or 11 characters long","")</f>
        <v>BIC must be 8 or 11 characters long</v>
      </c>
      <c r="F88" s="7" t="str">
        <f>IF(OR(LEN(F87)&lt;1,LEN(F87)&gt;70),"Creditor's Name must be between 1 and 70 characters long","")</f>
        <v>Creditor's Name must be between 1 and 70 characters long</v>
      </c>
      <c r="G88" s="7" t="str">
        <f>IF(LEN(G87)&gt;70,"Address cannot be longer than 70 characters","")</f>
        <v/>
      </c>
      <c r="H88" s="7" t="str">
        <f>IF(LEN(H87)&gt;70,"Address cannot be longer than 70 characters","")</f>
        <v/>
      </c>
      <c r="I88" s="7" t="str">
        <f>IF(OR(LEN(I87)&lt;10,LEN(I87)&gt;34),"IBAN may be up to 34 characters long","")</f>
        <v>IBAN may be up to 34 characters long</v>
      </c>
      <c r="J88" s="7" t="str">
        <f>IF(ISBLANK(J87),"Code cannot be left blank","")</f>
        <v>Code cannot be left blank</v>
      </c>
      <c r="K88" s="7" t="str">
        <f>IF(OR(LEN(K87)&lt;1,LEN(K87)&gt;140),"Transaction Details must be between 1 and 140 characters long","")</f>
        <v>Transaction Details must be between 1 and 140 characters long</v>
      </c>
      <c r="M88" s="1" t="s">
        <v>13</v>
      </c>
    </row>
    <row r="89" spans="1:13" x14ac:dyDescent="0.3">
      <c r="A89" s="13"/>
      <c r="B89" s="14"/>
      <c r="C89" s="17" t="s">
        <v>83</v>
      </c>
      <c r="D89" s="19"/>
      <c r="E89" s="62"/>
      <c r="F89" s="62"/>
      <c r="G89" s="62"/>
      <c r="H89" s="62"/>
      <c r="I89" s="62"/>
      <c r="J89" s="14"/>
      <c r="K89" s="15"/>
      <c r="M89" s="5" t="s">
        <v>12</v>
      </c>
    </row>
    <row r="90" spans="1:13" ht="43.2" x14ac:dyDescent="0.3">
      <c r="A90" s="7" t="str">
        <f>IF(OR(LEN(A89)&lt;1,LEN(A89)&gt;35),"Transaction Identification must be between 1 and 35 characters long","")</f>
        <v>Transaction Identification must be between 1 and 35 characters long</v>
      </c>
      <c r="B90" s="7" t="str">
        <f>IF(OR(LEN(B89)&lt;1,LEN(B89)&gt;35),"Uniqie Identification must be between 1 and 35 characters long","")</f>
        <v>Uniqie Identification must be between 1 and 35 characters long</v>
      </c>
      <c r="D90" s="7" t="str">
        <f>IF(OR(D89&lt;0.01,D89&gt;9999999999999990),"Transaction Amount is not valid","")</f>
        <v>Transaction Amount is not valid</v>
      </c>
      <c r="E90" s="7" t="str">
        <f>IF(AND(LEN(E89)&lt;&gt;8,LEN(E89)&lt;&gt;11),"BIC must be 8 or 11 characters long","")</f>
        <v>BIC must be 8 or 11 characters long</v>
      </c>
      <c r="F90" s="7" t="str">
        <f>IF(OR(LEN(F89)&lt;1,LEN(F89)&gt;70),"Creditor's Name must be between 1 and 70 characters long","")</f>
        <v>Creditor's Name must be between 1 and 70 characters long</v>
      </c>
      <c r="G90" s="7" t="str">
        <f>IF(LEN(G89)&gt;70,"Address cannot be longer than 70 characters","")</f>
        <v/>
      </c>
      <c r="H90" s="7" t="str">
        <f>IF(LEN(H89)&gt;70,"Address cannot be longer than 70 characters","")</f>
        <v/>
      </c>
      <c r="I90" s="7" t="str">
        <f>IF(OR(LEN(I89)&lt;10,LEN(I89)&gt;34),"IBAN may be up to 34 characters long","")</f>
        <v>IBAN may be up to 34 characters long</v>
      </c>
      <c r="J90" s="7" t="str">
        <f>IF(ISBLANK(J89),"Code cannot be left blank","")</f>
        <v>Code cannot be left blank</v>
      </c>
      <c r="K90" s="7" t="str">
        <f>IF(OR(LEN(K89)&lt;1,LEN(K89)&gt;140),"Transaction Details must be between 1 and 140 characters long","")</f>
        <v>Transaction Details must be between 1 and 140 characters long</v>
      </c>
      <c r="M90" s="1" t="s">
        <v>13</v>
      </c>
    </row>
    <row r="91" spans="1:13" x14ac:dyDescent="0.3">
      <c r="A91" s="13"/>
      <c r="B91" s="14"/>
      <c r="C91" s="17" t="s">
        <v>83</v>
      </c>
      <c r="D91" s="19"/>
      <c r="E91" s="62"/>
      <c r="F91" s="62"/>
      <c r="G91" s="62"/>
      <c r="H91" s="62"/>
      <c r="I91" s="62"/>
      <c r="J91" s="14"/>
      <c r="K91" s="15"/>
      <c r="M91" s="5" t="s">
        <v>12</v>
      </c>
    </row>
    <row r="92" spans="1:13" ht="43.2" x14ac:dyDescent="0.3">
      <c r="A92" s="7" t="str">
        <f>IF(OR(LEN(A91)&lt;1,LEN(A91)&gt;35),"Transaction Identification must be between 1 and 35 characters long","")</f>
        <v>Transaction Identification must be between 1 and 35 characters long</v>
      </c>
      <c r="B92" s="7" t="str">
        <f>IF(OR(LEN(B91)&lt;1,LEN(B91)&gt;35),"Uniqie Identification must be between 1 and 35 characters long","")</f>
        <v>Uniqie Identification must be between 1 and 35 characters long</v>
      </c>
      <c r="D92" s="7" t="str">
        <f>IF(OR(D91&lt;0.01,D91&gt;9999999999999990),"Transaction Amount is not valid","")</f>
        <v>Transaction Amount is not valid</v>
      </c>
      <c r="E92" s="7" t="str">
        <f>IF(AND(LEN(E91)&lt;&gt;8,LEN(E91)&lt;&gt;11),"BIC must be 8 or 11 characters long","")</f>
        <v>BIC must be 8 or 11 characters long</v>
      </c>
      <c r="F92" s="7" t="str">
        <f>IF(OR(LEN(F91)&lt;1,LEN(F91)&gt;70),"Creditor's Name must be between 1 and 70 characters long","")</f>
        <v>Creditor's Name must be between 1 and 70 characters long</v>
      </c>
      <c r="G92" s="7" t="str">
        <f>IF(LEN(G91)&gt;70,"Address cannot be longer than 70 characters","")</f>
        <v/>
      </c>
      <c r="H92" s="7" t="str">
        <f>IF(LEN(H91)&gt;70,"Address cannot be longer than 70 characters","")</f>
        <v/>
      </c>
      <c r="I92" s="7" t="str">
        <f>IF(OR(LEN(I91)&lt;10,LEN(I91)&gt;34),"IBAN may be up to 34 characters long","")</f>
        <v>IBAN may be up to 34 characters long</v>
      </c>
      <c r="J92" s="7" t="str">
        <f>IF(ISBLANK(J91),"Code cannot be left blank","")</f>
        <v>Code cannot be left blank</v>
      </c>
      <c r="K92" s="7" t="str">
        <f>IF(OR(LEN(K91)&lt;1,LEN(K91)&gt;140),"Transaction Details must be between 1 and 140 characters long","")</f>
        <v>Transaction Details must be between 1 and 140 characters long</v>
      </c>
      <c r="M92" s="1" t="s">
        <v>13</v>
      </c>
    </row>
    <row r="93" spans="1:13" x14ac:dyDescent="0.3">
      <c r="A93" s="13"/>
      <c r="B93" s="14"/>
      <c r="C93" s="17" t="s">
        <v>83</v>
      </c>
      <c r="D93" s="19"/>
      <c r="E93" s="62"/>
      <c r="F93" s="62"/>
      <c r="G93" s="62"/>
      <c r="H93" s="62"/>
      <c r="I93" s="62"/>
      <c r="J93" s="14"/>
      <c r="K93" s="15"/>
      <c r="M93" s="5" t="s">
        <v>12</v>
      </c>
    </row>
    <row r="94" spans="1:13" ht="43.2" x14ac:dyDescent="0.3">
      <c r="A94" s="7" t="str">
        <f>IF(OR(LEN(A93)&lt;1,LEN(A93)&gt;35),"Transaction Identification must be between 1 and 35 characters long","")</f>
        <v>Transaction Identification must be between 1 and 35 characters long</v>
      </c>
      <c r="B94" s="7" t="str">
        <f>IF(OR(LEN(B93)&lt;1,LEN(B93)&gt;35),"Uniqie Identification must be between 1 and 35 characters long","")</f>
        <v>Uniqie Identification must be between 1 and 35 characters long</v>
      </c>
      <c r="D94" s="7" t="str">
        <f>IF(OR(D93&lt;0.01,D93&gt;9999999999999990),"Transaction Amount is not valid","")</f>
        <v>Transaction Amount is not valid</v>
      </c>
      <c r="E94" s="7" t="str">
        <f>IF(AND(LEN(E93)&lt;&gt;8,LEN(E93)&lt;&gt;11),"BIC must be 8 or 11 characters long","")</f>
        <v>BIC must be 8 or 11 characters long</v>
      </c>
      <c r="F94" s="7" t="str">
        <f>IF(OR(LEN(F93)&lt;1,LEN(F93)&gt;70),"Creditor's Name must be between 1 and 70 characters long","")</f>
        <v>Creditor's Name must be between 1 and 70 characters long</v>
      </c>
      <c r="G94" s="7" t="str">
        <f>IF(LEN(G93)&gt;70,"Address cannot be longer than 70 characters","")</f>
        <v/>
      </c>
      <c r="H94" s="7" t="str">
        <f>IF(LEN(H93)&gt;70,"Address cannot be longer than 70 characters","")</f>
        <v/>
      </c>
      <c r="I94" s="7" t="str">
        <f>IF(OR(LEN(I93)&lt;10,LEN(I93)&gt;34),"IBAN may be up to 34 characters long","")</f>
        <v>IBAN may be up to 34 characters long</v>
      </c>
      <c r="J94" s="7" t="str">
        <f>IF(ISBLANK(J93),"Code cannot be left blank","")</f>
        <v>Code cannot be left blank</v>
      </c>
      <c r="K94" s="7" t="str">
        <f>IF(OR(LEN(K93)&lt;1,LEN(K93)&gt;140),"Transaction Details must be between 1 and 140 characters long","")</f>
        <v>Transaction Details must be between 1 and 140 characters long</v>
      </c>
      <c r="M94" s="1" t="s">
        <v>13</v>
      </c>
    </row>
    <row r="95" spans="1:13" x14ac:dyDescent="0.3">
      <c r="A95" s="13"/>
      <c r="B95" s="14"/>
      <c r="C95" s="17" t="s">
        <v>83</v>
      </c>
      <c r="D95" s="19"/>
      <c r="E95" s="62"/>
      <c r="F95" s="62"/>
      <c r="G95" s="62"/>
      <c r="H95" s="62"/>
      <c r="I95" s="62"/>
      <c r="J95" s="14"/>
      <c r="K95" s="15"/>
      <c r="M95" s="5" t="s">
        <v>12</v>
      </c>
    </row>
    <row r="96" spans="1:13" ht="43.2" x14ac:dyDescent="0.3">
      <c r="A96" s="7" t="str">
        <f>IF(OR(LEN(A95)&lt;1,LEN(A95)&gt;35),"Transaction Identification must be between 1 and 35 characters long","")</f>
        <v>Transaction Identification must be between 1 and 35 characters long</v>
      </c>
      <c r="B96" s="7" t="str">
        <f>IF(OR(LEN(B95)&lt;1,LEN(B95)&gt;35),"Uniqie Identification must be between 1 and 35 characters long","")</f>
        <v>Uniqie Identification must be between 1 and 35 characters long</v>
      </c>
      <c r="D96" s="7" t="str">
        <f>IF(OR(D95&lt;0.01,D95&gt;9999999999999990),"Transaction Amount is not valid","")</f>
        <v>Transaction Amount is not valid</v>
      </c>
      <c r="E96" s="7" t="str">
        <f>IF(AND(LEN(E95)&lt;&gt;8,LEN(E95)&lt;&gt;11),"BIC must be 8 or 11 characters long","")</f>
        <v>BIC must be 8 or 11 characters long</v>
      </c>
      <c r="F96" s="7" t="str">
        <f>IF(OR(LEN(F95)&lt;1,LEN(F95)&gt;70),"Creditor's Name must be between 1 and 70 characters long","")</f>
        <v>Creditor's Name must be between 1 and 70 characters long</v>
      </c>
      <c r="G96" s="7" t="str">
        <f>IF(LEN(G95)&gt;70,"Address cannot be longer than 70 characters","")</f>
        <v/>
      </c>
      <c r="H96" s="7" t="str">
        <f>IF(LEN(H95)&gt;70,"Address cannot be longer than 70 characters","")</f>
        <v/>
      </c>
      <c r="I96" s="7" t="str">
        <f>IF(OR(LEN(I95)&lt;10,LEN(I95)&gt;34),"IBAN may be up to 34 characters long","")</f>
        <v>IBAN may be up to 34 characters long</v>
      </c>
      <c r="J96" s="7" t="str">
        <f>IF(ISBLANK(J95),"Code cannot be left blank","")</f>
        <v>Code cannot be left blank</v>
      </c>
      <c r="K96" s="7" t="str">
        <f>IF(OR(LEN(K95)&lt;1,LEN(K95)&gt;140),"Transaction Details must be between 1 and 140 characters long","")</f>
        <v>Transaction Details must be between 1 and 140 characters long</v>
      </c>
      <c r="M96" s="1" t="s">
        <v>13</v>
      </c>
    </row>
    <row r="97" spans="1:13" x14ac:dyDescent="0.3">
      <c r="A97" s="13"/>
      <c r="B97" s="14"/>
      <c r="C97" s="17" t="s">
        <v>83</v>
      </c>
      <c r="D97" s="19"/>
      <c r="E97" s="62"/>
      <c r="F97" s="62"/>
      <c r="G97" s="62"/>
      <c r="H97" s="62"/>
      <c r="I97" s="62"/>
      <c r="J97" s="14"/>
      <c r="K97" s="15"/>
      <c r="M97" s="5" t="s">
        <v>12</v>
      </c>
    </row>
    <row r="98" spans="1:13" ht="43.2" x14ac:dyDescent="0.3">
      <c r="A98" s="7" t="str">
        <f>IF(OR(LEN(A97)&lt;1,LEN(A97)&gt;35),"Transaction Identification must be between 1 and 35 characters long","")</f>
        <v>Transaction Identification must be between 1 and 35 characters long</v>
      </c>
      <c r="B98" s="7" t="str">
        <f>IF(OR(LEN(B97)&lt;1,LEN(B97)&gt;35),"Uniqie Identification must be between 1 and 35 characters long","")</f>
        <v>Uniqie Identification must be between 1 and 35 characters long</v>
      </c>
      <c r="D98" s="7" t="str">
        <f>IF(OR(D97&lt;0.01,D97&gt;9999999999999990),"Transaction Amount is not valid","")</f>
        <v>Transaction Amount is not valid</v>
      </c>
      <c r="E98" s="7" t="str">
        <f>IF(AND(LEN(E97)&lt;&gt;8,LEN(E97)&lt;&gt;11),"BIC must be 8 or 11 characters long","")</f>
        <v>BIC must be 8 or 11 characters long</v>
      </c>
      <c r="F98" s="7" t="str">
        <f>IF(OR(LEN(F97)&lt;1,LEN(F97)&gt;70),"Creditor's Name must be between 1 and 70 characters long","")</f>
        <v>Creditor's Name must be between 1 and 70 characters long</v>
      </c>
      <c r="G98" s="7" t="str">
        <f>IF(LEN(G97)&gt;70,"Address cannot be longer than 70 characters","")</f>
        <v/>
      </c>
      <c r="H98" s="7" t="str">
        <f>IF(LEN(H97)&gt;70,"Address cannot be longer than 70 characters","")</f>
        <v/>
      </c>
      <c r="I98" s="7" t="str">
        <f>IF(OR(LEN(I97)&lt;10,LEN(I97)&gt;34),"IBAN may be up to 34 characters long","")</f>
        <v>IBAN may be up to 34 characters long</v>
      </c>
      <c r="J98" s="7" t="str">
        <f>IF(ISBLANK(J97),"Code cannot be left blank","")</f>
        <v>Code cannot be left blank</v>
      </c>
      <c r="K98" s="7" t="str">
        <f>IF(OR(LEN(K97)&lt;1,LEN(K97)&gt;140),"Transaction Details must be between 1 and 140 characters long","")</f>
        <v>Transaction Details must be between 1 and 140 characters long</v>
      </c>
      <c r="M98" s="1" t="s">
        <v>13</v>
      </c>
    </row>
    <row r="99" spans="1:13" x14ac:dyDescent="0.3">
      <c r="A99" s="13"/>
      <c r="B99" s="14"/>
      <c r="C99" s="17" t="s">
        <v>83</v>
      </c>
      <c r="D99" s="19"/>
      <c r="E99" s="62"/>
      <c r="F99" s="62"/>
      <c r="G99" s="62"/>
      <c r="H99" s="62"/>
      <c r="I99" s="62"/>
      <c r="J99" s="14"/>
      <c r="K99" s="15"/>
      <c r="M99" s="5" t="s">
        <v>12</v>
      </c>
    </row>
    <row r="100" spans="1:13" ht="43.2" x14ac:dyDescent="0.3">
      <c r="A100" s="7" t="str">
        <f>IF(OR(LEN(A99)&lt;1,LEN(A99)&gt;35),"Transaction Identification must be between 1 and 35 characters long","")</f>
        <v>Transaction Identification must be between 1 and 35 characters long</v>
      </c>
      <c r="B100" s="7" t="str">
        <f>IF(OR(LEN(B99)&lt;1,LEN(B99)&gt;35),"Uniqie Identification must be between 1 and 35 characters long","")</f>
        <v>Uniqie Identification must be between 1 and 35 characters long</v>
      </c>
      <c r="D100" s="7" t="str">
        <f>IF(OR(D99&lt;0.01,D99&gt;9999999999999990),"Transaction Amount is not valid","")</f>
        <v>Transaction Amount is not valid</v>
      </c>
      <c r="E100" s="7" t="str">
        <f>IF(AND(LEN(E99)&lt;&gt;8,LEN(E99)&lt;&gt;11),"BIC must be 8 or 11 characters long","")</f>
        <v>BIC must be 8 or 11 characters long</v>
      </c>
      <c r="F100" s="7" t="str">
        <f>IF(OR(LEN(F99)&lt;1,LEN(F99)&gt;70),"Creditor's Name must be between 1 and 70 characters long","")</f>
        <v>Creditor's Name must be between 1 and 70 characters long</v>
      </c>
      <c r="G100" s="7" t="str">
        <f>IF(LEN(G99)&gt;70,"Address cannot be longer than 70 characters","")</f>
        <v/>
      </c>
      <c r="H100" s="7" t="str">
        <f>IF(LEN(H99)&gt;70,"Address cannot be longer than 70 characters","")</f>
        <v/>
      </c>
      <c r="I100" s="7" t="str">
        <f>IF(OR(LEN(I99)&lt;10,LEN(I99)&gt;34),"IBAN may be up to 34 characters long","")</f>
        <v>IBAN may be up to 34 characters long</v>
      </c>
      <c r="J100" s="7" t="str">
        <f>IF(ISBLANK(J99),"Code cannot be left blank","")</f>
        <v>Code cannot be left blank</v>
      </c>
      <c r="K100" s="7" t="str">
        <f>IF(OR(LEN(K99)&lt;1,LEN(K99)&gt;140),"Transaction Details must be between 1 and 140 characters long","")</f>
        <v>Transaction Details must be between 1 and 140 characters long</v>
      </c>
      <c r="M100" s="1" t="s">
        <v>13</v>
      </c>
    </row>
    <row r="101" spans="1:13" x14ac:dyDescent="0.3">
      <c r="A101" s="13"/>
      <c r="B101" s="14"/>
      <c r="C101" s="17" t="s">
        <v>83</v>
      </c>
      <c r="D101" s="19"/>
      <c r="E101" s="62"/>
      <c r="F101" s="62"/>
      <c r="G101" s="62"/>
      <c r="H101" s="62"/>
      <c r="I101" s="62"/>
      <c r="J101" s="14"/>
      <c r="K101" s="15"/>
      <c r="M101" s="5" t="s">
        <v>12</v>
      </c>
    </row>
    <row r="102" spans="1:13" ht="43.2" x14ac:dyDescent="0.3">
      <c r="A102" s="7" t="str">
        <f>IF(OR(LEN(A101)&lt;1,LEN(A101)&gt;35),"Transaction Identification must be between 1 and 35 characters long","")</f>
        <v>Transaction Identification must be between 1 and 35 characters long</v>
      </c>
      <c r="B102" s="7" t="str">
        <f>IF(OR(LEN(B101)&lt;1,LEN(B101)&gt;35),"Uniqie Identification must be between 1 and 35 characters long","")</f>
        <v>Uniqie Identification must be between 1 and 35 characters long</v>
      </c>
      <c r="D102" s="7" t="str">
        <f>IF(OR(D101&lt;0.01,D101&gt;9999999999999990),"Transaction Amount is not valid","")</f>
        <v>Transaction Amount is not valid</v>
      </c>
      <c r="E102" s="7" t="str">
        <f>IF(AND(LEN(E101)&lt;&gt;8,LEN(E101)&lt;&gt;11),"BIC must be 8 or 11 characters long","")</f>
        <v>BIC must be 8 or 11 characters long</v>
      </c>
      <c r="F102" s="7" t="str">
        <f>IF(OR(LEN(F101)&lt;1,LEN(F101)&gt;70),"Creditor's Name must be between 1 and 70 characters long","")</f>
        <v>Creditor's Name must be between 1 and 70 characters long</v>
      </c>
      <c r="G102" s="7" t="str">
        <f>IF(LEN(G101)&gt;70,"Address cannot be longer than 70 characters","")</f>
        <v/>
      </c>
      <c r="H102" s="7" t="str">
        <f>IF(LEN(H101)&gt;70,"Address cannot be longer than 70 characters","")</f>
        <v/>
      </c>
      <c r="I102" s="7" t="str">
        <f>IF(OR(LEN(I101)&lt;10,LEN(I101)&gt;34),"IBAN may be up to 34 characters long","")</f>
        <v>IBAN may be up to 34 characters long</v>
      </c>
      <c r="J102" s="7" t="str">
        <f>IF(ISBLANK(J101),"Code cannot be left blank","")</f>
        <v>Code cannot be left blank</v>
      </c>
      <c r="K102" s="7" t="str">
        <f>IF(OR(LEN(K101)&lt;1,LEN(K101)&gt;140),"Transaction Details must be between 1 and 140 characters long","")</f>
        <v>Transaction Details must be between 1 and 140 characters long</v>
      </c>
      <c r="M102" s="1" t="s">
        <v>13</v>
      </c>
    </row>
    <row r="103" spans="1:13" x14ac:dyDescent="0.3">
      <c r="A103" s="13"/>
      <c r="B103" s="14"/>
      <c r="C103" s="17" t="s">
        <v>83</v>
      </c>
      <c r="D103" s="19"/>
      <c r="E103" s="62"/>
      <c r="F103" s="62"/>
      <c r="G103" s="62"/>
      <c r="H103" s="62"/>
      <c r="I103" s="62"/>
      <c r="J103" s="14"/>
      <c r="K103" s="15"/>
      <c r="M103" s="5" t="s">
        <v>12</v>
      </c>
    </row>
    <row r="104" spans="1:13" ht="43.2" x14ac:dyDescent="0.3">
      <c r="A104" s="7" t="str">
        <f>IF(OR(LEN(A103)&lt;1,LEN(A103)&gt;35),"Transaction Identification must be between 1 and 35 characters long","")</f>
        <v>Transaction Identification must be between 1 and 35 characters long</v>
      </c>
      <c r="B104" s="7" t="str">
        <f>IF(OR(LEN(B103)&lt;1,LEN(B103)&gt;35),"Uniqie Identification must be between 1 and 35 characters long","")</f>
        <v>Uniqie Identification must be between 1 and 35 characters long</v>
      </c>
      <c r="D104" s="7" t="str">
        <f>IF(OR(D103&lt;0.01,D103&gt;9999999999999990),"Transaction Amount is not valid","")</f>
        <v>Transaction Amount is not valid</v>
      </c>
      <c r="E104" s="7" t="str">
        <f>IF(AND(LEN(E103)&lt;&gt;8,LEN(E103)&lt;&gt;11),"BIC must be 8 or 11 characters long","")</f>
        <v>BIC must be 8 or 11 characters long</v>
      </c>
      <c r="F104" s="7" t="str">
        <f>IF(OR(LEN(F103)&lt;1,LEN(F103)&gt;70),"Creditor's Name must be between 1 and 70 characters long","")</f>
        <v>Creditor's Name must be between 1 and 70 characters long</v>
      </c>
      <c r="G104" s="7" t="str">
        <f>IF(LEN(G103)&gt;70,"Address cannot be longer than 70 characters","")</f>
        <v/>
      </c>
      <c r="H104" s="7" t="str">
        <f>IF(LEN(H103)&gt;70,"Address cannot be longer than 70 characters","")</f>
        <v/>
      </c>
      <c r="I104" s="7" t="str">
        <f>IF(OR(LEN(I103)&lt;10,LEN(I103)&gt;34),"IBAN may be up to 34 characters long","")</f>
        <v>IBAN may be up to 34 characters long</v>
      </c>
      <c r="J104" s="7" t="str">
        <f>IF(ISBLANK(J103),"Code cannot be left blank","")</f>
        <v>Code cannot be left blank</v>
      </c>
      <c r="K104" s="7" t="str">
        <f>IF(OR(LEN(K103)&lt;1,LEN(K103)&gt;140),"Transaction Details must be between 1 and 140 characters long","")</f>
        <v>Transaction Details must be between 1 and 140 characters long</v>
      </c>
      <c r="M104" s="1" t="s">
        <v>13</v>
      </c>
    </row>
  </sheetData>
  <sheetProtection algorithmName="SHA-512" hashValue="X6mVDxKagdTld731wZFQHnYuIbNC0m4tn+k5p/a8mgXqWTX5O9q4FcamNkPwj8cPj85tRumFtXEAaNuFPMVaKw==" saltValue="YCH5pNbosCEXVHhre+QZSA==" spinCount="100000" sheet="1" objects="1" scenarios="1" formatColumns="0" selectLockedCells="1"/>
  <dataValidations count="9">
    <dataValidation type="textLength" allowBlank="1" showInputMessage="1" showErrorMessage="1" errorTitle="Credt Instr Rec: InstrId" error="This item must be between 1 and 35 characters in length " sqref="A5 A7 A9 A11 A13 A15 A17 A19 A21 A23 A25 A27 A29 A31 A33 A35 A37 A39 A41 A43 A45 A47 A49 A51 A53 A55 A57 A59 A61 A63 A65 A67 A69 A71 A73 A75 A77 A79 A81 A83 A85 A87 A89 A91 A93 A95 A97 A99 A101 A103" xr:uid="{00000000-0002-0000-0200-000000000000}">
      <formula1>1</formula1>
      <formula2>35</formula2>
    </dataValidation>
    <dataValidation type="decimal" allowBlank="1" showInputMessage="1" showErrorMessage="1" errorTitle="Credt Instr Rec: InstdAmt" error="This item must be between 0.01 and 9,999,999,999,999,999.99" sqref="D67 D7 D9 D11 D13 D15 D17 D19 D21 D23 D25 D27 D29 D31 D33 D35 D37 D39 D41 D43 D45 D47 D49 D51 D53 D55 D57 D59 D61 D63 D65 D5 D93 D69 D71 D73 D75 D77 D79 D81 D83 D85 D87 D89 D91 D103 D95 D97 D99 D101" xr:uid="{00000000-0002-0000-0200-000001000000}">
      <formula1>0.01</formula1>
      <formula2>9999999999999990</formula2>
    </dataValidation>
    <dataValidation type="textLength" allowBlank="1" showInputMessage="1" showErrorMessage="1" errorTitle="Credt Instr Rec: EndToEndId" error="This item must be between 1 and 35 characters in length " sqref="B7 B9 B11 B13 B15 B17 B19 B21 B23 B25 B27 B29 B31 B33 B35 B37 B39 B41 B43 B45 B47 B49 B51 B53 B55 B57 B59 B61 B63 B65 B67 B5 B69 B71 B73 B75 B77 B79 B81 B83 B85 B87 B89 B91 B93 B95 B97 B99 B101 B103" xr:uid="{00000000-0002-0000-0200-000002000000}">
      <formula1>1</formula1>
      <formula2>35</formula2>
    </dataValidation>
    <dataValidation allowBlank="1" showInputMessage="1" showErrorMessage="1" errorTitle="Credt Instr Rec: BIC" error="BIC should be either 8 or 11 characters in length" sqref="E5 E7 E9 E11 E13 E15 E17 E19 E21 E23 E25 E27 E29 E31 E33 E35 E37 E39 E41 E43 E45 E47 E49 E51 E53 E55 E57 E59 E61 E63 E65 E67 E69 E71 E73 E75 E77 E79 E81 E83 E85 E87 E89 E91 E93 E95 E97 E99 E101 E103" xr:uid="{00000000-0002-0000-0200-000003000000}"/>
    <dataValidation type="textLength" allowBlank="1" showInputMessage="1" showErrorMessage="1" errorTitle="Credt Instr Rec: Nm" error="This item must be between 1 and 70 characters in length " sqref="F67 F65 F9 F11 F13 F15 F17 F19 F21 F23 F25 F27 F29 F31 F33 F35 F37 F39 F41 F43 F45 F47 F49 F51 F53 F55 F57 F59 F61 F63 F93 F91 F69 F71 F73 F75 F77 F79 F81 F83 F85 F87 F89 F103 F101 F95 F97 F99" xr:uid="{00000000-0002-0000-0200-000004000000}">
      <formula1>1</formula1>
      <formula2>70</formula2>
    </dataValidation>
    <dataValidation type="textLength" showInputMessage="1" showErrorMessage="1" errorTitle="Credt Instr Rec: IBAN" error="This must be up to 34 characters in length_x000a_" sqref="I65 I5 I67 I9 I11 I13 I15 I17 I19 I21 I23 I25 I27 I29 I31 I33 I35 I37 I39 I41 I43 I45 I47 I49 I51 I53 I55 I57 I59 I61 I63 I7 I91 I93 I69 I71 I73 I75 I77 I79 I81 I83 I85 I87 I89 I101 I103 I95 I97 I99" xr:uid="{00000000-0002-0000-0200-000005000000}">
      <formula1>4</formula1>
      <formula2>34</formula2>
    </dataValidation>
    <dataValidation type="textLength" operator="lessThanOrEqual" allowBlank="1" showInputMessage="1" showErrorMessage="1" errorTitle="Credt Instr Rec: PstlAdr:AdrLine" error="This item cannot be longer than 70 characters" sqref="G5:H5 G67:H67 G9:H9 G11:H11 G13:H13 G15:H15 G17:H17 G19:H19 G21:H21 G23:H23 G25:H25 G27:H27 G29:H29 G31:H31 G33:H33 G35:H35 G37:H37 G39:H39 G41:H41 G43:H43 G45:H45 G47:H47 G49:H49 G51:H51 G53:H53 G55:H55 G57:H57 G59:H59 G61:H61 G63:H63 G65:H65 G7:H7 G93:H93 G69:H69 G71:H71 G73:H73 G75:H75 G77:H77 G79:H79 G81:H81 G83:H83 G85:H85 G87:H87 G89:H89 G91:H91 G103:H103 G95:H95 G97:H97 G99:H99 G101:H101" xr:uid="{00000000-0002-0000-0200-000006000000}">
      <formula1>70</formula1>
    </dataValidation>
    <dataValidation type="textLength" allowBlank="1" showInputMessage="1" showErrorMessage="1" errorTitle="Credt Instr Rec: Ustrd" error="This item must be between 1 and 140 characters in length " sqref="K5 K7 K9 K11 K13 K15 K17 K19 K21 K23 K25 K27 K29 K31 K33 K35 K37 K39 K41 K43 K45 K47 K49 K51 K53 K55 K57 K59 K61 K63 K65 K67 K69 K71 K73 K75 K77 K79 K81 K83 K85 K87 K89 K91 K93 K95 K97 K99 K101 K103" xr:uid="{00000000-0002-0000-0200-000007000000}">
      <formula1>1</formula1>
      <formula2>140</formula2>
    </dataValidation>
    <dataValidation type="textLength" showInputMessage="1" showErrorMessage="1" errorTitle="Pay Info Rec: PmtInfId" error="Thie length of this item must be between 1 and 35 characters long_x000a_" sqref="C5 C7 C9 C11 C13 C15 C17 C19 C21 C23 C25 C27 C29 C31 C33 C35 C37 C39 C41 C43 C45 C47 C49 C51 C53 C55 C57 C59 C61 C63 C65 C67 C69 C71 C73 C75 C77 C79 C81 C83 C85 C87 C89 C91 C93 C95 C97 C99 C101 C103" xr:uid="{00000000-0002-0000-0200-000008000000}">
      <formula1>1</formula1>
      <formula2>35</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errorTitle="Credt Instr Rec: Cd" error="Cannot be left blank" xr:uid="{00000000-0002-0000-0200-000009000000}">
          <x14:formula1>
            <xm:f>'Control Data (Hidden)'!$D$11:$J$11</xm:f>
          </x14:formula1>
          <xm:sqref>J5 J67 J65 J63 J61 J59 J57 J55 J53 J51 J49 J47 J45 J43 J41 J39 J35 J33 J31 J29 J27 J25 J23 J21 J19 J17 J15 J13 J11 J9 J7 J37 J93 J91 J89 J87 J85 J83 J81 J79 J77 J75 J73 J71 J69 J103 J101 J99 J97 J95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39997558519241921"/>
  </sheetPr>
  <dimension ref="A1:X318"/>
  <sheetViews>
    <sheetView tabSelected="1" workbookViewId="0">
      <selection activeCell="A7" sqref="A7"/>
    </sheetView>
  </sheetViews>
  <sheetFormatPr defaultRowHeight="14.4" x14ac:dyDescent="0.3"/>
  <cols>
    <col min="1" max="1" width="34.6640625" bestFit="1" customWidth="1"/>
    <col min="2" max="2" width="15.33203125" bestFit="1" customWidth="1"/>
    <col min="3" max="3" width="2.88671875" customWidth="1"/>
    <col min="4" max="4" width="6.109375" customWidth="1"/>
    <col min="5" max="5" width="15" customWidth="1"/>
    <col min="6" max="6" width="16.109375" customWidth="1"/>
    <col min="7" max="7" width="6.6640625" customWidth="1"/>
    <col min="10" max="10" width="13.5546875" customWidth="1"/>
    <col min="15" max="15" width="12" bestFit="1" customWidth="1"/>
    <col min="17" max="17" width="2.33203125" customWidth="1"/>
  </cols>
  <sheetData>
    <row r="1" spans="1:24" ht="15" thickBot="1" x14ac:dyDescent="0.35">
      <c r="A1" s="21" t="s">
        <v>122</v>
      </c>
      <c r="B1" s="22" t="s">
        <v>97</v>
      </c>
      <c r="D1" s="72" t="s">
        <v>118</v>
      </c>
      <c r="E1" s="73" t="str">
        <f>'Credit Instruction Record'!A1</f>
        <v>InstrId</v>
      </c>
      <c r="F1" s="73" t="str">
        <f>'Credit Instruction Record'!B1</f>
        <v>EndToEndId</v>
      </c>
      <c r="G1" s="73" t="str">
        <f>'Credit Instruction Record'!C1</f>
        <v>Ccy</v>
      </c>
      <c r="H1" s="73" t="str">
        <f>'Credit Instruction Record'!D1</f>
        <v>InstdAmt</v>
      </c>
      <c r="I1" s="73" t="str">
        <f>'Credit Instruction Record'!E1</f>
        <v>BIC</v>
      </c>
      <c r="J1" s="73" t="str">
        <f>'Credit Instruction Record'!F1</f>
        <v>Nm</v>
      </c>
      <c r="K1" s="73" t="str">
        <f>'Credit Instruction Record'!G1</f>
        <v>PstlAdr:AdrLine</v>
      </c>
      <c r="L1" s="73" t="str">
        <f>'Credit Instruction Record'!H1</f>
        <v>PstlAdr:AdrLine</v>
      </c>
      <c r="M1" s="73" t="str">
        <f>'Credit Instruction Record'!I1</f>
        <v>IBAN</v>
      </c>
      <c r="N1" s="73" t="str">
        <f>'Credit Instruction Record'!J1</f>
        <v>Cd</v>
      </c>
      <c r="O1" s="73" t="str">
        <f>'Credit Instruction Record'!K1</f>
        <v>Ustrd</v>
      </c>
      <c r="P1" s="74" t="s">
        <v>137</v>
      </c>
    </row>
    <row r="2" spans="1:24" x14ac:dyDescent="0.3">
      <c r="A2" s="70" t="s">
        <v>157</v>
      </c>
      <c r="B2" t="str">
        <f ca="1">CONCATENATE("BOV_",TEXT(NOW(),"YYYY-MM-DD-HHmmSS"),"000_",'Header Record'!F5)</f>
        <v>BOV_2021-06-05-191502000_GAM002</v>
      </c>
      <c r="D2" s="75">
        <v>1</v>
      </c>
      <c r="E2" s="76" t="str">
        <f>IF(ISBLANK('Credit Instruction Record'!A5),"",'Credit Instruction Record'!A5)</f>
        <v>021-01</v>
      </c>
      <c r="F2" s="76" t="str">
        <f>IF(ISBLANK('Credit Instruction Record'!B5),"",'Credit Instruction Record'!B5)</f>
        <v>REF 001</v>
      </c>
      <c r="G2" s="76" t="str">
        <f>IF(ISBLANK('Credit Instruction Record'!C5),"",'Credit Instruction Record'!C5)</f>
        <v>EUR</v>
      </c>
      <c r="H2" s="80">
        <f>IF(ISBLANK('Credit Instruction Record'!D5),"",'Credit Instruction Record'!D5)</f>
        <v>100</v>
      </c>
      <c r="I2" s="76" t="str">
        <f>IF(ISBLANK('Credit Instruction Record'!E5),"",'Credit Instruction Record'!E5)</f>
        <v>VALLMTMT</v>
      </c>
      <c r="J2" s="76" t="str">
        <f>IF(ISBLANK('Credit Instruction Record'!F5),"",'Credit Instruction Record'!F5)</f>
        <v>PAYEE</v>
      </c>
      <c r="K2" s="76" t="str">
        <f>IF(ISBLANK('Credit Instruction Record'!G5),"",'Credit Instruction Record'!G5)</f>
        <v/>
      </c>
      <c r="L2" s="76" t="str">
        <f>IF(ISBLANK('Credit Instruction Record'!H5),"",'Credit Instruction Record'!H5)</f>
        <v/>
      </c>
      <c r="M2" s="76" t="str">
        <f>IF(ISBLANK('Credit Instruction Record'!I5),"",'Credit Instruction Record'!I5)</f>
        <v>MT99XXXX54321000000012345678901</v>
      </c>
      <c r="N2" s="76" t="str">
        <f>IF(ISBLANK('Credit Instruction Record'!J5),"",'Credit Instruction Record'!J5)</f>
        <v>SUPP</v>
      </c>
      <c r="O2" s="76" t="str">
        <f>IF(ISBLANK('Credit Instruction Record'!K5),"",'Credit Instruction Record'!K5)</f>
        <v>REMITTANCE ADVICE 001</v>
      </c>
      <c r="P2" s="84" t="b">
        <f>M2=""</f>
        <v>0</v>
      </c>
      <c r="R2" s="93" t="s">
        <v>138</v>
      </c>
      <c r="S2" s="94"/>
      <c r="T2" s="94"/>
      <c r="U2" s="94"/>
      <c r="V2" s="94"/>
      <c r="W2" s="94"/>
      <c r="X2" s="95"/>
    </row>
    <row r="3" spans="1:24" x14ac:dyDescent="0.3">
      <c r="A3" s="85" t="str">
        <f>IF(ISBLANK(A2),"Cannot be left Blank","")</f>
        <v/>
      </c>
      <c r="B3" s="86"/>
      <c r="D3" s="75">
        <v>2</v>
      </c>
      <c r="E3" s="76" t="str">
        <f>IF(ISBLANK('Credit Instruction Record'!A7),"",'Credit Instruction Record'!A7)</f>
        <v/>
      </c>
      <c r="F3" s="76" t="str">
        <f>IF(ISBLANK('Credit Instruction Record'!B7),"",'Credit Instruction Record'!B7)</f>
        <v/>
      </c>
      <c r="G3" s="76" t="str">
        <f>IF(ISBLANK('Credit Instruction Record'!C7),"",'Credit Instruction Record'!C7)</f>
        <v>EUR</v>
      </c>
      <c r="H3" s="80" t="str">
        <f>IF(ISBLANK('Credit Instruction Record'!D7),"",'Credit Instruction Record'!D7)</f>
        <v/>
      </c>
      <c r="I3" s="76" t="str">
        <f>IF(ISBLANK('Credit Instruction Record'!E7),"",'Credit Instruction Record'!E7)</f>
        <v/>
      </c>
      <c r="J3" s="76" t="str">
        <f>IF(ISBLANK('Credit Instruction Record'!F7),"",'Credit Instruction Record'!F7)</f>
        <v/>
      </c>
      <c r="K3" s="76" t="str">
        <f>IF(ISBLANK('Credit Instruction Record'!G7),"",'Credit Instruction Record'!G7)</f>
        <v/>
      </c>
      <c r="L3" s="76" t="str">
        <f>IF(ISBLANK('Credit Instruction Record'!H7),"",'Credit Instruction Record'!H7)</f>
        <v/>
      </c>
      <c r="M3" s="76" t="str">
        <f>IF(ISBLANK('Credit Instruction Record'!I7),"",'Credit Instruction Record'!I7)</f>
        <v/>
      </c>
      <c r="N3" s="76" t="str">
        <f>IF(ISBLANK('Credit Instruction Record'!J7),"",'Credit Instruction Record'!J7)</f>
        <v/>
      </c>
      <c r="O3" s="76" t="str">
        <f>IF(ISBLANK('Credit Instruction Record'!K7),"",'Credit Instruction Record'!K7)</f>
        <v/>
      </c>
      <c r="P3" s="84" t="b">
        <f t="shared" ref="P3:P33" si="0">M3=""</f>
        <v>1</v>
      </c>
      <c r="R3" s="96"/>
      <c r="S3" s="97"/>
      <c r="T3" s="97"/>
      <c r="U3" s="97"/>
      <c r="V3" s="97"/>
      <c r="W3" s="97"/>
      <c r="X3" s="98"/>
    </row>
    <row r="4" spans="1:24" x14ac:dyDescent="0.3">
      <c r="A4" s="87" t="s">
        <v>96</v>
      </c>
      <c r="B4" s="87" t="s">
        <v>130</v>
      </c>
      <c r="D4" s="75">
        <v>3</v>
      </c>
      <c r="E4" s="76" t="str">
        <f>IF(ISBLANK('Credit Instruction Record'!A9),"",'Credit Instruction Record'!A9)</f>
        <v/>
      </c>
      <c r="F4" s="76" t="str">
        <f>IF(ISBLANK('Credit Instruction Record'!B9),"",'Credit Instruction Record'!B9)</f>
        <v/>
      </c>
      <c r="G4" s="76" t="str">
        <f>IF(ISBLANK('Credit Instruction Record'!C9),"",'Credit Instruction Record'!C9)</f>
        <v>EUR</v>
      </c>
      <c r="H4" s="80" t="str">
        <f>IF(ISBLANK('Credit Instruction Record'!D9),"",'Credit Instruction Record'!D9)</f>
        <v/>
      </c>
      <c r="I4" s="76" t="str">
        <f>IF(ISBLANK('Credit Instruction Record'!E9),"",'Credit Instruction Record'!E9)</f>
        <v/>
      </c>
      <c r="J4" s="76" t="str">
        <f>IF(ISBLANK('Credit Instruction Record'!F9),"",'Credit Instruction Record'!F9)</f>
        <v/>
      </c>
      <c r="K4" s="76" t="str">
        <f>IF(ISBLANK('Credit Instruction Record'!G9),"",'Credit Instruction Record'!G9)</f>
        <v/>
      </c>
      <c r="L4" s="76" t="str">
        <f>IF(ISBLANK('Credit Instruction Record'!H9),"",'Credit Instruction Record'!H9)</f>
        <v/>
      </c>
      <c r="M4" s="76" t="str">
        <f>IF(ISBLANK('Credit Instruction Record'!I9),"",'Credit Instruction Record'!I9)</f>
        <v/>
      </c>
      <c r="N4" s="76" t="str">
        <f>IF(ISBLANK('Credit Instruction Record'!J9),"",'Credit Instruction Record'!J9)</f>
        <v/>
      </c>
      <c r="O4" s="76" t="str">
        <f>IF(ISBLANK('Credit Instruction Record'!K9),"",'Credit Instruction Record'!K9)</f>
        <v/>
      </c>
      <c r="P4" s="84" t="b">
        <f t="shared" si="0"/>
        <v>1</v>
      </c>
      <c r="R4" s="96"/>
      <c r="S4" s="97"/>
      <c r="T4" s="97"/>
      <c r="U4" s="97"/>
      <c r="V4" s="97"/>
      <c r="W4" s="97"/>
      <c r="X4" s="98"/>
    </row>
    <row r="5" spans="1:24" x14ac:dyDescent="0.3">
      <c r="A5" s="88">
        <f>'Header Record'!C5</f>
        <v>1</v>
      </c>
      <c r="B5" s="79">
        <f>'Header Record'!D5</f>
        <v>100</v>
      </c>
      <c r="D5" s="75">
        <v>4</v>
      </c>
      <c r="E5" s="76" t="str">
        <f>IF(ISBLANK('Credit Instruction Record'!A11),"",'Credit Instruction Record'!A11)</f>
        <v/>
      </c>
      <c r="F5" s="76" t="str">
        <f>IF(ISBLANK('Credit Instruction Record'!B11),"",'Credit Instruction Record'!B11)</f>
        <v/>
      </c>
      <c r="G5" s="76" t="str">
        <f>IF(ISBLANK('Credit Instruction Record'!C11),"",'Credit Instruction Record'!C11)</f>
        <v>EUR</v>
      </c>
      <c r="H5" s="80" t="str">
        <f>IF(ISBLANK('Credit Instruction Record'!D11),"",'Credit Instruction Record'!D11)</f>
        <v/>
      </c>
      <c r="I5" s="76" t="str">
        <f>IF(ISBLANK('Credit Instruction Record'!E11),"",'Credit Instruction Record'!E11)</f>
        <v/>
      </c>
      <c r="J5" s="76" t="str">
        <f>IF(ISBLANK('Credit Instruction Record'!F11),"",'Credit Instruction Record'!F11)</f>
        <v/>
      </c>
      <c r="K5" s="76" t="str">
        <f>IF(ISBLANK('Credit Instruction Record'!G11),"",'Credit Instruction Record'!G11)</f>
        <v/>
      </c>
      <c r="L5" s="76" t="str">
        <f>IF(ISBLANK('Credit Instruction Record'!H11),"",'Credit Instruction Record'!H11)</f>
        <v/>
      </c>
      <c r="M5" s="76" t="str">
        <f>IF(ISBLANK('Credit Instruction Record'!I11),"",'Credit Instruction Record'!I11)</f>
        <v/>
      </c>
      <c r="N5" s="76" t="str">
        <f>IF(ISBLANK('Credit Instruction Record'!J11),"",'Credit Instruction Record'!J11)</f>
        <v/>
      </c>
      <c r="O5" s="76" t="str">
        <f>IF(ISBLANK('Credit Instruction Record'!K11),"",'Credit Instruction Record'!K11)</f>
        <v/>
      </c>
      <c r="P5" s="84" t="b">
        <f t="shared" si="0"/>
        <v>1</v>
      </c>
      <c r="R5" s="96"/>
      <c r="S5" s="97"/>
      <c r="T5" s="97"/>
      <c r="U5" s="97"/>
      <c r="V5" s="97"/>
      <c r="W5" s="97"/>
      <c r="X5" s="98"/>
    </row>
    <row r="6" spans="1:24" x14ac:dyDescent="0.3">
      <c r="A6" s="40"/>
      <c r="B6" s="40"/>
      <c r="C6" s="40"/>
      <c r="D6" s="75">
        <v>5</v>
      </c>
      <c r="E6" s="76" t="str">
        <f>IF(ISBLANK('Credit Instruction Record'!A13),"",'Credit Instruction Record'!A13)</f>
        <v/>
      </c>
      <c r="F6" s="76" t="str">
        <f>IF(ISBLANK('Credit Instruction Record'!B13),"",'Credit Instruction Record'!B13)</f>
        <v/>
      </c>
      <c r="G6" s="76" t="str">
        <f>IF(ISBLANK('Credit Instruction Record'!C13),"",'Credit Instruction Record'!C13)</f>
        <v>EUR</v>
      </c>
      <c r="H6" s="80" t="str">
        <f>IF(ISBLANK('Credit Instruction Record'!D13),"",'Credit Instruction Record'!D13)</f>
        <v/>
      </c>
      <c r="I6" s="76" t="str">
        <f>IF(ISBLANK('Credit Instruction Record'!E13),"",'Credit Instruction Record'!E13)</f>
        <v/>
      </c>
      <c r="J6" s="76" t="str">
        <f>IF(ISBLANK('Credit Instruction Record'!F13),"",'Credit Instruction Record'!F13)</f>
        <v/>
      </c>
      <c r="K6" s="76" t="str">
        <f>IF(ISBLANK('Credit Instruction Record'!G13),"",'Credit Instruction Record'!G13)</f>
        <v/>
      </c>
      <c r="L6" s="76" t="str">
        <f>IF(ISBLANK('Credit Instruction Record'!H13),"",'Credit Instruction Record'!H13)</f>
        <v/>
      </c>
      <c r="M6" s="76" t="str">
        <f>IF(ISBLANK('Credit Instruction Record'!I13),"",'Credit Instruction Record'!I13)</f>
        <v/>
      </c>
      <c r="N6" s="76" t="str">
        <f>IF(ISBLANK('Credit Instruction Record'!J13),"",'Credit Instruction Record'!J13)</f>
        <v/>
      </c>
      <c r="O6" s="76" t="str">
        <f>IF(ISBLANK('Credit Instruction Record'!K13),"",'Credit Instruction Record'!K13)</f>
        <v/>
      </c>
      <c r="P6" s="84" t="b">
        <f t="shared" si="0"/>
        <v>1</v>
      </c>
      <c r="R6" s="96"/>
      <c r="S6" s="97"/>
      <c r="T6" s="97"/>
      <c r="U6" s="97"/>
      <c r="V6" s="97"/>
      <c r="W6" s="97"/>
      <c r="X6" s="98"/>
    </row>
    <row r="7" spans="1:24" x14ac:dyDescent="0.3">
      <c r="A7" s="61"/>
      <c r="C7" s="40"/>
      <c r="D7" s="75">
        <v>6</v>
      </c>
      <c r="E7" s="76" t="str">
        <f>IF(ISBLANK('Credit Instruction Record'!A15),"",'Credit Instruction Record'!A15)</f>
        <v/>
      </c>
      <c r="F7" s="76" t="str">
        <f>IF(ISBLANK('Credit Instruction Record'!B15),"",'Credit Instruction Record'!B15)</f>
        <v/>
      </c>
      <c r="G7" s="76" t="str">
        <f>IF(ISBLANK('Credit Instruction Record'!C15),"",'Credit Instruction Record'!C15)</f>
        <v>EUR</v>
      </c>
      <c r="H7" s="80" t="str">
        <f>IF(ISBLANK('Credit Instruction Record'!D15),"",'Credit Instruction Record'!D15)</f>
        <v/>
      </c>
      <c r="I7" s="76" t="str">
        <f>IF(ISBLANK('Credit Instruction Record'!E15),"",'Credit Instruction Record'!E15)</f>
        <v/>
      </c>
      <c r="J7" s="76" t="str">
        <f>IF(ISBLANK('Credit Instruction Record'!F15),"",'Credit Instruction Record'!F15)</f>
        <v/>
      </c>
      <c r="K7" s="76" t="str">
        <f>IF(ISBLANK('Credit Instruction Record'!G15),"",'Credit Instruction Record'!G15)</f>
        <v/>
      </c>
      <c r="L7" s="76" t="str">
        <f>IF(ISBLANK('Credit Instruction Record'!H15),"",'Credit Instruction Record'!H15)</f>
        <v/>
      </c>
      <c r="M7" s="76" t="str">
        <f>IF(ISBLANK('Credit Instruction Record'!I15),"",'Credit Instruction Record'!I15)</f>
        <v/>
      </c>
      <c r="N7" s="76" t="str">
        <f>IF(ISBLANK('Credit Instruction Record'!J15),"",'Credit Instruction Record'!J15)</f>
        <v/>
      </c>
      <c r="O7" s="76" t="str">
        <f>IF(ISBLANK('Credit Instruction Record'!K15),"",'Credit Instruction Record'!K15)</f>
        <v/>
      </c>
      <c r="P7" s="84" t="b">
        <f t="shared" si="0"/>
        <v>1</v>
      </c>
      <c r="R7" s="96"/>
      <c r="S7" s="97"/>
      <c r="T7" s="97"/>
      <c r="U7" s="97"/>
      <c r="V7" s="97"/>
      <c r="W7" s="97"/>
      <c r="X7" s="98"/>
    </row>
    <row r="8" spans="1:24" x14ac:dyDescent="0.3">
      <c r="A8" s="77" t="s">
        <v>137</v>
      </c>
      <c r="B8" s="40" t="s">
        <v>142</v>
      </c>
      <c r="C8" s="40"/>
      <c r="D8" s="75">
        <v>7</v>
      </c>
      <c r="E8" s="76" t="str">
        <f>IF(ISBLANK('Credit Instruction Record'!A17),"",'Credit Instruction Record'!A17)</f>
        <v/>
      </c>
      <c r="F8" s="76" t="str">
        <f>IF(ISBLANK('Credit Instruction Record'!B17),"",'Credit Instruction Record'!B17)</f>
        <v/>
      </c>
      <c r="G8" s="76" t="str">
        <f>IF(ISBLANK('Credit Instruction Record'!C17),"",'Credit Instruction Record'!C17)</f>
        <v>EUR</v>
      </c>
      <c r="H8" s="80" t="str">
        <f>IF(ISBLANK('Credit Instruction Record'!D17),"",'Credit Instruction Record'!D17)</f>
        <v/>
      </c>
      <c r="I8" s="76" t="str">
        <f>IF(ISBLANK('Credit Instruction Record'!E17),"",'Credit Instruction Record'!E17)</f>
        <v/>
      </c>
      <c r="J8" s="76" t="str">
        <f>IF(ISBLANK('Credit Instruction Record'!F17),"",'Credit Instruction Record'!F17)</f>
        <v/>
      </c>
      <c r="K8" s="76" t="str">
        <f>IF(ISBLANK('Credit Instruction Record'!G17),"",'Credit Instruction Record'!G17)</f>
        <v/>
      </c>
      <c r="L8" s="76" t="str">
        <f>IF(ISBLANK('Credit Instruction Record'!H17),"",'Credit Instruction Record'!H17)</f>
        <v/>
      </c>
      <c r="M8" s="76" t="str">
        <f>IF(ISBLANK('Credit Instruction Record'!I17),"",'Credit Instruction Record'!I17)</f>
        <v/>
      </c>
      <c r="N8" s="76" t="str">
        <f>IF(ISBLANK('Credit Instruction Record'!J17),"",'Credit Instruction Record'!J17)</f>
        <v/>
      </c>
      <c r="O8" s="76" t="str">
        <f>IF(ISBLANK('Credit Instruction Record'!K17),"",'Credit Instruction Record'!K17)</f>
        <v/>
      </c>
      <c r="P8" s="84" t="b">
        <f t="shared" si="0"/>
        <v>1</v>
      </c>
      <c r="R8" s="96"/>
      <c r="S8" s="97"/>
      <c r="T8" s="97"/>
      <c r="U8" s="97"/>
      <c r="V8" s="97"/>
      <c r="W8" s="97"/>
      <c r="X8" s="98"/>
    </row>
    <row r="9" spans="1:24" x14ac:dyDescent="0.3">
      <c r="C9" s="40"/>
      <c r="D9" s="75">
        <v>8</v>
      </c>
      <c r="E9" s="76" t="str">
        <f>IF(ISBLANK('Credit Instruction Record'!A19),"",'Credit Instruction Record'!A19)</f>
        <v/>
      </c>
      <c r="F9" s="76" t="str">
        <f>IF(ISBLANK('Credit Instruction Record'!B19),"",'Credit Instruction Record'!B19)</f>
        <v/>
      </c>
      <c r="G9" s="76" t="str">
        <f>IF(ISBLANK('Credit Instruction Record'!C19),"",'Credit Instruction Record'!C19)</f>
        <v>EUR</v>
      </c>
      <c r="H9" s="80" t="str">
        <f>IF(ISBLANK('Credit Instruction Record'!D19),"",'Credit Instruction Record'!D19)</f>
        <v/>
      </c>
      <c r="I9" s="76" t="str">
        <f>IF(ISBLANK('Credit Instruction Record'!E19),"",'Credit Instruction Record'!E19)</f>
        <v/>
      </c>
      <c r="J9" s="76" t="str">
        <f>IF(ISBLANK('Credit Instruction Record'!F19),"",'Credit Instruction Record'!F19)</f>
        <v/>
      </c>
      <c r="K9" s="76" t="str">
        <f>IF(ISBLANK('Credit Instruction Record'!G19),"",'Credit Instruction Record'!G19)</f>
        <v/>
      </c>
      <c r="L9" s="76" t="str">
        <f>IF(ISBLANK('Credit Instruction Record'!H19),"",'Credit Instruction Record'!H19)</f>
        <v/>
      </c>
      <c r="M9" s="76" t="str">
        <f>IF(ISBLANK('Credit Instruction Record'!I19),"",'Credit Instruction Record'!I19)</f>
        <v/>
      </c>
      <c r="N9" s="76" t="str">
        <f>IF(ISBLANK('Credit Instruction Record'!J19),"",'Credit Instruction Record'!J19)</f>
        <v/>
      </c>
      <c r="O9" s="76" t="str">
        <f>IF(ISBLANK('Credit Instruction Record'!K19),"",'Credit Instruction Record'!K19)</f>
        <v/>
      </c>
      <c r="P9" s="84" t="b">
        <f t="shared" si="0"/>
        <v>1</v>
      </c>
      <c r="R9" s="96"/>
      <c r="S9" s="97"/>
      <c r="T9" s="97"/>
      <c r="U9" s="97"/>
      <c r="V9" s="97"/>
      <c r="W9" s="97"/>
      <c r="X9" s="98"/>
    </row>
    <row r="10" spans="1:24" x14ac:dyDescent="0.3">
      <c r="A10" s="77" t="s">
        <v>119</v>
      </c>
      <c r="B10" s="40" t="s">
        <v>121</v>
      </c>
      <c r="C10" s="40"/>
      <c r="D10" s="75">
        <v>9</v>
      </c>
      <c r="E10" s="76" t="str">
        <f>IF(ISBLANK('Credit Instruction Record'!A21),"",'Credit Instruction Record'!A21)</f>
        <v/>
      </c>
      <c r="F10" s="76" t="str">
        <f>IF(ISBLANK('Credit Instruction Record'!B21),"",'Credit Instruction Record'!B21)</f>
        <v/>
      </c>
      <c r="G10" s="76" t="str">
        <f>IF(ISBLANK('Credit Instruction Record'!C21),"",'Credit Instruction Record'!C21)</f>
        <v>EUR</v>
      </c>
      <c r="H10" s="80" t="str">
        <f>IF(ISBLANK('Credit Instruction Record'!D21),"",'Credit Instruction Record'!D21)</f>
        <v/>
      </c>
      <c r="I10" s="76" t="str">
        <f>IF(ISBLANK('Credit Instruction Record'!E21),"",'Credit Instruction Record'!E21)</f>
        <v/>
      </c>
      <c r="J10" s="76" t="str">
        <f>IF(ISBLANK('Credit Instruction Record'!F21),"",'Credit Instruction Record'!F21)</f>
        <v/>
      </c>
      <c r="K10" s="76" t="str">
        <f>IF(ISBLANK('Credit Instruction Record'!G21),"",'Credit Instruction Record'!G21)</f>
        <v/>
      </c>
      <c r="L10" s="76" t="str">
        <f>IF(ISBLANK('Credit Instruction Record'!H21),"",'Credit Instruction Record'!H21)</f>
        <v/>
      </c>
      <c r="M10" s="76" t="str">
        <f>IF(ISBLANK('Credit Instruction Record'!I21),"",'Credit Instruction Record'!I21)</f>
        <v/>
      </c>
      <c r="N10" s="76" t="str">
        <f>IF(ISBLANK('Credit Instruction Record'!J21),"",'Credit Instruction Record'!J21)</f>
        <v/>
      </c>
      <c r="O10" s="76" t="str">
        <f>IF(ISBLANK('Credit Instruction Record'!K21),"",'Credit Instruction Record'!K21)</f>
        <v/>
      </c>
      <c r="P10" s="84" t="b">
        <f t="shared" si="0"/>
        <v>1</v>
      </c>
      <c r="R10" s="96"/>
      <c r="S10" s="97"/>
      <c r="T10" s="97"/>
      <c r="U10" s="97"/>
      <c r="V10" s="97"/>
      <c r="W10" s="97"/>
      <c r="X10" s="98"/>
    </row>
    <row r="11" spans="1:24" x14ac:dyDescent="0.3">
      <c r="A11" s="78" t="s">
        <v>153</v>
      </c>
      <c r="B11" s="79"/>
      <c r="C11" s="40"/>
      <c r="D11" s="75">
        <v>10</v>
      </c>
      <c r="E11" s="76" t="str">
        <f>IF(ISBLANK('Credit Instruction Record'!A23),"",'Credit Instruction Record'!A23)</f>
        <v/>
      </c>
      <c r="F11" s="76" t="str">
        <f>IF(ISBLANK('Credit Instruction Record'!B23),"",'Credit Instruction Record'!B23)</f>
        <v/>
      </c>
      <c r="G11" s="76" t="str">
        <f>IF(ISBLANK('Credit Instruction Record'!C23),"",'Credit Instruction Record'!C23)</f>
        <v>EUR</v>
      </c>
      <c r="H11" s="80" t="str">
        <f>IF(ISBLANK('Credit Instruction Record'!D23),"",'Credit Instruction Record'!D23)</f>
        <v/>
      </c>
      <c r="I11" s="76" t="str">
        <f>IF(ISBLANK('Credit Instruction Record'!E23),"",'Credit Instruction Record'!E23)</f>
        <v/>
      </c>
      <c r="J11" s="76" t="str">
        <f>IF(ISBLANK('Credit Instruction Record'!F23),"",'Credit Instruction Record'!F23)</f>
        <v/>
      </c>
      <c r="K11" s="76" t="str">
        <f>IF(ISBLANK('Credit Instruction Record'!G23),"",'Credit Instruction Record'!G23)</f>
        <v/>
      </c>
      <c r="L11" s="76" t="str">
        <f>IF(ISBLANK('Credit Instruction Record'!H23),"",'Credit Instruction Record'!H23)</f>
        <v/>
      </c>
      <c r="M11" s="76" t="str">
        <f>IF(ISBLANK('Credit Instruction Record'!I23),"",'Credit Instruction Record'!I23)</f>
        <v/>
      </c>
      <c r="N11" s="76" t="str">
        <f>IF(ISBLANK('Credit Instruction Record'!J23),"",'Credit Instruction Record'!J23)</f>
        <v/>
      </c>
      <c r="O11" s="76" t="str">
        <f>IF(ISBLANK('Credit Instruction Record'!K23),"",'Credit Instruction Record'!K23)</f>
        <v/>
      </c>
      <c r="P11" s="84" t="b">
        <f t="shared" si="0"/>
        <v>1</v>
      </c>
      <c r="R11" s="96"/>
      <c r="S11" s="97"/>
      <c r="T11" s="97"/>
      <c r="U11" s="97"/>
      <c r="V11" s="97"/>
      <c r="W11" s="97"/>
      <c r="X11" s="98"/>
    </row>
    <row r="12" spans="1:24" x14ac:dyDescent="0.3">
      <c r="A12" s="83" t="s">
        <v>154</v>
      </c>
      <c r="B12" s="79">
        <v>100</v>
      </c>
      <c r="C12" s="40"/>
      <c r="D12" s="75">
        <v>11</v>
      </c>
      <c r="E12" s="76" t="str">
        <f>IF(ISBLANK('Credit Instruction Record'!A25),"",'Credit Instruction Record'!A25)</f>
        <v/>
      </c>
      <c r="F12" s="76" t="str">
        <f>IF(ISBLANK('Credit Instruction Record'!B25),"",'Credit Instruction Record'!B25)</f>
        <v/>
      </c>
      <c r="G12" s="76" t="str">
        <f>IF(ISBLANK('Credit Instruction Record'!C25),"",'Credit Instruction Record'!C25)</f>
        <v>EUR</v>
      </c>
      <c r="H12" s="80" t="str">
        <f>IF(ISBLANK('Credit Instruction Record'!D25),"",'Credit Instruction Record'!D25)</f>
        <v/>
      </c>
      <c r="I12" s="76" t="str">
        <f>IF(ISBLANK('Credit Instruction Record'!E25),"",'Credit Instruction Record'!E25)</f>
        <v/>
      </c>
      <c r="J12" s="76" t="str">
        <f>IF(ISBLANK('Credit Instruction Record'!F25),"",'Credit Instruction Record'!F25)</f>
        <v/>
      </c>
      <c r="K12" s="76" t="str">
        <f>IF(ISBLANK('Credit Instruction Record'!G25),"",'Credit Instruction Record'!G25)</f>
        <v/>
      </c>
      <c r="L12" s="76" t="str">
        <f>IF(ISBLANK('Credit Instruction Record'!H25),"",'Credit Instruction Record'!H25)</f>
        <v/>
      </c>
      <c r="M12" s="76" t="str">
        <f>IF(ISBLANK('Credit Instruction Record'!I25),"",'Credit Instruction Record'!I25)</f>
        <v/>
      </c>
      <c r="N12" s="76" t="str">
        <f>IF(ISBLANK('Credit Instruction Record'!J25),"",'Credit Instruction Record'!J25)</f>
        <v/>
      </c>
      <c r="O12" s="76" t="str">
        <f>IF(ISBLANK('Credit Instruction Record'!K25),"",'Credit Instruction Record'!K25)</f>
        <v/>
      </c>
      <c r="P12" s="84" t="b">
        <f t="shared" si="0"/>
        <v>1</v>
      </c>
      <c r="R12" s="96"/>
      <c r="S12" s="97"/>
      <c r="T12" s="97"/>
      <c r="U12" s="97"/>
      <c r="V12" s="97"/>
      <c r="W12" s="97"/>
      <c r="X12" s="98"/>
    </row>
    <row r="13" spans="1:24" x14ac:dyDescent="0.3">
      <c r="A13" s="78" t="s">
        <v>120</v>
      </c>
      <c r="B13" s="79">
        <v>100</v>
      </c>
      <c r="C13" s="40"/>
      <c r="D13" s="75">
        <v>12</v>
      </c>
      <c r="E13" s="76" t="str">
        <f>IF(ISBLANK('Credit Instruction Record'!A27),"",'Credit Instruction Record'!A27)</f>
        <v/>
      </c>
      <c r="F13" s="76" t="str">
        <f>IF(ISBLANK('Credit Instruction Record'!B27),"",'Credit Instruction Record'!B27)</f>
        <v/>
      </c>
      <c r="G13" s="76" t="str">
        <f>IF(ISBLANK('Credit Instruction Record'!C27),"",'Credit Instruction Record'!C27)</f>
        <v>EUR</v>
      </c>
      <c r="H13" s="80" t="str">
        <f>IF(ISBLANK('Credit Instruction Record'!D27),"",'Credit Instruction Record'!D27)</f>
        <v/>
      </c>
      <c r="I13" s="76" t="str">
        <f>IF(ISBLANK('Credit Instruction Record'!E27),"",'Credit Instruction Record'!E27)</f>
        <v/>
      </c>
      <c r="J13" s="76" t="str">
        <f>IF(ISBLANK('Credit Instruction Record'!F27),"",'Credit Instruction Record'!F27)</f>
        <v/>
      </c>
      <c r="K13" s="76" t="str">
        <f>IF(ISBLANK('Credit Instruction Record'!G27),"",'Credit Instruction Record'!G27)</f>
        <v/>
      </c>
      <c r="L13" s="76" t="str">
        <f>IF(ISBLANK('Credit Instruction Record'!H27),"",'Credit Instruction Record'!H27)</f>
        <v/>
      </c>
      <c r="M13" s="76" t="str">
        <f>IF(ISBLANK('Credit Instruction Record'!I27),"",'Credit Instruction Record'!I27)</f>
        <v/>
      </c>
      <c r="N13" s="76" t="str">
        <f>IF(ISBLANK('Credit Instruction Record'!J27),"",'Credit Instruction Record'!J27)</f>
        <v/>
      </c>
      <c r="O13" s="76" t="str">
        <f>IF(ISBLANK('Credit Instruction Record'!K27),"",'Credit Instruction Record'!K27)</f>
        <v/>
      </c>
      <c r="P13" s="84" t="b">
        <f t="shared" si="0"/>
        <v>1</v>
      </c>
      <c r="R13" s="96"/>
      <c r="S13" s="97"/>
      <c r="T13" s="97"/>
      <c r="U13" s="97"/>
      <c r="V13" s="97"/>
      <c r="W13" s="97"/>
      <c r="X13" s="98"/>
    </row>
    <row r="14" spans="1:24" ht="15" thickBot="1" x14ac:dyDescent="0.35">
      <c r="C14" s="40"/>
      <c r="D14" s="75">
        <v>13</v>
      </c>
      <c r="E14" s="76" t="str">
        <f>IF(ISBLANK('Credit Instruction Record'!A29),"",'Credit Instruction Record'!A29)</f>
        <v/>
      </c>
      <c r="F14" s="76" t="str">
        <f>IF(ISBLANK('Credit Instruction Record'!B29),"",'Credit Instruction Record'!B29)</f>
        <v/>
      </c>
      <c r="G14" s="76" t="str">
        <f>IF(ISBLANK('Credit Instruction Record'!C29),"",'Credit Instruction Record'!C29)</f>
        <v>EUR</v>
      </c>
      <c r="H14" s="80" t="str">
        <f>IF(ISBLANK('Credit Instruction Record'!D29),"",'Credit Instruction Record'!D29)</f>
        <v/>
      </c>
      <c r="I14" s="76" t="str">
        <f>IF(ISBLANK('Credit Instruction Record'!E29),"",'Credit Instruction Record'!E29)</f>
        <v/>
      </c>
      <c r="J14" s="76" t="str">
        <f>IF(ISBLANK('Credit Instruction Record'!F29),"",'Credit Instruction Record'!F29)</f>
        <v/>
      </c>
      <c r="K14" s="76" t="str">
        <f>IF(ISBLANK('Credit Instruction Record'!G29),"",'Credit Instruction Record'!G29)</f>
        <v/>
      </c>
      <c r="L14" s="76" t="str">
        <f>IF(ISBLANK('Credit Instruction Record'!H29),"",'Credit Instruction Record'!H29)</f>
        <v/>
      </c>
      <c r="M14" s="76" t="str">
        <f>IF(ISBLANK('Credit Instruction Record'!I29),"",'Credit Instruction Record'!I29)</f>
        <v/>
      </c>
      <c r="N14" s="76" t="str">
        <f>IF(ISBLANK('Credit Instruction Record'!J29),"",'Credit Instruction Record'!J29)</f>
        <v/>
      </c>
      <c r="O14" s="76" t="str">
        <f>IF(ISBLANK('Credit Instruction Record'!K29),"",'Credit Instruction Record'!K29)</f>
        <v/>
      </c>
      <c r="P14" s="84" t="b">
        <f t="shared" si="0"/>
        <v>1</v>
      </c>
      <c r="R14" s="99"/>
      <c r="S14" s="100"/>
      <c r="T14" s="100"/>
      <c r="U14" s="100"/>
      <c r="V14" s="100"/>
      <c r="W14" s="100"/>
      <c r="X14" s="101"/>
    </row>
    <row r="15" spans="1:24" ht="15" thickBot="1" x14ac:dyDescent="0.35">
      <c r="C15" s="40"/>
      <c r="D15" s="75">
        <v>14</v>
      </c>
      <c r="E15" s="76" t="str">
        <f>IF(ISBLANK('Credit Instruction Record'!A31),"",'Credit Instruction Record'!A31)</f>
        <v/>
      </c>
      <c r="F15" s="76" t="str">
        <f>IF(ISBLANK('Credit Instruction Record'!B31),"",'Credit Instruction Record'!B31)</f>
        <v/>
      </c>
      <c r="G15" s="76" t="str">
        <f>IF(ISBLANK('Credit Instruction Record'!C31),"",'Credit Instruction Record'!C31)</f>
        <v>EUR</v>
      </c>
      <c r="H15" s="80" t="str">
        <f>IF(ISBLANK('Credit Instruction Record'!D31),"",'Credit Instruction Record'!D31)</f>
        <v/>
      </c>
      <c r="I15" s="76" t="str">
        <f>IF(ISBLANK('Credit Instruction Record'!E31),"",'Credit Instruction Record'!E31)</f>
        <v/>
      </c>
      <c r="J15" s="76" t="str">
        <f>IF(ISBLANK('Credit Instruction Record'!F31),"",'Credit Instruction Record'!F31)</f>
        <v/>
      </c>
      <c r="K15" s="76" t="str">
        <f>IF(ISBLANK('Credit Instruction Record'!G31),"",'Credit Instruction Record'!G31)</f>
        <v/>
      </c>
      <c r="L15" s="76" t="str">
        <f>IF(ISBLANK('Credit Instruction Record'!H31),"",'Credit Instruction Record'!H31)</f>
        <v/>
      </c>
      <c r="M15" s="76" t="str">
        <f>IF(ISBLANK('Credit Instruction Record'!I31),"",'Credit Instruction Record'!I31)</f>
        <v/>
      </c>
      <c r="N15" s="76" t="str">
        <f>IF(ISBLANK('Credit Instruction Record'!J31),"",'Credit Instruction Record'!J31)</f>
        <v/>
      </c>
      <c r="O15" s="76" t="str">
        <f>IF(ISBLANK('Credit Instruction Record'!K31),"",'Credit Instruction Record'!K31)</f>
        <v/>
      </c>
      <c r="P15" s="84" t="b">
        <f t="shared" si="0"/>
        <v>1</v>
      </c>
    </row>
    <row r="16" spans="1:24" x14ac:dyDescent="0.3">
      <c r="C16" s="40"/>
      <c r="D16" s="75">
        <v>15</v>
      </c>
      <c r="E16" s="76" t="str">
        <f>IF(ISBLANK('Credit Instruction Record'!A33),"",'Credit Instruction Record'!A33)</f>
        <v/>
      </c>
      <c r="F16" s="76" t="str">
        <f>IF(ISBLANK('Credit Instruction Record'!B33),"",'Credit Instruction Record'!B33)</f>
        <v/>
      </c>
      <c r="G16" s="76" t="str">
        <f>IF(ISBLANK('Credit Instruction Record'!C33),"",'Credit Instruction Record'!C33)</f>
        <v>EUR</v>
      </c>
      <c r="H16" s="80" t="str">
        <f>IF(ISBLANK('Credit Instruction Record'!D33),"",'Credit Instruction Record'!D33)</f>
        <v/>
      </c>
      <c r="I16" s="76" t="str">
        <f>IF(ISBLANK('Credit Instruction Record'!E33),"",'Credit Instruction Record'!E33)</f>
        <v/>
      </c>
      <c r="J16" s="76" t="str">
        <f>IF(ISBLANK('Credit Instruction Record'!F33),"",'Credit Instruction Record'!F33)</f>
        <v/>
      </c>
      <c r="K16" s="76" t="str">
        <f>IF(ISBLANK('Credit Instruction Record'!G33),"",'Credit Instruction Record'!G33)</f>
        <v/>
      </c>
      <c r="L16" s="76" t="str">
        <f>IF(ISBLANK('Credit Instruction Record'!H33),"",'Credit Instruction Record'!H33)</f>
        <v/>
      </c>
      <c r="M16" s="76" t="str">
        <f>IF(ISBLANK('Credit Instruction Record'!I33),"",'Credit Instruction Record'!I33)</f>
        <v/>
      </c>
      <c r="N16" s="76" t="str">
        <f>IF(ISBLANK('Credit Instruction Record'!J33),"",'Credit Instruction Record'!J33)</f>
        <v/>
      </c>
      <c r="O16" s="76" t="str">
        <f>IF(ISBLANK('Credit Instruction Record'!K33),"",'Credit Instruction Record'!K33)</f>
        <v/>
      </c>
      <c r="P16" s="84" t="b">
        <f t="shared" si="0"/>
        <v>1</v>
      </c>
      <c r="R16" s="102" t="s">
        <v>141</v>
      </c>
      <c r="S16" s="103"/>
      <c r="T16" s="103"/>
      <c r="U16" s="103"/>
      <c r="V16" s="103"/>
      <c r="W16" s="103"/>
      <c r="X16" s="104"/>
    </row>
    <row r="17" spans="3:24" x14ac:dyDescent="0.3">
      <c r="C17" s="40"/>
      <c r="D17" s="75">
        <v>16</v>
      </c>
      <c r="E17" s="76" t="str">
        <f>IF(ISBLANK('Credit Instruction Record'!A35),"",'Credit Instruction Record'!A35)</f>
        <v/>
      </c>
      <c r="F17" s="76" t="str">
        <f>IF(ISBLANK('Credit Instruction Record'!B35),"",'Credit Instruction Record'!B35)</f>
        <v/>
      </c>
      <c r="G17" s="76" t="str">
        <f>IF(ISBLANK('Credit Instruction Record'!C35),"",'Credit Instruction Record'!C35)</f>
        <v>EUR</v>
      </c>
      <c r="H17" s="80" t="str">
        <f>IF(ISBLANK('Credit Instruction Record'!D35),"",'Credit Instruction Record'!D35)</f>
        <v/>
      </c>
      <c r="I17" s="76" t="str">
        <f>IF(ISBLANK('Credit Instruction Record'!E35),"",'Credit Instruction Record'!E35)</f>
        <v/>
      </c>
      <c r="J17" s="76" t="str">
        <f>IF(ISBLANK('Credit Instruction Record'!F35),"",'Credit Instruction Record'!F35)</f>
        <v/>
      </c>
      <c r="K17" s="76" t="str">
        <f>IF(ISBLANK('Credit Instruction Record'!G35),"",'Credit Instruction Record'!G35)</f>
        <v/>
      </c>
      <c r="L17" s="76" t="str">
        <f>IF(ISBLANK('Credit Instruction Record'!H35),"",'Credit Instruction Record'!H35)</f>
        <v/>
      </c>
      <c r="M17" s="76" t="str">
        <f>IF(ISBLANK('Credit Instruction Record'!I35),"",'Credit Instruction Record'!I35)</f>
        <v/>
      </c>
      <c r="N17" s="76" t="str">
        <f>IF(ISBLANK('Credit Instruction Record'!J35),"",'Credit Instruction Record'!J35)</f>
        <v/>
      </c>
      <c r="O17" s="76" t="str">
        <f>IF(ISBLANK('Credit Instruction Record'!K35),"",'Credit Instruction Record'!K35)</f>
        <v/>
      </c>
      <c r="P17" s="84" t="b">
        <f t="shared" si="0"/>
        <v>1</v>
      </c>
      <c r="R17" s="105"/>
      <c r="S17" s="106"/>
      <c r="T17" s="106"/>
      <c r="U17" s="106"/>
      <c r="V17" s="106"/>
      <c r="W17" s="106"/>
      <c r="X17" s="107"/>
    </row>
    <row r="18" spans="3:24" x14ac:dyDescent="0.3">
      <c r="C18" s="40"/>
      <c r="D18" s="75">
        <v>17</v>
      </c>
      <c r="E18" s="76" t="str">
        <f>IF(ISBLANK('Credit Instruction Record'!A37),"",'Credit Instruction Record'!A37)</f>
        <v/>
      </c>
      <c r="F18" s="76" t="str">
        <f>IF(ISBLANK('Credit Instruction Record'!B37),"",'Credit Instruction Record'!B37)</f>
        <v/>
      </c>
      <c r="G18" s="76" t="str">
        <f>IF(ISBLANK('Credit Instruction Record'!C37),"",'Credit Instruction Record'!C37)</f>
        <v>EUR</v>
      </c>
      <c r="H18" s="80" t="str">
        <f>IF(ISBLANK('Credit Instruction Record'!D37),"",'Credit Instruction Record'!D37)</f>
        <v/>
      </c>
      <c r="I18" s="76" t="str">
        <f>IF(ISBLANK('Credit Instruction Record'!E37),"",'Credit Instruction Record'!E37)</f>
        <v/>
      </c>
      <c r="J18" s="76" t="str">
        <f>IF(ISBLANK('Credit Instruction Record'!F37),"",'Credit Instruction Record'!F37)</f>
        <v/>
      </c>
      <c r="K18" s="76" t="str">
        <f>IF(ISBLANK('Credit Instruction Record'!G37),"",'Credit Instruction Record'!G37)</f>
        <v/>
      </c>
      <c r="L18" s="76" t="str">
        <f>IF(ISBLANK('Credit Instruction Record'!H37),"",'Credit Instruction Record'!H37)</f>
        <v/>
      </c>
      <c r="M18" s="76" t="str">
        <f>IF(ISBLANK('Credit Instruction Record'!I37),"",'Credit Instruction Record'!I37)</f>
        <v/>
      </c>
      <c r="N18" s="76" t="str">
        <f>IF(ISBLANK('Credit Instruction Record'!J37),"",'Credit Instruction Record'!J37)</f>
        <v/>
      </c>
      <c r="O18" s="76" t="str">
        <f>IF(ISBLANK('Credit Instruction Record'!K37),"",'Credit Instruction Record'!K37)</f>
        <v/>
      </c>
      <c r="P18" s="84" t="b">
        <f t="shared" si="0"/>
        <v>1</v>
      </c>
      <c r="R18" s="105"/>
      <c r="S18" s="106"/>
      <c r="T18" s="106"/>
      <c r="U18" s="106"/>
      <c r="V18" s="106"/>
      <c r="W18" s="106"/>
      <c r="X18" s="107"/>
    </row>
    <row r="19" spans="3:24" x14ac:dyDescent="0.3">
      <c r="C19" s="40"/>
      <c r="D19" s="75">
        <v>18</v>
      </c>
      <c r="E19" s="76" t="str">
        <f>IF(ISBLANK('Credit Instruction Record'!A39),"",'Credit Instruction Record'!A39)</f>
        <v/>
      </c>
      <c r="F19" s="76" t="str">
        <f>IF(ISBLANK('Credit Instruction Record'!B39),"",'Credit Instruction Record'!B39)</f>
        <v/>
      </c>
      <c r="G19" s="76" t="str">
        <f>IF(ISBLANK('Credit Instruction Record'!C39),"",'Credit Instruction Record'!C39)</f>
        <v>EUR</v>
      </c>
      <c r="H19" s="80" t="str">
        <f>IF(ISBLANK('Credit Instruction Record'!D39),"",'Credit Instruction Record'!D39)</f>
        <v/>
      </c>
      <c r="I19" s="76" t="str">
        <f>IF(ISBLANK('Credit Instruction Record'!E39),"",'Credit Instruction Record'!E39)</f>
        <v/>
      </c>
      <c r="J19" s="76" t="str">
        <f>IF(ISBLANK('Credit Instruction Record'!F39),"",'Credit Instruction Record'!F39)</f>
        <v/>
      </c>
      <c r="K19" s="76" t="str">
        <f>IF(ISBLANK('Credit Instruction Record'!G39),"",'Credit Instruction Record'!G39)</f>
        <v/>
      </c>
      <c r="L19" s="76" t="str">
        <f>IF(ISBLANK('Credit Instruction Record'!H39),"",'Credit Instruction Record'!H39)</f>
        <v/>
      </c>
      <c r="M19" s="76" t="str">
        <f>IF(ISBLANK('Credit Instruction Record'!I39),"",'Credit Instruction Record'!I39)</f>
        <v/>
      </c>
      <c r="N19" s="76" t="str">
        <f>IF(ISBLANK('Credit Instruction Record'!J39),"",'Credit Instruction Record'!J39)</f>
        <v/>
      </c>
      <c r="O19" s="76" t="str">
        <f>IF(ISBLANK('Credit Instruction Record'!K39),"",'Credit Instruction Record'!K39)</f>
        <v/>
      </c>
      <c r="P19" s="84" t="b">
        <f t="shared" si="0"/>
        <v>1</v>
      </c>
      <c r="R19" s="105"/>
      <c r="S19" s="106"/>
      <c r="T19" s="106"/>
      <c r="U19" s="106"/>
      <c r="V19" s="106"/>
      <c r="W19" s="106"/>
      <c r="X19" s="107"/>
    </row>
    <row r="20" spans="3:24" x14ac:dyDescent="0.3">
      <c r="C20" s="40"/>
      <c r="D20" s="75">
        <v>19</v>
      </c>
      <c r="E20" s="76" t="str">
        <f>IF(ISBLANK('Credit Instruction Record'!A41),"",'Credit Instruction Record'!A41)</f>
        <v/>
      </c>
      <c r="F20" s="76" t="str">
        <f>IF(ISBLANK('Credit Instruction Record'!B41),"",'Credit Instruction Record'!B41)</f>
        <v/>
      </c>
      <c r="G20" s="76" t="str">
        <f>IF(ISBLANK('Credit Instruction Record'!C41),"",'Credit Instruction Record'!C41)</f>
        <v>EUR</v>
      </c>
      <c r="H20" s="80" t="str">
        <f>IF(ISBLANK('Credit Instruction Record'!D41),"",'Credit Instruction Record'!D41)</f>
        <v/>
      </c>
      <c r="I20" s="76" t="str">
        <f>IF(ISBLANK('Credit Instruction Record'!E41),"",'Credit Instruction Record'!E41)</f>
        <v/>
      </c>
      <c r="J20" s="76" t="str">
        <f>IF(ISBLANK('Credit Instruction Record'!F41),"",'Credit Instruction Record'!F41)</f>
        <v/>
      </c>
      <c r="K20" s="76" t="str">
        <f>IF(ISBLANK('Credit Instruction Record'!G41),"",'Credit Instruction Record'!G41)</f>
        <v/>
      </c>
      <c r="L20" s="76" t="str">
        <f>IF(ISBLANK('Credit Instruction Record'!H41),"",'Credit Instruction Record'!H41)</f>
        <v/>
      </c>
      <c r="M20" s="76" t="str">
        <f>IF(ISBLANK('Credit Instruction Record'!I41),"",'Credit Instruction Record'!I41)</f>
        <v/>
      </c>
      <c r="N20" s="76" t="str">
        <f>IF(ISBLANK('Credit Instruction Record'!J41),"",'Credit Instruction Record'!J41)</f>
        <v/>
      </c>
      <c r="O20" s="76" t="str">
        <f>IF(ISBLANK('Credit Instruction Record'!K41),"",'Credit Instruction Record'!K41)</f>
        <v/>
      </c>
      <c r="P20" s="84" t="b">
        <f t="shared" si="0"/>
        <v>1</v>
      </c>
      <c r="R20" s="105"/>
      <c r="S20" s="106"/>
      <c r="T20" s="106"/>
      <c r="U20" s="106"/>
      <c r="V20" s="106"/>
      <c r="W20" s="106"/>
      <c r="X20" s="107"/>
    </row>
    <row r="21" spans="3:24" x14ac:dyDescent="0.3">
      <c r="C21" s="40"/>
      <c r="D21" s="75">
        <v>20</v>
      </c>
      <c r="E21" s="76" t="str">
        <f>IF(ISBLANK('Credit Instruction Record'!A43),"",'Credit Instruction Record'!A43)</f>
        <v/>
      </c>
      <c r="F21" s="76" t="str">
        <f>IF(ISBLANK('Credit Instruction Record'!B43),"",'Credit Instruction Record'!B43)</f>
        <v/>
      </c>
      <c r="G21" s="76" t="str">
        <f>IF(ISBLANK('Credit Instruction Record'!C43),"",'Credit Instruction Record'!C43)</f>
        <v>EUR</v>
      </c>
      <c r="H21" s="80" t="str">
        <f>IF(ISBLANK('Credit Instruction Record'!D43),"",'Credit Instruction Record'!D43)</f>
        <v/>
      </c>
      <c r="I21" s="76" t="str">
        <f>IF(ISBLANK('Credit Instruction Record'!E43),"",'Credit Instruction Record'!E43)</f>
        <v/>
      </c>
      <c r="J21" s="76" t="str">
        <f>IF(ISBLANK('Credit Instruction Record'!F43),"",'Credit Instruction Record'!F43)</f>
        <v/>
      </c>
      <c r="K21" s="76" t="str">
        <f>IF(ISBLANK('Credit Instruction Record'!G43),"",'Credit Instruction Record'!G43)</f>
        <v/>
      </c>
      <c r="L21" s="76" t="str">
        <f>IF(ISBLANK('Credit Instruction Record'!H43),"",'Credit Instruction Record'!H43)</f>
        <v/>
      </c>
      <c r="M21" s="76" t="str">
        <f>IF(ISBLANK('Credit Instruction Record'!I43),"",'Credit Instruction Record'!I43)</f>
        <v/>
      </c>
      <c r="N21" s="76" t="str">
        <f>IF(ISBLANK('Credit Instruction Record'!J43),"",'Credit Instruction Record'!J43)</f>
        <v/>
      </c>
      <c r="O21" s="76" t="str">
        <f>IF(ISBLANK('Credit Instruction Record'!K43),"",'Credit Instruction Record'!K43)</f>
        <v/>
      </c>
      <c r="P21" s="84" t="b">
        <f t="shared" si="0"/>
        <v>1</v>
      </c>
      <c r="R21" s="105"/>
      <c r="S21" s="106"/>
      <c r="T21" s="106"/>
      <c r="U21" s="106"/>
      <c r="V21" s="106"/>
      <c r="W21" s="106"/>
      <c r="X21" s="107"/>
    </row>
    <row r="22" spans="3:24" x14ac:dyDescent="0.3">
      <c r="C22" s="40"/>
      <c r="D22" s="75">
        <v>21</v>
      </c>
      <c r="E22" s="76" t="str">
        <f>IF(ISBLANK('Credit Instruction Record'!A45),"",'Credit Instruction Record'!A45)</f>
        <v/>
      </c>
      <c r="F22" s="76" t="str">
        <f>IF(ISBLANK('Credit Instruction Record'!B45),"",'Credit Instruction Record'!B45)</f>
        <v/>
      </c>
      <c r="G22" s="76" t="str">
        <f>IF(ISBLANK('Credit Instruction Record'!C45),"",'Credit Instruction Record'!C45)</f>
        <v>EUR</v>
      </c>
      <c r="H22" s="80" t="str">
        <f>IF(ISBLANK('Credit Instruction Record'!D45),"",'Credit Instruction Record'!D45)</f>
        <v/>
      </c>
      <c r="I22" s="76" t="str">
        <f>IF(ISBLANK('Credit Instruction Record'!E45),"",'Credit Instruction Record'!E45)</f>
        <v/>
      </c>
      <c r="J22" s="76" t="str">
        <f>IF(ISBLANK('Credit Instruction Record'!F45),"",'Credit Instruction Record'!F45)</f>
        <v/>
      </c>
      <c r="K22" s="76" t="str">
        <f>IF(ISBLANK('Credit Instruction Record'!G45),"",'Credit Instruction Record'!G45)</f>
        <v/>
      </c>
      <c r="L22" s="76" t="str">
        <f>IF(ISBLANK('Credit Instruction Record'!H45),"",'Credit Instruction Record'!H45)</f>
        <v/>
      </c>
      <c r="M22" s="76" t="str">
        <f>IF(ISBLANK('Credit Instruction Record'!I45),"",'Credit Instruction Record'!I45)</f>
        <v/>
      </c>
      <c r="N22" s="76" t="str">
        <f>IF(ISBLANK('Credit Instruction Record'!J45),"",'Credit Instruction Record'!J45)</f>
        <v/>
      </c>
      <c r="O22" s="76" t="str">
        <f>IF(ISBLANK('Credit Instruction Record'!K45),"",'Credit Instruction Record'!K45)</f>
        <v/>
      </c>
      <c r="P22" s="84" t="b">
        <f t="shared" si="0"/>
        <v>1</v>
      </c>
      <c r="R22" s="105"/>
      <c r="S22" s="106"/>
      <c r="T22" s="106"/>
      <c r="U22" s="106"/>
      <c r="V22" s="106"/>
      <c r="W22" s="106"/>
      <c r="X22" s="107"/>
    </row>
    <row r="23" spans="3:24" x14ac:dyDescent="0.3">
      <c r="C23" s="40"/>
      <c r="D23" s="75">
        <v>22</v>
      </c>
      <c r="E23" s="76" t="str">
        <f>IF(ISBLANK('Credit Instruction Record'!A47),"",'Credit Instruction Record'!A47)</f>
        <v/>
      </c>
      <c r="F23" s="76" t="str">
        <f>IF(ISBLANK('Credit Instruction Record'!B47),"",'Credit Instruction Record'!B47)</f>
        <v/>
      </c>
      <c r="G23" s="76" t="str">
        <f>IF(ISBLANK('Credit Instruction Record'!C47),"",'Credit Instruction Record'!C47)</f>
        <v>EUR</v>
      </c>
      <c r="H23" s="80" t="str">
        <f>IF(ISBLANK('Credit Instruction Record'!D47),"",'Credit Instruction Record'!D47)</f>
        <v/>
      </c>
      <c r="I23" s="76" t="str">
        <f>IF(ISBLANK('Credit Instruction Record'!E47),"",'Credit Instruction Record'!E47)</f>
        <v/>
      </c>
      <c r="J23" s="76" t="str">
        <f>IF(ISBLANK('Credit Instruction Record'!F47),"",'Credit Instruction Record'!F47)</f>
        <v/>
      </c>
      <c r="K23" s="76" t="str">
        <f>IF(ISBLANK('Credit Instruction Record'!G47),"",'Credit Instruction Record'!G47)</f>
        <v/>
      </c>
      <c r="L23" s="76" t="str">
        <f>IF(ISBLANK('Credit Instruction Record'!H47),"",'Credit Instruction Record'!H47)</f>
        <v/>
      </c>
      <c r="M23" s="76" t="str">
        <f>IF(ISBLANK('Credit Instruction Record'!I47),"",'Credit Instruction Record'!I47)</f>
        <v/>
      </c>
      <c r="N23" s="76" t="str">
        <f>IF(ISBLANK('Credit Instruction Record'!J47),"",'Credit Instruction Record'!J47)</f>
        <v/>
      </c>
      <c r="O23" s="76" t="str">
        <f>IF(ISBLANK('Credit Instruction Record'!K47),"",'Credit Instruction Record'!K47)</f>
        <v/>
      </c>
      <c r="P23" s="84" t="b">
        <f t="shared" si="0"/>
        <v>1</v>
      </c>
      <c r="R23" s="105"/>
      <c r="S23" s="106"/>
      <c r="T23" s="106"/>
      <c r="U23" s="106"/>
      <c r="V23" s="106"/>
      <c r="W23" s="106"/>
      <c r="X23" s="107"/>
    </row>
    <row r="24" spans="3:24" x14ac:dyDescent="0.3">
      <c r="C24" s="40"/>
      <c r="D24" s="75">
        <v>23</v>
      </c>
      <c r="E24" s="76" t="str">
        <f>IF(ISBLANK('Credit Instruction Record'!A49),"",'Credit Instruction Record'!A49)</f>
        <v/>
      </c>
      <c r="F24" s="76" t="str">
        <f>IF(ISBLANK('Credit Instruction Record'!B49),"",'Credit Instruction Record'!B49)</f>
        <v/>
      </c>
      <c r="G24" s="76" t="str">
        <f>IF(ISBLANK('Credit Instruction Record'!C49),"",'Credit Instruction Record'!C49)</f>
        <v>EUR</v>
      </c>
      <c r="H24" s="80" t="str">
        <f>IF(ISBLANK('Credit Instruction Record'!D49),"",'Credit Instruction Record'!D49)</f>
        <v/>
      </c>
      <c r="I24" s="76" t="str">
        <f>IF(ISBLANK('Credit Instruction Record'!E49),"",'Credit Instruction Record'!E49)</f>
        <v/>
      </c>
      <c r="J24" s="76" t="str">
        <f>IF(ISBLANK('Credit Instruction Record'!F49),"",'Credit Instruction Record'!F49)</f>
        <v/>
      </c>
      <c r="K24" s="76" t="str">
        <f>IF(ISBLANK('Credit Instruction Record'!G49),"",'Credit Instruction Record'!G49)</f>
        <v/>
      </c>
      <c r="L24" s="76" t="str">
        <f>IF(ISBLANK('Credit Instruction Record'!H49),"",'Credit Instruction Record'!H49)</f>
        <v/>
      </c>
      <c r="M24" s="76" t="str">
        <f>IF(ISBLANK('Credit Instruction Record'!I49),"",'Credit Instruction Record'!I49)</f>
        <v/>
      </c>
      <c r="N24" s="76" t="str">
        <f>IF(ISBLANK('Credit Instruction Record'!J49),"",'Credit Instruction Record'!J49)</f>
        <v/>
      </c>
      <c r="O24" s="76" t="str">
        <f>IF(ISBLANK('Credit Instruction Record'!K49),"",'Credit Instruction Record'!K49)</f>
        <v/>
      </c>
      <c r="P24" s="84" t="b">
        <f t="shared" si="0"/>
        <v>1</v>
      </c>
      <c r="R24" s="105"/>
      <c r="S24" s="106"/>
      <c r="T24" s="106"/>
      <c r="U24" s="106"/>
      <c r="V24" s="106"/>
      <c r="W24" s="106"/>
      <c r="X24" s="107"/>
    </row>
    <row r="25" spans="3:24" x14ac:dyDescent="0.3">
      <c r="C25" s="40"/>
      <c r="D25" s="75">
        <v>24</v>
      </c>
      <c r="E25" s="76" t="str">
        <f>IF(ISBLANK('Credit Instruction Record'!A51),"",'Credit Instruction Record'!A51)</f>
        <v/>
      </c>
      <c r="F25" s="76" t="str">
        <f>IF(ISBLANK('Credit Instruction Record'!B51),"",'Credit Instruction Record'!B51)</f>
        <v/>
      </c>
      <c r="G25" s="76" t="str">
        <f>IF(ISBLANK('Credit Instruction Record'!C51),"",'Credit Instruction Record'!C51)</f>
        <v>EUR</v>
      </c>
      <c r="H25" s="80" t="str">
        <f>IF(ISBLANK('Credit Instruction Record'!D51),"",'Credit Instruction Record'!D51)</f>
        <v/>
      </c>
      <c r="I25" s="76" t="str">
        <f>IF(ISBLANK('Credit Instruction Record'!E51),"",'Credit Instruction Record'!E51)</f>
        <v/>
      </c>
      <c r="J25" s="76" t="str">
        <f>IF(ISBLANK('Credit Instruction Record'!F51),"",'Credit Instruction Record'!F51)</f>
        <v/>
      </c>
      <c r="K25" s="76" t="str">
        <f>IF(ISBLANK('Credit Instruction Record'!G51),"",'Credit Instruction Record'!G51)</f>
        <v/>
      </c>
      <c r="L25" s="76" t="str">
        <f>IF(ISBLANK('Credit Instruction Record'!H51),"",'Credit Instruction Record'!H51)</f>
        <v/>
      </c>
      <c r="M25" s="76" t="str">
        <f>IF(ISBLANK('Credit Instruction Record'!I51),"",'Credit Instruction Record'!I51)</f>
        <v/>
      </c>
      <c r="N25" s="76" t="str">
        <f>IF(ISBLANK('Credit Instruction Record'!J51),"",'Credit Instruction Record'!J51)</f>
        <v/>
      </c>
      <c r="O25" s="76" t="str">
        <f>IF(ISBLANK('Credit Instruction Record'!K51),"",'Credit Instruction Record'!K51)</f>
        <v/>
      </c>
      <c r="P25" s="84" t="b">
        <f t="shared" si="0"/>
        <v>1</v>
      </c>
      <c r="R25" s="105"/>
      <c r="S25" s="106"/>
      <c r="T25" s="106"/>
      <c r="U25" s="106"/>
      <c r="V25" s="106"/>
      <c r="W25" s="106"/>
      <c r="X25" s="107"/>
    </row>
    <row r="26" spans="3:24" x14ac:dyDescent="0.3">
      <c r="C26" s="40"/>
      <c r="D26" s="75">
        <v>25</v>
      </c>
      <c r="E26" s="76" t="str">
        <f>IF(ISBLANK('Credit Instruction Record'!A53),"",'Credit Instruction Record'!A53)</f>
        <v/>
      </c>
      <c r="F26" s="76" t="str">
        <f>IF(ISBLANK('Credit Instruction Record'!B53),"",'Credit Instruction Record'!B53)</f>
        <v/>
      </c>
      <c r="G26" s="76" t="str">
        <f>IF(ISBLANK('Credit Instruction Record'!C53),"",'Credit Instruction Record'!C53)</f>
        <v>EUR</v>
      </c>
      <c r="H26" s="80" t="str">
        <f>IF(ISBLANK('Credit Instruction Record'!D53),"",'Credit Instruction Record'!D53)</f>
        <v/>
      </c>
      <c r="I26" s="76" t="str">
        <f>IF(ISBLANK('Credit Instruction Record'!E53),"",'Credit Instruction Record'!E53)</f>
        <v/>
      </c>
      <c r="J26" s="76" t="str">
        <f>IF(ISBLANK('Credit Instruction Record'!F53),"",'Credit Instruction Record'!F53)</f>
        <v/>
      </c>
      <c r="K26" s="76" t="str">
        <f>IF(ISBLANK('Credit Instruction Record'!G53),"",'Credit Instruction Record'!G53)</f>
        <v/>
      </c>
      <c r="L26" s="76" t="str">
        <f>IF(ISBLANK('Credit Instruction Record'!H53),"",'Credit Instruction Record'!H53)</f>
        <v/>
      </c>
      <c r="M26" s="76" t="str">
        <f>IF(ISBLANK('Credit Instruction Record'!I53),"",'Credit Instruction Record'!I53)</f>
        <v/>
      </c>
      <c r="N26" s="76" t="str">
        <f>IF(ISBLANK('Credit Instruction Record'!J53),"",'Credit Instruction Record'!J53)</f>
        <v/>
      </c>
      <c r="O26" s="76" t="str">
        <f>IF(ISBLANK('Credit Instruction Record'!K53),"",'Credit Instruction Record'!K53)</f>
        <v/>
      </c>
      <c r="P26" s="84" t="b">
        <f t="shared" si="0"/>
        <v>1</v>
      </c>
      <c r="R26" s="105"/>
      <c r="S26" s="106"/>
      <c r="T26" s="106"/>
      <c r="U26" s="106"/>
      <c r="V26" s="106"/>
      <c r="W26" s="106"/>
      <c r="X26" s="107"/>
    </row>
    <row r="27" spans="3:24" x14ac:dyDescent="0.3">
      <c r="C27" s="40"/>
      <c r="D27" s="75">
        <v>26</v>
      </c>
      <c r="E27" s="76" t="str">
        <f>IF(ISBLANK('Credit Instruction Record'!A55),"",'Credit Instruction Record'!A55)</f>
        <v/>
      </c>
      <c r="F27" s="76" t="str">
        <f>IF(ISBLANK('Credit Instruction Record'!B55),"",'Credit Instruction Record'!B55)</f>
        <v/>
      </c>
      <c r="G27" s="76" t="str">
        <f>IF(ISBLANK('Credit Instruction Record'!C55),"",'Credit Instruction Record'!C55)</f>
        <v>EUR</v>
      </c>
      <c r="H27" s="80" t="str">
        <f>IF(ISBLANK('Credit Instruction Record'!D55),"",'Credit Instruction Record'!D55)</f>
        <v/>
      </c>
      <c r="I27" s="76" t="str">
        <f>IF(ISBLANK('Credit Instruction Record'!E55),"",'Credit Instruction Record'!E55)</f>
        <v/>
      </c>
      <c r="J27" s="76" t="str">
        <f>IF(ISBLANK('Credit Instruction Record'!F55),"",'Credit Instruction Record'!F55)</f>
        <v/>
      </c>
      <c r="K27" s="76" t="str">
        <f>IF(ISBLANK('Credit Instruction Record'!G55),"",'Credit Instruction Record'!G55)</f>
        <v/>
      </c>
      <c r="L27" s="76" t="str">
        <f>IF(ISBLANK('Credit Instruction Record'!H55),"",'Credit Instruction Record'!H55)</f>
        <v/>
      </c>
      <c r="M27" s="76" t="str">
        <f>IF(ISBLANK('Credit Instruction Record'!I55),"",'Credit Instruction Record'!I55)</f>
        <v/>
      </c>
      <c r="N27" s="76" t="str">
        <f>IF(ISBLANK('Credit Instruction Record'!J55),"",'Credit Instruction Record'!J55)</f>
        <v/>
      </c>
      <c r="O27" s="76" t="str">
        <f>IF(ISBLANK('Credit Instruction Record'!K55),"",'Credit Instruction Record'!K55)</f>
        <v/>
      </c>
      <c r="P27" s="84" t="b">
        <f t="shared" si="0"/>
        <v>1</v>
      </c>
      <c r="R27" s="105"/>
      <c r="S27" s="106"/>
      <c r="T27" s="106"/>
      <c r="U27" s="106"/>
      <c r="V27" s="106"/>
      <c r="W27" s="106"/>
      <c r="X27" s="107"/>
    </row>
    <row r="28" spans="3:24" ht="15" thickBot="1" x14ac:dyDescent="0.35">
      <c r="C28" s="40"/>
      <c r="D28" s="75">
        <v>27</v>
      </c>
      <c r="E28" s="76" t="str">
        <f>IF(ISBLANK('Credit Instruction Record'!A57),"",'Credit Instruction Record'!A57)</f>
        <v/>
      </c>
      <c r="F28" s="76" t="str">
        <f>IF(ISBLANK('Credit Instruction Record'!B57),"",'Credit Instruction Record'!B57)</f>
        <v/>
      </c>
      <c r="G28" s="76" t="str">
        <f>IF(ISBLANK('Credit Instruction Record'!C57),"",'Credit Instruction Record'!C57)</f>
        <v>EUR</v>
      </c>
      <c r="H28" s="80" t="str">
        <f>IF(ISBLANK('Credit Instruction Record'!D57),"",'Credit Instruction Record'!D57)</f>
        <v/>
      </c>
      <c r="I28" s="76" t="str">
        <f>IF(ISBLANK('Credit Instruction Record'!E57),"",'Credit Instruction Record'!E57)</f>
        <v/>
      </c>
      <c r="J28" s="76" t="str">
        <f>IF(ISBLANK('Credit Instruction Record'!F57),"",'Credit Instruction Record'!F57)</f>
        <v/>
      </c>
      <c r="K28" s="76" t="str">
        <f>IF(ISBLANK('Credit Instruction Record'!G57),"",'Credit Instruction Record'!G57)</f>
        <v/>
      </c>
      <c r="L28" s="76" t="str">
        <f>IF(ISBLANK('Credit Instruction Record'!H57),"",'Credit Instruction Record'!H57)</f>
        <v/>
      </c>
      <c r="M28" s="76" t="str">
        <f>IF(ISBLANK('Credit Instruction Record'!I57),"",'Credit Instruction Record'!I57)</f>
        <v/>
      </c>
      <c r="N28" s="76" t="str">
        <f>IF(ISBLANK('Credit Instruction Record'!J57),"",'Credit Instruction Record'!J57)</f>
        <v/>
      </c>
      <c r="O28" s="76" t="str">
        <f>IF(ISBLANK('Credit Instruction Record'!K57),"",'Credit Instruction Record'!K57)</f>
        <v/>
      </c>
      <c r="P28" s="84" t="b">
        <f t="shared" si="0"/>
        <v>1</v>
      </c>
      <c r="R28" s="108"/>
      <c r="S28" s="109"/>
      <c r="T28" s="109"/>
      <c r="U28" s="109"/>
      <c r="V28" s="109"/>
      <c r="W28" s="109"/>
      <c r="X28" s="110"/>
    </row>
    <row r="29" spans="3:24" ht="15" customHeight="1" x14ac:dyDescent="0.3">
      <c r="C29" s="40"/>
      <c r="D29" s="75">
        <v>28</v>
      </c>
      <c r="E29" s="76" t="str">
        <f>IF(ISBLANK('Credit Instruction Record'!A59),"",'Credit Instruction Record'!A59)</f>
        <v/>
      </c>
      <c r="F29" s="76" t="str">
        <f>IF(ISBLANK('Credit Instruction Record'!B59),"",'Credit Instruction Record'!B59)</f>
        <v/>
      </c>
      <c r="G29" s="76" t="str">
        <f>IF(ISBLANK('Credit Instruction Record'!C59),"",'Credit Instruction Record'!C59)</f>
        <v>EUR</v>
      </c>
      <c r="H29" s="80" t="str">
        <f>IF(ISBLANK('Credit Instruction Record'!D59),"",'Credit Instruction Record'!D59)</f>
        <v/>
      </c>
      <c r="I29" s="76" t="str">
        <f>IF(ISBLANK('Credit Instruction Record'!E59),"",'Credit Instruction Record'!E59)</f>
        <v/>
      </c>
      <c r="J29" s="76" t="str">
        <f>IF(ISBLANK('Credit Instruction Record'!F59),"",'Credit Instruction Record'!F59)</f>
        <v/>
      </c>
      <c r="K29" s="76" t="str">
        <f>IF(ISBLANK('Credit Instruction Record'!G59),"",'Credit Instruction Record'!G59)</f>
        <v/>
      </c>
      <c r="L29" s="76" t="str">
        <f>IF(ISBLANK('Credit Instruction Record'!H59),"",'Credit Instruction Record'!H59)</f>
        <v/>
      </c>
      <c r="M29" s="76" t="str">
        <f>IF(ISBLANK('Credit Instruction Record'!I59),"",'Credit Instruction Record'!I59)</f>
        <v/>
      </c>
      <c r="N29" s="76" t="str">
        <f>IF(ISBLANK('Credit Instruction Record'!J59),"",'Credit Instruction Record'!J59)</f>
        <v/>
      </c>
      <c r="O29" s="76" t="str">
        <f>IF(ISBLANK('Credit Instruction Record'!K59),"",'Credit Instruction Record'!K59)</f>
        <v/>
      </c>
      <c r="P29" s="84" t="b">
        <f t="shared" si="0"/>
        <v>1</v>
      </c>
    </row>
    <row r="30" spans="3:24" x14ac:dyDescent="0.3">
      <c r="C30" s="40"/>
      <c r="D30" s="75">
        <v>29</v>
      </c>
      <c r="E30" s="76" t="str">
        <f>IF(ISBLANK('Credit Instruction Record'!A61),"",'Credit Instruction Record'!A61)</f>
        <v/>
      </c>
      <c r="F30" s="76" t="str">
        <f>IF(ISBLANK('Credit Instruction Record'!B61),"",'Credit Instruction Record'!B61)</f>
        <v/>
      </c>
      <c r="G30" s="76" t="str">
        <f>IF(ISBLANK('Credit Instruction Record'!C61),"",'Credit Instruction Record'!C61)</f>
        <v>EUR</v>
      </c>
      <c r="H30" s="80" t="str">
        <f>IF(ISBLANK('Credit Instruction Record'!D61),"",'Credit Instruction Record'!D61)</f>
        <v/>
      </c>
      <c r="I30" s="76" t="str">
        <f>IF(ISBLANK('Credit Instruction Record'!E61),"",'Credit Instruction Record'!E61)</f>
        <v/>
      </c>
      <c r="J30" s="76" t="str">
        <f>IF(ISBLANK('Credit Instruction Record'!F61),"",'Credit Instruction Record'!F61)</f>
        <v/>
      </c>
      <c r="K30" s="76" t="str">
        <f>IF(ISBLANK('Credit Instruction Record'!G61),"",'Credit Instruction Record'!G61)</f>
        <v/>
      </c>
      <c r="L30" s="76" t="str">
        <f>IF(ISBLANK('Credit Instruction Record'!H61),"",'Credit Instruction Record'!H61)</f>
        <v/>
      </c>
      <c r="M30" s="76" t="str">
        <f>IF(ISBLANK('Credit Instruction Record'!I61),"",'Credit Instruction Record'!I61)</f>
        <v/>
      </c>
      <c r="N30" s="76" t="str">
        <f>IF(ISBLANK('Credit Instruction Record'!J61),"",'Credit Instruction Record'!J61)</f>
        <v/>
      </c>
      <c r="O30" s="76" t="str">
        <f>IF(ISBLANK('Credit Instruction Record'!K61),"",'Credit Instruction Record'!K61)</f>
        <v/>
      </c>
      <c r="P30" s="84" t="b">
        <f t="shared" si="0"/>
        <v>1</v>
      </c>
    </row>
    <row r="31" spans="3:24" x14ac:dyDescent="0.3">
      <c r="C31" s="40"/>
      <c r="D31" s="75">
        <v>30</v>
      </c>
      <c r="E31" s="76" t="str">
        <f>IF(ISBLANK('Credit Instruction Record'!A63),"",'Credit Instruction Record'!A63)</f>
        <v/>
      </c>
      <c r="F31" s="76" t="str">
        <f>IF(ISBLANK('Credit Instruction Record'!B63),"",'Credit Instruction Record'!B63)</f>
        <v/>
      </c>
      <c r="G31" s="76" t="str">
        <f>IF(ISBLANK('Credit Instruction Record'!C63),"",'Credit Instruction Record'!C63)</f>
        <v>EUR</v>
      </c>
      <c r="H31" s="80" t="str">
        <f>IF(ISBLANK('Credit Instruction Record'!D63),"",'Credit Instruction Record'!D63)</f>
        <v/>
      </c>
      <c r="I31" s="76" t="str">
        <f>IF(ISBLANK('Credit Instruction Record'!E63),"",'Credit Instruction Record'!E63)</f>
        <v/>
      </c>
      <c r="J31" s="76" t="str">
        <f>IF(ISBLANK('Credit Instruction Record'!F63),"",'Credit Instruction Record'!F63)</f>
        <v/>
      </c>
      <c r="K31" s="76" t="str">
        <f>IF(ISBLANK('Credit Instruction Record'!G63),"",'Credit Instruction Record'!G63)</f>
        <v/>
      </c>
      <c r="L31" s="76" t="str">
        <f>IF(ISBLANK('Credit Instruction Record'!H63),"",'Credit Instruction Record'!H63)</f>
        <v/>
      </c>
      <c r="M31" s="76" t="str">
        <f>IF(ISBLANK('Credit Instruction Record'!I63),"",'Credit Instruction Record'!I63)</f>
        <v/>
      </c>
      <c r="N31" s="76" t="str">
        <f>IF(ISBLANK('Credit Instruction Record'!J63),"",'Credit Instruction Record'!J63)</f>
        <v/>
      </c>
      <c r="O31" s="76" t="str">
        <f>IF(ISBLANK('Credit Instruction Record'!K63),"",'Credit Instruction Record'!K63)</f>
        <v/>
      </c>
      <c r="P31" s="84" t="b">
        <f t="shared" si="0"/>
        <v>1</v>
      </c>
    </row>
    <row r="32" spans="3:24" x14ac:dyDescent="0.3">
      <c r="C32" s="40"/>
      <c r="D32" s="75">
        <v>31</v>
      </c>
      <c r="E32" s="76" t="str">
        <f>IF(ISBLANK('Credit Instruction Record'!A65),"",'Credit Instruction Record'!A65)</f>
        <v/>
      </c>
      <c r="F32" s="76" t="str">
        <f>IF(ISBLANK('Credit Instruction Record'!B65),"",'Credit Instruction Record'!B65)</f>
        <v/>
      </c>
      <c r="G32" s="76" t="str">
        <f>IF(ISBLANK('Credit Instruction Record'!C65),"",'Credit Instruction Record'!C65)</f>
        <v>EUR</v>
      </c>
      <c r="H32" s="80" t="str">
        <f>IF(ISBLANK('Credit Instruction Record'!D65),"",'Credit Instruction Record'!D65)</f>
        <v/>
      </c>
      <c r="I32" s="76" t="str">
        <f>IF(ISBLANK('Credit Instruction Record'!E65),"",'Credit Instruction Record'!E65)</f>
        <v/>
      </c>
      <c r="J32" s="76" t="str">
        <f>IF(ISBLANK('Credit Instruction Record'!F65),"",'Credit Instruction Record'!F65)</f>
        <v/>
      </c>
      <c r="K32" s="76" t="str">
        <f>IF(ISBLANK('Credit Instruction Record'!G65),"",'Credit Instruction Record'!G65)</f>
        <v/>
      </c>
      <c r="L32" s="76" t="str">
        <f>IF(ISBLANK('Credit Instruction Record'!H65),"",'Credit Instruction Record'!H65)</f>
        <v/>
      </c>
      <c r="M32" s="76" t="str">
        <f>IF(ISBLANK('Credit Instruction Record'!I65),"",'Credit Instruction Record'!I65)</f>
        <v/>
      </c>
      <c r="N32" s="76" t="str">
        <f>IF(ISBLANK('Credit Instruction Record'!J65),"",'Credit Instruction Record'!J65)</f>
        <v/>
      </c>
      <c r="O32" s="76" t="str">
        <f>IF(ISBLANK('Credit Instruction Record'!K65),"",'Credit Instruction Record'!K65)</f>
        <v/>
      </c>
      <c r="P32" s="84" t="b">
        <f t="shared" si="0"/>
        <v>1</v>
      </c>
    </row>
    <row r="33" spans="3:16" x14ac:dyDescent="0.3">
      <c r="C33" s="40"/>
      <c r="D33" s="75">
        <v>32</v>
      </c>
      <c r="E33" s="76" t="str">
        <f>IF(ISBLANK('Credit Instruction Record'!A67),"",'Credit Instruction Record'!A67)</f>
        <v/>
      </c>
      <c r="F33" s="76" t="str">
        <f>IF(ISBLANK('Credit Instruction Record'!B67),"",'Credit Instruction Record'!B67)</f>
        <v/>
      </c>
      <c r="G33" s="76" t="str">
        <f>IF(ISBLANK('Credit Instruction Record'!C67),"",'Credit Instruction Record'!C67)</f>
        <v>EUR</v>
      </c>
      <c r="H33" s="80" t="str">
        <f>IF(ISBLANK('Credit Instruction Record'!D67),"",'Credit Instruction Record'!D67)</f>
        <v/>
      </c>
      <c r="I33" s="76" t="str">
        <f>IF(ISBLANK('Credit Instruction Record'!E67),"",'Credit Instruction Record'!E67)</f>
        <v/>
      </c>
      <c r="J33" s="76" t="str">
        <f>IF(ISBLANK('Credit Instruction Record'!F67),"",'Credit Instruction Record'!F67)</f>
        <v/>
      </c>
      <c r="K33" s="76" t="str">
        <f>IF(ISBLANK('Credit Instruction Record'!G67),"",'Credit Instruction Record'!G67)</f>
        <v/>
      </c>
      <c r="L33" s="76" t="str">
        <f>IF(ISBLANK('Credit Instruction Record'!H67),"",'Credit Instruction Record'!H67)</f>
        <v/>
      </c>
      <c r="M33" s="76" t="str">
        <f>IF(ISBLANK('Credit Instruction Record'!I67),"",'Credit Instruction Record'!I67)</f>
        <v/>
      </c>
      <c r="N33" s="76" t="str">
        <f>IF(ISBLANK('Credit Instruction Record'!J67),"",'Credit Instruction Record'!J67)</f>
        <v/>
      </c>
      <c r="O33" s="76" t="str">
        <f>IF(ISBLANK('Credit Instruction Record'!K67),"",'Credit Instruction Record'!K67)</f>
        <v/>
      </c>
      <c r="P33" s="84" t="b">
        <f t="shared" si="0"/>
        <v>1</v>
      </c>
    </row>
    <row r="34" spans="3:16" x14ac:dyDescent="0.3">
      <c r="C34" s="40"/>
      <c r="D34" s="75">
        <v>33</v>
      </c>
      <c r="E34" s="76" t="str">
        <f>IF(ISBLANK('Credit Instruction Record'!A69),"",'Credit Instruction Record'!A69)</f>
        <v/>
      </c>
      <c r="F34" s="76" t="str">
        <f>IF(ISBLANK('Credit Instruction Record'!B69),"",'Credit Instruction Record'!B69)</f>
        <v/>
      </c>
      <c r="G34" s="76" t="str">
        <f>IF(ISBLANK('Credit Instruction Record'!C69),"",'Credit Instruction Record'!C69)</f>
        <v>EUR</v>
      </c>
      <c r="H34" s="76" t="str">
        <f>IF(ISBLANK('Credit Instruction Record'!D69),"",'Credit Instruction Record'!D69)</f>
        <v/>
      </c>
      <c r="I34" s="76" t="str">
        <f>IF(ISBLANK('Credit Instruction Record'!E69),"",'Credit Instruction Record'!E69)</f>
        <v/>
      </c>
      <c r="J34" s="76" t="str">
        <f>IF(ISBLANK('Credit Instruction Record'!F69),"",'Credit Instruction Record'!F69)</f>
        <v/>
      </c>
      <c r="K34" s="76" t="str">
        <f>IF(ISBLANK('Credit Instruction Record'!G69),"",'Credit Instruction Record'!G69)</f>
        <v/>
      </c>
      <c r="L34" s="76" t="str">
        <f>IF(ISBLANK('Credit Instruction Record'!H69),"",'Credit Instruction Record'!H69)</f>
        <v/>
      </c>
      <c r="M34" s="76" t="str">
        <f>IF(ISBLANK('Credit Instruction Record'!I69),"",'Credit Instruction Record'!I69)</f>
        <v/>
      </c>
      <c r="N34" s="76" t="str">
        <f>IF(ISBLANK('Credit Instruction Record'!J69),"",'Credit Instruction Record'!J69)</f>
        <v/>
      </c>
      <c r="O34" s="76" t="str">
        <f>IF(ISBLANK('Credit Instruction Record'!K69),"",'Credit Instruction Record'!K69)</f>
        <v/>
      </c>
      <c r="P34" s="84" t="b">
        <f t="shared" ref="P34:P51" si="1">M34=""</f>
        <v>1</v>
      </c>
    </row>
    <row r="35" spans="3:16" x14ac:dyDescent="0.3">
      <c r="C35" s="40"/>
      <c r="D35" s="75">
        <v>34</v>
      </c>
      <c r="E35" s="76" t="str">
        <f>IF(ISBLANK('Credit Instruction Record'!A71),"",'Credit Instruction Record'!A71)</f>
        <v/>
      </c>
      <c r="F35" s="76" t="str">
        <f>IF(ISBLANK('Credit Instruction Record'!B71),"",'Credit Instruction Record'!B71)</f>
        <v/>
      </c>
      <c r="G35" s="76" t="str">
        <f>IF(ISBLANK('Credit Instruction Record'!C71),"",'Credit Instruction Record'!C71)</f>
        <v>EUR</v>
      </c>
      <c r="H35" s="76" t="str">
        <f>IF(ISBLANK('Credit Instruction Record'!D71),"",'Credit Instruction Record'!D71)</f>
        <v/>
      </c>
      <c r="I35" s="76" t="str">
        <f>IF(ISBLANK('Credit Instruction Record'!E71),"",'Credit Instruction Record'!E71)</f>
        <v/>
      </c>
      <c r="J35" s="76" t="str">
        <f>IF(ISBLANK('Credit Instruction Record'!F71),"",'Credit Instruction Record'!F71)</f>
        <v/>
      </c>
      <c r="K35" s="76" t="str">
        <f>IF(ISBLANK('Credit Instruction Record'!G71),"",'Credit Instruction Record'!G71)</f>
        <v/>
      </c>
      <c r="L35" s="76" t="str">
        <f>IF(ISBLANK('Credit Instruction Record'!H71),"",'Credit Instruction Record'!H71)</f>
        <v/>
      </c>
      <c r="M35" s="76" t="str">
        <f>IF(ISBLANK('Credit Instruction Record'!I71),"",'Credit Instruction Record'!I71)</f>
        <v/>
      </c>
      <c r="N35" s="76" t="str">
        <f>IF(ISBLANK('Credit Instruction Record'!J71),"",'Credit Instruction Record'!J71)</f>
        <v/>
      </c>
      <c r="O35" s="76" t="str">
        <f>IF(ISBLANK('Credit Instruction Record'!K71),"",'Credit Instruction Record'!K71)</f>
        <v/>
      </c>
      <c r="P35" s="84" t="b">
        <f t="shared" si="1"/>
        <v>1</v>
      </c>
    </row>
    <row r="36" spans="3:16" x14ac:dyDescent="0.3">
      <c r="C36" s="40"/>
      <c r="D36" s="75">
        <v>35</v>
      </c>
      <c r="E36" s="76" t="str">
        <f>IF(ISBLANK('Credit Instruction Record'!A69),"",'Credit Instruction Record'!A69)</f>
        <v/>
      </c>
      <c r="F36" s="76" t="str">
        <f>IF(ISBLANK('Credit Instruction Record'!B69),"",'Credit Instruction Record'!B69)</f>
        <v/>
      </c>
      <c r="G36" s="76" t="str">
        <f>IF(ISBLANK('Credit Instruction Record'!C69),"",'Credit Instruction Record'!C69)</f>
        <v>EUR</v>
      </c>
      <c r="H36" s="76" t="str">
        <f>IF(ISBLANK('Credit Instruction Record'!D69),"",'Credit Instruction Record'!D69)</f>
        <v/>
      </c>
      <c r="I36" s="76" t="str">
        <f>IF(ISBLANK('Credit Instruction Record'!E69),"",'Credit Instruction Record'!E69)</f>
        <v/>
      </c>
      <c r="J36" s="76" t="str">
        <f>IF(ISBLANK('Credit Instruction Record'!F69),"",'Credit Instruction Record'!F69)</f>
        <v/>
      </c>
      <c r="K36" s="76" t="str">
        <f>IF(ISBLANK('Credit Instruction Record'!G69),"",'Credit Instruction Record'!G69)</f>
        <v/>
      </c>
      <c r="L36" s="76" t="str">
        <f>IF(ISBLANK('Credit Instruction Record'!H69),"",'Credit Instruction Record'!H69)</f>
        <v/>
      </c>
      <c r="M36" s="76" t="str">
        <f>IF(ISBLANK('Credit Instruction Record'!I69),"",'Credit Instruction Record'!I69)</f>
        <v/>
      </c>
      <c r="N36" s="76" t="str">
        <f>IF(ISBLANK('Credit Instruction Record'!J69),"",'Credit Instruction Record'!J69)</f>
        <v/>
      </c>
      <c r="O36" s="76" t="str">
        <f>IF(ISBLANK('Credit Instruction Record'!K69),"",'Credit Instruction Record'!K69)</f>
        <v/>
      </c>
      <c r="P36" s="84" t="b">
        <f t="shared" si="1"/>
        <v>1</v>
      </c>
    </row>
    <row r="37" spans="3:16" x14ac:dyDescent="0.3">
      <c r="C37" s="40"/>
      <c r="D37" s="75">
        <v>36</v>
      </c>
      <c r="E37" s="76" t="str">
        <f>IF(ISBLANK('Credit Instruction Record'!A73),"",'Credit Instruction Record'!A73)</f>
        <v/>
      </c>
      <c r="F37" s="76" t="str">
        <f>IF(ISBLANK('Credit Instruction Record'!B73),"",'Credit Instruction Record'!B73)</f>
        <v/>
      </c>
      <c r="G37" s="76" t="str">
        <f>IF(ISBLANK('Credit Instruction Record'!C73),"",'Credit Instruction Record'!C73)</f>
        <v>EUR</v>
      </c>
      <c r="H37" s="76" t="str">
        <f>IF(ISBLANK('Credit Instruction Record'!D73),"",'Credit Instruction Record'!D73)</f>
        <v/>
      </c>
      <c r="I37" s="76" t="str">
        <f>IF(ISBLANK('Credit Instruction Record'!E73),"",'Credit Instruction Record'!E73)</f>
        <v/>
      </c>
      <c r="J37" s="76" t="str">
        <f>IF(ISBLANK('Credit Instruction Record'!F73),"",'Credit Instruction Record'!F73)</f>
        <v/>
      </c>
      <c r="K37" s="76" t="str">
        <f>IF(ISBLANK('Credit Instruction Record'!G73),"",'Credit Instruction Record'!G73)</f>
        <v/>
      </c>
      <c r="L37" s="76" t="str">
        <f>IF(ISBLANK('Credit Instruction Record'!H73),"",'Credit Instruction Record'!H73)</f>
        <v/>
      </c>
      <c r="M37" s="76" t="str">
        <f>IF(ISBLANK('Credit Instruction Record'!I73),"",'Credit Instruction Record'!I73)</f>
        <v/>
      </c>
      <c r="N37" s="76" t="str">
        <f>IF(ISBLANK('Credit Instruction Record'!J73),"",'Credit Instruction Record'!J73)</f>
        <v/>
      </c>
      <c r="O37" s="76" t="str">
        <f>IF(ISBLANK('Credit Instruction Record'!K73),"",'Credit Instruction Record'!K73)</f>
        <v/>
      </c>
      <c r="P37" s="84" t="b">
        <f t="shared" si="1"/>
        <v>1</v>
      </c>
    </row>
    <row r="38" spans="3:16" x14ac:dyDescent="0.3">
      <c r="C38" s="40"/>
      <c r="D38" s="75">
        <v>37</v>
      </c>
      <c r="E38" s="76" t="str">
        <f>IF(ISBLANK('Credit Instruction Record'!A75),"",'Credit Instruction Record'!A75)</f>
        <v/>
      </c>
      <c r="F38" s="76" t="str">
        <f>IF(ISBLANK('Credit Instruction Record'!B75),"",'Credit Instruction Record'!B75)</f>
        <v/>
      </c>
      <c r="G38" s="76" t="str">
        <f>IF(ISBLANK('Credit Instruction Record'!C75),"",'Credit Instruction Record'!C75)</f>
        <v>EUR</v>
      </c>
      <c r="H38" s="76" t="str">
        <f>IF(ISBLANK('Credit Instruction Record'!D75),"",'Credit Instruction Record'!D75)</f>
        <v/>
      </c>
      <c r="I38" s="76" t="str">
        <f>IF(ISBLANK('Credit Instruction Record'!E75),"",'Credit Instruction Record'!E75)</f>
        <v/>
      </c>
      <c r="J38" s="76" t="str">
        <f>IF(ISBLANK('Credit Instruction Record'!F75),"",'Credit Instruction Record'!F75)</f>
        <v/>
      </c>
      <c r="K38" s="76" t="str">
        <f>IF(ISBLANK('Credit Instruction Record'!G75),"",'Credit Instruction Record'!G75)</f>
        <v/>
      </c>
      <c r="L38" s="76" t="str">
        <f>IF(ISBLANK('Credit Instruction Record'!H75),"",'Credit Instruction Record'!H75)</f>
        <v/>
      </c>
      <c r="M38" s="76" t="str">
        <f>IF(ISBLANK('Credit Instruction Record'!I75),"",'Credit Instruction Record'!I75)</f>
        <v/>
      </c>
      <c r="N38" s="76" t="str">
        <f>IF(ISBLANK('Credit Instruction Record'!J75),"",'Credit Instruction Record'!J75)</f>
        <v/>
      </c>
      <c r="O38" s="76" t="str">
        <f>IF(ISBLANK('Credit Instruction Record'!K75),"",'Credit Instruction Record'!K75)</f>
        <v/>
      </c>
      <c r="P38" s="84" t="b">
        <f t="shared" si="1"/>
        <v>1</v>
      </c>
    </row>
    <row r="39" spans="3:16" x14ac:dyDescent="0.3">
      <c r="C39" s="40"/>
      <c r="D39" s="75">
        <v>38</v>
      </c>
      <c r="E39" s="76" t="str">
        <f>IF(ISBLANK('Credit Instruction Record'!A77),"",'Credit Instruction Record'!A77)</f>
        <v/>
      </c>
      <c r="F39" s="76" t="str">
        <f>IF(ISBLANK('Credit Instruction Record'!B77),"",'Credit Instruction Record'!B77)</f>
        <v/>
      </c>
      <c r="G39" s="76" t="str">
        <f>IF(ISBLANK('Credit Instruction Record'!C77),"",'Credit Instruction Record'!C77)</f>
        <v>EUR</v>
      </c>
      <c r="H39" s="76" t="str">
        <f>IF(ISBLANK('Credit Instruction Record'!D77),"",'Credit Instruction Record'!D77)</f>
        <v/>
      </c>
      <c r="I39" s="76" t="str">
        <f>IF(ISBLANK('Credit Instruction Record'!E77),"",'Credit Instruction Record'!E77)</f>
        <v/>
      </c>
      <c r="J39" s="76" t="str">
        <f>IF(ISBLANK('Credit Instruction Record'!F77),"",'Credit Instruction Record'!F77)</f>
        <v/>
      </c>
      <c r="K39" s="76" t="str">
        <f>IF(ISBLANK('Credit Instruction Record'!G77),"",'Credit Instruction Record'!G77)</f>
        <v/>
      </c>
      <c r="L39" s="76" t="str">
        <f>IF(ISBLANK('Credit Instruction Record'!H77),"",'Credit Instruction Record'!H77)</f>
        <v/>
      </c>
      <c r="M39" s="76" t="str">
        <f>IF(ISBLANK('Credit Instruction Record'!I77),"",'Credit Instruction Record'!I77)</f>
        <v/>
      </c>
      <c r="N39" s="76" t="str">
        <f>IF(ISBLANK('Credit Instruction Record'!J77),"",'Credit Instruction Record'!J77)</f>
        <v/>
      </c>
      <c r="O39" s="76" t="str">
        <f>IF(ISBLANK('Credit Instruction Record'!K77),"",'Credit Instruction Record'!K77)</f>
        <v/>
      </c>
      <c r="P39" s="84" t="b">
        <f t="shared" si="1"/>
        <v>1</v>
      </c>
    </row>
    <row r="40" spans="3:16" x14ac:dyDescent="0.3">
      <c r="C40" s="40"/>
      <c r="D40" s="75">
        <v>39</v>
      </c>
      <c r="E40" s="76" t="str">
        <f>IF(ISBLANK('Credit Instruction Record'!A79),"",'Credit Instruction Record'!A79)</f>
        <v/>
      </c>
      <c r="F40" s="76" t="str">
        <f>IF(ISBLANK('Credit Instruction Record'!B79),"",'Credit Instruction Record'!B79)</f>
        <v/>
      </c>
      <c r="G40" s="76" t="str">
        <f>IF(ISBLANK('Credit Instruction Record'!C79),"",'Credit Instruction Record'!C79)</f>
        <v>EUR</v>
      </c>
      <c r="H40" s="76" t="str">
        <f>IF(ISBLANK('Credit Instruction Record'!D79),"",'Credit Instruction Record'!D79)</f>
        <v/>
      </c>
      <c r="I40" s="76" t="str">
        <f>IF(ISBLANK('Credit Instruction Record'!E79),"",'Credit Instruction Record'!E79)</f>
        <v/>
      </c>
      <c r="J40" s="76" t="str">
        <f>IF(ISBLANK('Credit Instruction Record'!F79),"",'Credit Instruction Record'!F79)</f>
        <v/>
      </c>
      <c r="K40" s="76" t="str">
        <f>IF(ISBLANK('Credit Instruction Record'!G79),"",'Credit Instruction Record'!G79)</f>
        <v/>
      </c>
      <c r="L40" s="76" t="str">
        <f>IF(ISBLANK('Credit Instruction Record'!H79),"",'Credit Instruction Record'!H79)</f>
        <v/>
      </c>
      <c r="M40" s="76" t="str">
        <f>IF(ISBLANK('Credit Instruction Record'!I79),"",'Credit Instruction Record'!I79)</f>
        <v/>
      </c>
      <c r="N40" s="76" t="str">
        <f>IF(ISBLANK('Credit Instruction Record'!J79),"",'Credit Instruction Record'!J79)</f>
        <v/>
      </c>
      <c r="O40" s="76" t="str">
        <f>IF(ISBLANK('Credit Instruction Record'!K79),"",'Credit Instruction Record'!K79)</f>
        <v/>
      </c>
      <c r="P40" s="84" t="b">
        <f t="shared" si="1"/>
        <v>1</v>
      </c>
    </row>
    <row r="41" spans="3:16" x14ac:dyDescent="0.3">
      <c r="C41" s="40"/>
      <c r="D41" s="75">
        <v>40</v>
      </c>
      <c r="E41" s="76" t="str">
        <f>IF(ISBLANK('Credit Instruction Record'!A81),"",'Credit Instruction Record'!A81)</f>
        <v/>
      </c>
      <c r="F41" s="76" t="str">
        <f>IF(ISBLANK('Credit Instruction Record'!B81),"",'Credit Instruction Record'!B81)</f>
        <v/>
      </c>
      <c r="G41" s="76" t="str">
        <f>IF(ISBLANK('Credit Instruction Record'!C81),"",'Credit Instruction Record'!C81)</f>
        <v>EUR</v>
      </c>
      <c r="H41" s="76" t="str">
        <f>IF(ISBLANK('Credit Instruction Record'!D81),"",'Credit Instruction Record'!D81)</f>
        <v/>
      </c>
      <c r="I41" s="76" t="str">
        <f>IF(ISBLANK('Credit Instruction Record'!E81),"",'Credit Instruction Record'!E81)</f>
        <v/>
      </c>
      <c r="J41" s="76" t="str">
        <f>IF(ISBLANK('Credit Instruction Record'!F81),"",'Credit Instruction Record'!F81)</f>
        <v/>
      </c>
      <c r="K41" s="76" t="str">
        <f>IF(ISBLANK('Credit Instruction Record'!G81),"",'Credit Instruction Record'!G81)</f>
        <v/>
      </c>
      <c r="L41" s="76" t="str">
        <f>IF(ISBLANK('Credit Instruction Record'!H81),"",'Credit Instruction Record'!H81)</f>
        <v/>
      </c>
      <c r="M41" s="76" t="str">
        <f>IF(ISBLANK('Credit Instruction Record'!I81),"",'Credit Instruction Record'!I81)</f>
        <v/>
      </c>
      <c r="N41" s="76" t="str">
        <f>IF(ISBLANK('Credit Instruction Record'!J81),"",'Credit Instruction Record'!J81)</f>
        <v/>
      </c>
      <c r="O41" s="76" t="str">
        <f>IF(ISBLANK('Credit Instruction Record'!K81),"",'Credit Instruction Record'!K81)</f>
        <v/>
      </c>
      <c r="P41" s="84" t="b">
        <f t="shared" si="1"/>
        <v>1</v>
      </c>
    </row>
    <row r="42" spans="3:16" x14ac:dyDescent="0.3">
      <c r="C42" s="40"/>
      <c r="D42" s="75">
        <v>41</v>
      </c>
      <c r="E42" s="76" t="str">
        <f>IF(ISBLANK('Credit Instruction Record'!A83),"",'Credit Instruction Record'!A83)</f>
        <v/>
      </c>
      <c r="F42" s="76" t="str">
        <f>IF(ISBLANK('Credit Instruction Record'!B83),"",'Credit Instruction Record'!B83)</f>
        <v/>
      </c>
      <c r="G42" s="76" t="str">
        <f>IF(ISBLANK('Credit Instruction Record'!C83),"",'Credit Instruction Record'!C83)</f>
        <v>EUR</v>
      </c>
      <c r="H42" s="76" t="str">
        <f>IF(ISBLANK('Credit Instruction Record'!D83),"",'Credit Instruction Record'!D83)</f>
        <v/>
      </c>
      <c r="I42" s="76" t="str">
        <f>IF(ISBLANK('Credit Instruction Record'!E83),"",'Credit Instruction Record'!E83)</f>
        <v/>
      </c>
      <c r="J42" s="76" t="str">
        <f>IF(ISBLANK('Credit Instruction Record'!F83),"",'Credit Instruction Record'!F83)</f>
        <v/>
      </c>
      <c r="K42" s="76" t="str">
        <f>IF(ISBLANK('Credit Instruction Record'!G83),"",'Credit Instruction Record'!G83)</f>
        <v/>
      </c>
      <c r="L42" s="76" t="str">
        <f>IF(ISBLANK('Credit Instruction Record'!H83),"",'Credit Instruction Record'!H83)</f>
        <v/>
      </c>
      <c r="M42" s="76" t="str">
        <f>IF(ISBLANK('Credit Instruction Record'!I83),"",'Credit Instruction Record'!I83)</f>
        <v/>
      </c>
      <c r="N42" s="76" t="str">
        <f>IF(ISBLANK('Credit Instruction Record'!J83),"",'Credit Instruction Record'!J83)</f>
        <v/>
      </c>
      <c r="O42" s="76" t="str">
        <f>IF(ISBLANK('Credit Instruction Record'!K83),"",'Credit Instruction Record'!K83)</f>
        <v/>
      </c>
      <c r="P42" s="84" t="b">
        <f t="shared" si="1"/>
        <v>1</v>
      </c>
    </row>
    <row r="43" spans="3:16" x14ac:dyDescent="0.3">
      <c r="C43" s="40"/>
      <c r="D43" s="75">
        <v>42</v>
      </c>
      <c r="E43" s="76" t="str">
        <f>IF(ISBLANK('Credit Instruction Record'!A85),"",'Credit Instruction Record'!A85)</f>
        <v/>
      </c>
      <c r="F43" s="76" t="str">
        <f>IF(ISBLANK('Credit Instruction Record'!B85),"",'Credit Instruction Record'!B85)</f>
        <v/>
      </c>
      <c r="G43" s="76" t="str">
        <f>IF(ISBLANK('Credit Instruction Record'!C85),"",'Credit Instruction Record'!C85)</f>
        <v>EUR</v>
      </c>
      <c r="H43" s="76" t="str">
        <f>IF(ISBLANK('Credit Instruction Record'!D85),"",'Credit Instruction Record'!D85)</f>
        <v/>
      </c>
      <c r="I43" s="76" t="str">
        <f>IF(ISBLANK('Credit Instruction Record'!E85),"",'Credit Instruction Record'!E85)</f>
        <v/>
      </c>
      <c r="J43" s="76" t="str">
        <f>IF(ISBLANK('Credit Instruction Record'!F85),"",'Credit Instruction Record'!F85)</f>
        <v/>
      </c>
      <c r="K43" s="76" t="str">
        <f>IF(ISBLANK('Credit Instruction Record'!G85),"",'Credit Instruction Record'!G85)</f>
        <v/>
      </c>
      <c r="L43" s="76" t="str">
        <f>IF(ISBLANK('Credit Instruction Record'!H85),"",'Credit Instruction Record'!H85)</f>
        <v/>
      </c>
      <c r="M43" s="76" t="str">
        <f>IF(ISBLANK('Credit Instruction Record'!I85),"",'Credit Instruction Record'!I85)</f>
        <v/>
      </c>
      <c r="N43" s="76" t="str">
        <f>IF(ISBLANK('Credit Instruction Record'!J85),"",'Credit Instruction Record'!J85)</f>
        <v/>
      </c>
      <c r="O43" s="76" t="str">
        <f>IF(ISBLANK('Credit Instruction Record'!K85),"",'Credit Instruction Record'!K85)</f>
        <v/>
      </c>
      <c r="P43" s="84" t="b">
        <f t="shared" si="1"/>
        <v>1</v>
      </c>
    </row>
    <row r="44" spans="3:16" x14ac:dyDescent="0.3">
      <c r="C44" s="40"/>
      <c r="D44" s="75">
        <v>43</v>
      </c>
      <c r="E44" s="76" t="str">
        <f>IF(ISBLANK('Credit Instruction Record'!A87),"",'Credit Instruction Record'!A87)</f>
        <v/>
      </c>
      <c r="F44" s="76" t="str">
        <f>IF(ISBLANK('Credit Instruction Record'!B87),"",'Credit Instruction Record'!B87)</f>
        <v/>
      </c>
      <c r="G44" s="76" t="str">
        <f>IF(ISBLANK('Credit Instruction Record'!C87),"",'Credit Instruction Record'!C87)</f>
        <v>EUR</v>
      </c>
      <c r="H44" s="76" t="str">
        <f>IF(ISBLANK('Credit Instruction Record'!D87),"",'Credit Instruction Record'!D87)</f>
        <v/>
      </c>
      <c r="I44" s="76" t="str">
        <f>IF(ISBLANK('Credit Instruction Record'!E87),"",'Credit Instruction Record'!E87)</f>
        <v/>
      </c>
      <c r="J44" s="76" t="str">
        <f>IF(ISBLANK('Credit Instruction Record'!F87),"",'Credit Instruction Record'!F87)</f>
        <v/>
      </c>
      <c r="K44" s="76" t="str">
        <f>IF(ISBLANK('Credit Instruction Record'!G87),"",'Credit Instruction Record'!G87)</f>
        <v/>
      </c>
      <c r="L44" s="76" t="str">
        <f>IF(ISBLANK('Credit Instruction Record'!H87),"",'Credit Instruction Record'!H87)</f>
        <v/>
      </c>
      <c r="M44" s="76" t="str">
        <f>IF(ISBLANK('Credit Instruction Record'!I87),"",'Credit Instruction Record'!I87)</f>
        <v/>
      </c>
      <c r="N44" s="76" t="str">
        <f>IF(ISBLANK('Credit Instruction Record'!J87),"",'Credit Instruction Record'!J87)</f>
        <v/>
      </c>
      <c r="O44" s="76" t="str">
        <f>IF(ISBLANK('Credit Instruction Record'!K87),"",'Credit Instruction Record'!K87)</f>
        <v/>
      </c>
      <c r="P44" s="84" t="b">
        <f t="shared" si="1"/>
        <v>1</v>
      </c>
    </row>
    <row r="45" spans="3:16" x14ac:dyDescent="0.3">
      <c r="C45" s="40"/>
      <c r="D45" s="75">
        <v>44</v>
      </c>
      <c r="E45" s="76" t="str">
        <f>IF(ISBLANK('Credit Instruction Record'!A89),"",'Credit Instruction Record'!A89)</f>
        <v/>
      </c>
      <c r="F45" s="76" t="str">
        <f>IF(ISBLANK('Credit Instruction Record'!B89),"",'Credit Instruction Record'!B89)</f>
        <v/>
      </c>
      <c r="G45" s="76" t="str">
        <f>IF(ISBLANK('Credit Instruction Record'!C89),"",'Credit Instruction Record'!C89)</f>
        <v>EUR</v>
      </c>
      <c r="H45" s="76" t="str">
        <f>IF(ISBLANK('Credit Instruction Record'!D89),"",'Credit Instruction Record'!D89)</f>
        <v/>
      </c>
      <c r="I45" s="76" t="str">
        <f>IF(ISBLANK('Credit Instruction Record'!E89),"",'Credit Instruction Record'!E89)</f>
        <v/>
      </c>
      <c r="J45" s="76" t="str">
        <f>IF(ISBLANK('Credit Instruction Record'!F89),"",'Credit Instruction Record'!F89)</f>
        <v/>
      </c>
      <c r="K45" s="76" t="str">
        <f>IF(ISBLANK('Credit Instruction Record'!G89),"",'Credit Instruction Record'!G89)</f>
        <v/>
      </c>
      <c r="L45" s="76" t="str">
        <f>IF(ISBLANK('Credit Instruction Record'!H89),"",'Credit Instruction Record'!H89)</f>
        <v/>
      </c>
      <c r="M45" s="76" t="str">
        <f>IF(ISBLANK('Credit Instruction Record'!I89),"",'Credit Instruction Record'!I89)</f>
        <v/>
      </c>
      <c r="N45" s="76" t="str">
        <f>IF(ISBLANK('Credit Instruction Record'!J89),"",'Credit Instruction Record'!J89)</f>
        <v/>
      </c>
      <c r="O45" s="76" t="str">
        <f>IF(ISBLANK('Credit Instruction Record'!K89),"",'Credit Instruction Record'!K89)</f>
        <v/>
      </c>
      <c r="P45" s="84" t="b">
        <f t="shared" si="1"/>
        <v>1</v>
      </c>
    </row>
    <row r="46" spans="3:16" x14ac:dyDescent="0.3">
      <c r="C46" s="40"/>
      <c r="D46" s="75">
        <v>45</v>
      </c>
      <c r="E46" s="76" t="str">
        <f>IF(ISBLANK('Credit Instruction Record'!A91),"",'Credit Instruction Record'!A91)</f>
        <v/>
      </c>
      <c r="F46" s="76" t="str">
        <f>IF(ISBLANK('Credit Instruction Record'!B91),"",'Credit Instruction Record'!B91)</f>
        <v/>
      </c>
      <c r="G46" s="76" t="str">
        <f>IF(ISBLANK('Credit Instruction Record'!C91),"",'Credit Instruction Record'!C91)</f>
        <v>EUR</v>
      </c>
      <c r="H46" s="76" t="str">
        <f>IF(ISBLANK('Credit Instruction Record'!D91),"",'Credit Instruction Record'!D91)</f>
        <v/>
      </c>
      <c r="I46" s="76" t="str">
        <f>IF(ISBLANK('Credit Instruction Record'!E91),"",'Credit Instruction Record'!E91)</f>
        <v/>
      </c>
      <c r="J46" s="76" t="str">
        <f>IF(ISBLANK('Credit Instruction Record'!F91),"",'Credit Instruction Record'!F91)</f>
        <v/>
      </c>
      <c r="K46" s="76" t="str">
        <f>IF(ISBLANK('Credit Instruction Record'!G91),"",'Credit Instruction Record'!G91)</f>
        <v/>
      </c>
      <c r="L46" s="76" t="str">
        <f>IF(ISBLANK('Credit Instruction Record'!H91),"",'Credit Instruction Record'!H91)</f>
        <v/>
      </c>
      <c r="M46" s="76" t="str">
        <f>IF(ISBLANK('Credit Instruction Record'!I91),"",'Credit Instruction Record'!I91)</f>
        <v/>
      </c>
      <c r="N46" s="76" t="str">
        <f>IF(ISBLANK('Credit Instruction Record'!J91),"",'Credit Instruction Record'!J91)</f>
        <v/>
      </c>
      <c r="O46" s="76" t="str">
        <f>IF(ISBLANK('Credit Instruction Record'!K91),"",'Credit Instruction Record'!K91)</f>
        <v/>
      </c>
      <c r="P46" s="84" t="b">
        <f t="shared" si="1"/>
        <v>1</v>
      </c>
    </row>
    <row r="47" spans="3:16" x14ac:dyDescent="0.3">
      <c r="C47" s="40"/>
      <c r="D47" s="75">
        <v>46</v>
      </c>
      <c r="E47" s="76" t="str">
        <f>IF(ISBLANK('Credit Instruction Record'!A93),"",'Credit Instruction Record'!A93)</f>
        <v/>
      </c>
      <c r="F47" s="76" t="str">
        <f>IF(ISBLANK('Credit Instruction Record'!B93),"",'Credit Instruction Record'!B93)</f>
        <v/>
      </c>
      <c r="G47" s="76" t="str">
        <f>IF(ISBLANK('Credit Instruction Record'!C93),"",'Credit Instruction Record'!C93)</f>
        <v>EUR</v>
      </c>
      <c r="H47" s="76" t="str">
        <f>IF(ISBLANK('Credit Instruction Record'!D93),"",'Credit Instruction Record'!D93)</f>
        <v/>
      </c>
      <c r="I47" s="76" t="str">
        <f>IF(ISBLANK('Credit Instruction Record'!E93),"",'Credit Instruction Record'!E93)</f>
        <v/>
      </c>
      <c r="J47" s="76" t="str">
        <f>IF(ISBLANK('Credit Instruction Record'!F93),"",'Credit Instruction Record'!F93)</f>
        <v/>
      </c>
      <c r="K47" s="76" t="str">
        <f>IF(ISBLANK('Credit Instruction Record'!G93),"",'Credit Instruction Record'!G93)</f>
        <v/>
      </c>
      <c r="L47" s="76" t="str">
        <f>IF(ISBLANK('Credit Instruction Record'!H93),"",'Credit Instruction Record'!H93)</f>
        <v/>
      </c>
      <c r="M47" s="76" t="str">
        <f>IF(ISBLANK('Credit Instruction Record'!I93),"",'Credit Instruction Record'!I93)</f>
        <v/>
      </c>
      <c r="N47" s="76" t="str">
        <f>IF(ISBLANK('Credit Instruction Record'!J93),"",'Credit Instruction Record'!J93)</f>
        <v/>
      </c>
      <c r="O47" s="76" t="str">
        <f>IF(ISBLANK('Credit Instruction Record'!K93),"",'Credit Instruction Record'!K93)</f>
        <v/>
      </c>
      <c r="P47" s="84" t="b">
        <f t="shared" si="1"/>
        <v>1</v>
      </c>
    </row>
    <row r="48" spans="3:16" x14ac:dyDescent="0.3">
      <c r="C48" s="40"/>
      <c r="D48" s="75">
        <v>47</v>
      </c>
      <c r="E48" s="76" t="str">
        <f>IF(ISBLANK('Credit Instruction Record'!A95),"",'Credit Instruction Record'!A95)</f>
        <v/>
      </c>
      <c r="F48" s="76" t="str">
        <f>IF(ISBLANK('Credit Instruction Record'!B95),"",'Credit Instruction Record'!B95)</f>
        <v/>
      </c>
      <c r="G48" s="76" t="str">
        <f>IF(ISBLANK('Credit Instruction Record'!C95),"",'Credit Instruction Record'!C95)</f>
        <v>EUR</v>
      </c>
      <c r="H48" s="76" t="str">
        <f>IF(ISBLANK('Credit Instruction Record'!D95),"",'Credit Instruction Record'!D95)</f>
        <v/>
      </c>
      <c r="I48" s="76" t="str">
        <f>IF(ISBLANK('Credit Instruction Record'!E95),"",'Credit Instruction Record'!E95)</f>
        <v/>
      </c>
      <c r="J48" s="76" t="str">
        <f>IF(ISBLANK('Credit Instruction Record'!F95),"",'Credit Instruction Record'!F95)</f>
        <v/>
      </c>
      <c r="K48" s="76" t="str">
        <f>IF(ISBLANK('Credit Instruction Record'!G95),"",'Credit Instruction Record'!G95)</f>
        <v/>
      </c>
      <c r="L48" s="76" t="str">
        <f>IF(ISBLANK('Credit Instruction Record'!H95),"",'Credit Instruction Record'!H95)</f>
        <v/>
      </c>
      <c r="M48" s="76" t="str">
        <f>IF(ISBLANK('Credit Instruction Record'!I95),"",'Credit Instruction Record'!I95)</f>
        <v/>
      </c>
      <c r="N48" s="76" t="str">
        <f>IF(ISBLANK('Credit Instruction Record'!J95),"",'Credit Instruction Record'!J95)</f>
        <v/>
      </c>
      <c r="O48" s="76" t="str">
        <f>IF(ISBLANK('Credit Instruction Record'!K95),"",'Credit Instruction Record'!K95)</f>
        <v/>
      </c>
      <c r="P48" s="84" t="b">
        <f t="shared" si="1"/>
        <v>1</v>
      </c>
    </row>
    <row r="49" spans="3:16" x14ac:dyDescent="0.3">
      <c r="C49" s="40"/>
      <c r="D49" s="75">
        <v>48</v>
      </c>
      <c r="E49" s="76" t="str">
        <f>IF(ISBLANK('Credit Instruction Record'!A97),"",'Credit Instruction Record'!A97)</f>
        <v/>
      </c>
      <c r="F49" s="76" t="str">
        <f>IF(ISBLANK('Credit Instruction Record'!B97),"",'Credit Instruction Record'!B97)</f>
        <v/>
      </c>
      <c r="G49" s="76" t="str">
        <f>IF(ISBLANK('Credit Instruction Record'!C97),"",'Credit Instruction Record'!C97)</f>
        <v>EUR</v>
      </c>
      <c r="H49" s="76" t="str">
        <f>IF(ISBLANK('Credit Instruction Record'!D97),"",'Credit Instruction Record'!D97)</f>
        <v/>
      </c>
      <c r="I49" s="76" t="str">
        <f>IF(ISBLANK('Credit Instruction Record'!E97),"",'Credit Instruction Record'!E97)</f>
        <v/>
      </c>
      <c r="J49" s="76" t="str">
        <f>IF(ISBLANK('Credit Instruction Record'!F97),"",'Credit Instruction Record'!F97)</f>
        <v/>
      </c>
      <c r="K49" s="76" t="str">
        <f>IF(ISBLANK('Credit Instruction Record'!G97),"",'Credit Instruction Record'!G97)</f>
        <v/>
      </c>
      <c r="L49" s="76" t="str">
        <f>IF(ISBLANK('Credit Instruction Record'!H97),"",'Credit Instruction Record'!H97)</f>
        <v/>
      </c>
      <c r="M49" s="76" t="str">
        <f>IF(ISBLANK('Credit Instruction Record'!I97),"",'Credit Instruction Record'!I97)</f>
        <v/>
      </c>
      <c r="N49" s="76" t="str">
        <f>IF(ISBLANK('Credit Instruction Record'!J97),"",'Credit Instruction Record'!J97)</f>
        <v/>
      </c>
      <c r="O49" s="76" t="str">
        <f>IF(ISBLANK('Credit Instruction Record'!K97),"",'Credit Instruction Record'!K97)</f>
        <v/>
      </c>
      <c r="P49" s="84" t="b">
        <f t="shared" si="1"/>
        <v>1</v>
      </c>
    </row>
    <row r="50" spans="3:16" x14ac:dyDescent="0.3">
      <c r="C50" s="40"/>
      <c r="D50" s="75">
        <v>49</v>
      </c>
      <c r="E50" s="76" t="str">
        <f>IF(ISBLANK('Credit Instruction Record'!A99),"",'Credit Instruction Record'!A99)</f>
        <v/>
      </c>
      <c r="F50" s="76" t="str">
        <f>IF(ISBLANK('Credit Instruction Record'!B99),"",'Credit Instruction Record'!B99)</f>
        <v/>
      </c>
      <c r="G50" s="76" t="str">
        <f>IF(ISBLANK('Credit Instruction Record'!C99),"",'Credit Instruction Record'!C99)</f>
        <v>EUR</v>
      </c>
      <c r="H50" s="76" t="str">
        <f>IF(ISBLANK('Credit Instruction Record'!D99),"",'Credit Instruction Record'!D99)</f>
        <v/>
      </c>
      <c r="I50" s="76" t="str">
        <f>IF(ISBLANK('Credit Instruction Record'!E99),"",'Credit Instruction Record'!E99)</f>
        <v/>
      </c>
      <c r="J50" s="76" t="str">
        <f>IF(ISBLANK('Credit Instruction Record'!F99),"",'Credit Instruction Record'!F99)</f>
        <v/>
      </c>
      <c r="K50" s="76" t="str">
        <f>IF(ISBLANK('Credit Instruction Record'!G99),"",'Credit Instruction Record'!G99)</f>
        <v/>
      </c>
      <c r="L50" s="76" t="str">
        <f>IF(ISBLANK('Credit Instruction Record'!H99),"",'Credit Instruction Record'!H99)</f>
        <v/>
      </c>
      <c r="M50" s="76" t="str">
        <f>IF(ISBLANK('Credit Instruction Record'!I99),"",'Credit Instruction Record'!I99)</f>
        <v/>
      </c>
      <c r="N50" s="76" t="str">
        <f>IF(ISBLANK('Credit Instruction Record'!J99),"",'Credit Instruction Record'!J99)</f>
        <v/>
      </c>
      <c r="O50" s="76" t="str">
        <f>IF(ISBLANK('Credit Instruction Record'!K99),"",'Credit Instruction Record'!K99)</f>
        <v/>
      </c>
      <c r="P50" s="84" t="b">
        <f t="shared" si="1"/>
        <v>1</v>
      </c>
    </row>
    <row r="51" spans="3:16" x14ac:dyDescent="0.3">
      <c r="C51" s="40"/>
      <c r="D51" s="75">
        <v>50</v>
      </c>
      <c r="E51" s="76" t="str">
        <f>IF(ISBLANK('Credit Instruction Record'!A101),"",'Credit Instruction Record'!A101)</f>
        <v/>
      </c>
      <c r="F51" s="76" t="str">
        <f>IF(ISBLANK('Credit Instruction Record'!B101),"",'Credit Instruction Record'!B101)</f>
        <v/>
      </c>
      <c r="G51" s="76" t="str">
        <f>IF(ISBLANK('Credit Instruction Record'!C101),"",'Credit Instruction Record'!C101)</f>
        <v>EUR</v>
      </c>
      <c r="H51" s="76" t="str">
        <f>IF(ISBLANK('Credit Instruction Record'!D101),"",'Credit Instruction Record'!D101)</f>
        <v/>
      </c>
      <c r="I51" s="76" t="str">
        <f>IF(ISBLANK('Credit Instruction Record'!E101),"",'Credit Instruction Record'!E101)</f>
        <v/>
      </c>
      <c r="J51" s="76" t="str">
        <f>IF(ISBLANK('Credit Instruction Record'!F101),"",'Credit Instruction Record'!F101)</f>
        <v/>
      </c>
      <c r="K51" s="76" t="str">
        <f>IF(ISBLANK('Credit Instruction Record'!G101),"",'Credit Instruction Record'!G101)</f>
        <v/>
      </c>
      <c r="L51" s="76" t="str">
        <f>IF(ISBLANK('Credit Instruction Record'!H101),"",'Credit Instruction Record'!H101)</f>
        <v/>
      </c>
      <c r="M51" s="76" t="str">
        <f>IF(ISBLANK('Credit Instruction Record'!I101),"",'Credit Instruction Record'!I101)</f>
        <v/>
      </c>
      <c r="N51" s="76" t="str">
        <f>IF(ISBLANK('Credit Instruction Record'!J101),"",'Credit Instruction Record'!J101)</f>
        <v/>
      </c>
      <c r="O51" s="76" t="str">
        <f>IF(ISBLANK('Credit Instruction Record'!K101),"",'Credit Instruction Record'!K101)</f>
        <v/>
      </c>
      <c r="P51" s="84" t="b">
        <f t="shared" si="1"/>
        <v>1</v>
      </c>
    </row>
    <row r="52" spans="3:16" ht="15" thickBot="1" x14ac:dyDescent="0.35">
      <c r="C52" s="40"/>
      <c r="D52" s="90">
        <v>51</v>
      </c>
      <c r="E52" s="91" t="str">
        <f>IF(ISBLANK('Credit Instruction Record'!A103),"",'Credit Instruction Record'!A103)</f>
        <v/>
      </c>
      <c r="F52" s="91" t="str">
        <f>IF(ISBLANK('Credit Instruction Record'!B103),"",'Credit Instruction Record'!B103)</f>
        <v/>
      </c>
      <c r="G52" s="91" t="str">
        <f>IF(ISBLANK('Credit Instruction Record'!C103),"",'Credit Instruction Record'!C103)</f>
        <v>EUR</v>
      </c>
      <c r="H52" s="91" t="str">
        <f>IF(ISBLANK('Credit Instruction Record'!D103),"",'Credit Instruction Record'!D103)</f>
        <v/>
      </c>
      <c r="I52" s="91" t="str">
        <f>IF(ISBLANK('Credit Instruction Record'!E103),"",'Credit Instruction Record'!E103)</f>
        <v/>
      </c>
      <c r="J52" s="91" t="str">
        <f>IF(ISBLANK('Credit Instruction Record'!F103),"",'Credit Instruction Record'!F103)</f>
        <v/>
      </c>
      <c r="K52" s="91" t="str">
        <f>IF(ISBLANK('Credit Instruction Record'!G103),"",'Credit Instruction Record'!G103)</f>
        <v/>
      </c>
      <c r="L52" s="91" t="str">
        <f>IF(ISBLANK('Credit Instruction Record'!H103),"",'Credit Instruction Record'!H103)</f>
        <v/>
      </c>
      <c r="M52" s="91" t="str">
        <f>IF(ISBLANK('Credit Instruction Record'!I103),"",'Credit Instruction Record'!I103)</f>
        <v/>
      </c>
      <c r="N52" s="91" t="str">
        <f>IF(ISBLANK('Credit Instruction Record'!J103),"",'Credit Instruction Record'!J103)</f>
        <v/>
      </c>
      <c r="O52" s="91" t="str">
        <f>IF(ISBLANK('Credit Instruction Record'!K103),"",'Credit Instruction Record'!K103)</f>
        <v/>
      </c>
      <c r="P52" s="92" t="b">
        <f t="shared" ref="P52" si="2">M52=""</f>
        <v>1</v>
      </c>
    </row>
    <row r="53" spans="3:16" x14ac:dyDescent="0.3">
      <c r="C53" s="40"/>
    </row>
    <row r="54" spans="3:16" x14ac:dyDescent="0.3">
      <c r="C54" s="40"/>
    </row>
    <row r="55" spans="3:16" x14ac:dyDescent="0.3">
      <c r="C55" s="40"/>
    </row>
    <row r="56" spans="3:16" x14ac:dyDescent="0.3">
      <c r="C56" s="40"/>
    </row>
    <row r="57" spans="3:16" x14ac:dyDescent="0.3">
      <c r="C57" s="40"/>
    </row>
    <row r="58" spans="3:16" x14ac:dyDescent="0.3">
      <c r="C58" s="40"/>
    </row>
    <row r="59" spans="3:16" x14ac:dyDescent="0.3">
      <c r="C59" s="40"/>
    </row>
    <row r="60" spans="3:16" x14ac:dyDescent="0.3">
      <c r="C60" s="40"/>
    </row>
    <row r="61" spans="3:16" x14ac:dyDescent="0.3">
      <c r="C61" s="40"/>
    </row>
    <row r="62" spans="3:16" x14ac:dyDescent="0.3">
      <c r="C62" s="40"/>
    </row>
    <row r="63" spans="3:16" x14ac:dyDescent="0.3">
      <c r="C63" s="40"/>
    </row>
    <row r="64" spans="3:16" x14ac:dyDescent="0.3">
      <c r="C64" s="40"/>
    </row>
    <row r="65" spans="3:3" x14ac:dyDescent="0.3">
      <c r="C65" s="40"/>
    </row>
    <row r="66" spans="3:3" x14ac:dyDescent="0.3">
      <c r="C66" s="40"/>
    </row>
    <row r="67" spans="3:3" x14ac:dyDescent="0.3">
      <c r="C67" s="40"/>
    </row>
    <row r="68" spans="3:3" x14ac:dyDescent="0.3">
      <c r="C68" s="40"/>
    </row>
    <row r="69" spans="3:3" x14ac:dyDescent="0.3">
      <c r="C69" s="40"/>
    </row>
    <row r="70" spans="3:3" x14ac:dyDescent="0.3">
      <c r="C70" s="40"/>
    </row>
    <row r="71" spans="3:3" x14ac:dyDescent="0.3">
      <c r="C71" s="40"/>
    </row>
    <row r="72" spans="3:3" x14ac:dyDescent="0.3">
      <c r="C72" s="40"/>
    </row>
    <row r="73" spans="3:3" x14ac:dyDescent="0.3">
      <c r="C73" s="40"/>
    </row>
    <row r="74" spans="3:3" x14ac:dyDescent="0.3">
      <c r="C74" s="40"/>
    </row>
    <row r="75" spans="3:3" x14ac:dyDescent="0.3">
      <c r="C75" s="40"/>
    </row>
    <row r="76" spans="3:3" x14ac:dyDescent="0.3">
      <c r="C76" s="40"/>
    </row>
    <row r="77" spans="3:3" x14ac:dyDescent="0.3">
      <c r="C77" s="40"/>
    </row>
    <row r="78" spans="3:3" x14ac:dyDescent="0.3">
      <c r="C78" s="40"/>
    </row>
    <row r="79" spans="3:3" x14ac:dyDescent="0.3">
      <c r="C79" s="40"/>
    </row>
    <row r="80" spans="3:3" x14ac:dyDescent="0.3">
      <c r="C80" s="40"/>
    </row>
    <row r="81" spans="3:3" x14ac:dyDescent="0.3">
      <c r="C81" s="40"/>
    </row>
    <row r="82" spans="3:3" x14ac:dyDescent="0.3">
      <c r="C82" s="40"/>
    </row>
    <row r="83" spans="3:3" x14ac:dyDescent="0.3">
      <c r="C83" s="40"/>
    </row>
    <row r="84" spans="3:3" x14ac:dyDescent="0.3">
      <c r="C84" s="40"/>
    </row>
    <row r="85" spans="3:3" x14ac:dyDescent="0.3">
      <c r="C85" s="40"/>
    </row>
    <row r="86" spans="3:3" x14ac:dyDescent="0.3">
      <c r="C86" s="40"/>
    </row>
    <row r="87" spans="3:3" x14ac:dyDescent="0.3">
      <c r="C87" s="40"/>
    </row>
    <row r="88" spans="3:3" x14ac:dyDescent="0.3">
      <c r="C88" s="40"/>
    </row>
    <row r="89" spans="3:3" x14ac:dyDescent="0.3">
      <c r="C89" s="40"/>
    </row>
    <row r="90" spans="3:3" x14ac:dyDescent="0.3">
      <c r="C90" s="40"/>
    </row>
    <row r="91" spans="3:3" x14ac:dyDescent="0.3">
      <c r="C91" s="40"/>
    </row>
    <row r="92" spans="3:3" x14ac:dyDescent="0.3">
      <c r="C92" s="40"/>
    </row>
    <row r="93" spans="3:3" x14ac:dyDescent="0.3">
      <c r="C93" s="40"/>
    </row>
    <row r="94" spans="3:3" x14ac:dyDescent="0.3">
      <c r="C94" s="40"/>
    </row>
    <row r="95" spans="3:3" x14ac:dyDescent="0.3">
      <c r="C95" s="40"/>
    </row>
    <row r="96" spans="3:3" x14ac:dyDescent="0.3">
      <c r="C96" s="40"/>
    </row>
    <row r="97" spans="1:3" x14ac:dyDescent="0.3">
      <c r="C97" s="40"/>
    </row>
    <row r="98" spans="1:3" x14ac:dyDescent="0.3">
      <c r="C98" s="40"/>
    </row>
    <row r="99" spans="1:3" x14ac:dyDescent="0.3">
      <c r="C99" s="40"/>
    </row>
    <row r="100" spans="1:3" x14ac:dyDescent="0.3">
      <c r="C100" s="40"/>
    </row>
    <row r="101" spans="1:3" x14ac:dyDescent="0.3">
      <c r="C101" s="40"/>
    </row>
    <row r="102" spans="1:3" x14ac:dyDescent="0.3">
      <c r="C102" s="40"/>
    </row>
    <row r="103" spans="1:3" x14ac:dyDescent="0.3">
      <c r="C103" s="40"/>
    </row>
    <row r="104" spans="1:3" x14ac:dyDescent="0.3">
      <c r="C104" s="40"/>
    </row>
    <row r="105" spans="1:3" x14ac:dyDescent="0.3">
      <c r="C105" s="40"/>
    </row>
    <row r="106" spans="1:3" x14ac:dyDescent="0.3">
      <c r="C106" s="40"/>
    </row>
    <row r="107" spans="1:3" x14ac:dyDescent="0.3">
      <c r="C107" s="40"/>
    </row>
    <row r="108" spans="1:3" x14ac:dyDescent="0.3">
      <c r="C108" s="40"/>
    </row>
    <row r="109" spans="1:3" x14ac:dyDescent="0.3">
      <c r="C109" s="40"/>
    </row>
    <row r="110" spans="1:3" x14ac:dyDescent="0.3">
      <c r="C110" s="40"/>
    </row>
    <row r="111" spans="1:3" x14ac:dyDescent="0.3">
      <c r="A111" s="40"/>
      <c r="B111" s="40"/>
      <c r="C111" s="40"/>
    </row>
    <row r="112" spans="1:3" x14ac:dyDescent="0.3">
      <c r="A112" s="40"/>
      <c r="B112" s="40"/>
      <c r="C112" s="40"/>
    </row>
    <row r="113" spans="1:3" x14ac:dyDescent="0.3">
      <c r="A113" s="40"/>
      <c r="B113" s="40"/>
      <c r="C113" s="40"/>
    </row>
    <row r="114" spans="1:3" x14ac:dyDescent="0.3">
      <c r="A114" s="40"/>
      <c r="B114" s="40"/>
      <c r="C114" s="40"/>
    </row>
    <row r="115" spans="1:3" x14ac:dyDescent="0.3">
      <c r="A115" s="40"/>
      <c r="B115" s="40"/>
      <c r="C115" s="40"/>
    </row>
    <row r="116" spans="1:3" x14ac:dyDescent="0.3">
      <c r="A116" s="40"/>
      <c r="B116" s="40"/>
      <c r="C116" s="40"/>
    </row>
    <row r="117" spans="1:3" x14ac:dyDescent="0.3">
      <c r="A117" s="40"/>
      <c r="B117" s="40"/>
      <c r="C117" s="40"/>
    </row>
    <row r="118" spans="1:3" x14ac:dyDescent="0.3">
      <c r="A118" s="40"/>
      <c r="B118" s="40"/>
      <c r="C118" s="40"/>
    </row>
    <row r="119" spans="1:3" x14ac:dyDescent="0.3">
      <c r="A119" s="40"/>
      <c r="B119" s="40"/>
      <c r="C119" s="40"/>
    </row>
    <row r="120" spans="1:3" x14ac:dyDescent="0.3">
      <c r="A120" s="40"/>
      <c r="B120" s="40"/>
      <c r="C120" s="40"/>
    </row>
    <row r="121" spans="1:3" x14ac:dyDescent="0.3">
      <c r="A121" s="40"/>
      <c r="B121" s="40"/>
      <c r="C121" s="40"/>
    </row>
    <row r="122" spans="1:3" x14ac:dyDescent="0.3">
      <c r="A122" s="40"/>
      <c r="B122" s="40"/>
      <c r="C122" s="40"/>
    </row>
    <row r="123" spans="1:3" x14ac:dyDescent="0.3">
      <c r="A123" s="40"/>
      <c r="B123" s="40"/>
      <c r="C123" s="40"/>
    </row>
    <row r="124" spans="1:3" x14ac:dyDescent="0.3">
      <c r="A124" s="40"/>
      <c r="B124" s="40"/>
      <c r="C124" s="40"/>
    </row>
    <row r="125" spans="1:3" x14ac:dyDescent="0.3">
      <c r="A125" s="40"/>
      <c r="B125" s="40"/>
      <c r="C125" s="40"/>
    </row>
    <row r="126" spans="1:3" x14ac:dyDescent="0.3">
      <c r="A126" s="40"/>
      <c r="B126" s="40"/>
      <c r="C126" s="40"/>
    </row>
    <row r="127" spans="1:3" x14ac:dyDescent="0.3">
      <c r="A127" s="40"/>
      <c r="B127" s="40"/>
      <c r="C127" s="40"/>
    </row>
    <row r="128" spans="1:3" x14ac:dyDescent="0.3">
      <c r="A128" s="40"/>
      <c r="B128" s="40"/>
      <c r="C128" s="40"/>
    </row>
    <row r="129" spans="1:3" x14ac:dyDescent="0.3">
      <c r="A129" s="40"/>
      <c r="B129" s="40"/>
      <c r="C129" s="40"/>
    </row>
    <row r="130" spans="1:3" x14ac:dyDescent="0.3">
      <c r="A130" s="40"/>
      <c r="B130" s="40"/>
      <c r="C130" s="40"/>
    </row>
    <row r="131" spans="1:3" x14ac:dyDescent="0.3">
      <c r="A131" s="40"/>
      <c r="B131" s="40"/>
      <c r="C131" s="40"/>
    </row>
    <row r="132" spans="1:3" x14ac:dyDescent="0.3">
      <c r="A132" s="40"/>
      <c r="B132" s="40"/>
      <c r="C132" s="40"/>
    </row>
    <row r="133" spans="1:3" x14ac:dyDescent="0.3">
      <c r="A133" s="40"/>
      <c r="B133" s="40"/>
      <c r="C133" s="40"/>
    </row>
    <row r="134" spans="1:3" x14ac:dyDescent="0.3">
      <c r="A134" s="40"/>
      <c r="B134" s="40"/>
      <c r="C134" s="40"/>
    </row>
    <row r="135" spans="1:3" x14ac:dyDescent="0.3">
      <c r="A135" s="40"/>
      <c r="B135" s="40"/>
      <c r="C135" s="40"/>
    </row>
    <row r="136" spans="1:3" x14ac:dyDescent="0.3">
      <c r="A136" s="40"/>
      <c r="B136" s="40"/>
      <c r="C136" s="40"/>
    </row>
    <row r="137" spans="1:3" x14ac:dyDescent="0.3">
      <c r="A137" s="40"/>
      <c r="B137" s="40"/>
      <c r="C137" s="40"/>
    </row>
    <row r="138" spans="1:3" x14ac:dyDescent="0.3">
      <c r="A138" s="40"/>
      <c r="B138" s="40"/>
      <c r="C138" s="40"/>
    </row>
    <row r="139" spans="1:3" x14ac:dyDescent="0.3">
      <c r="A139" s="40"/>
      <c r="B139" s="40"/>
      <c r="C139" s="40"/>
    </row>
    <row r="140" spans="1:3" x14ac:dyDescent="0.3">
      <c r="A140" s="40"/>
      <c r="B140" s="40"/>
      <c r="C140" s="40"/>
    </row>
    <row r="141" spans="1:3" x14ac:dyDescent="0.3">
      <c r="A141" s="40"/>
      <c r="B141" s="40"/>
      <c r="C141" s="40"/>
    </row>
    <row r="142" spans="1:3" x14ac:dyDescent="0.3">
      <c r="A142" s="40"/>
      <c r="B142" s="40"/>
      <c r="C142" s="40"/>
    </row>
    <row r="143" spans="1:3" x14ac:dyDescent="0.3">
      <c r="A143" s="40"/>
      <c r="B143" s="40"/>
      <c r="C143" s="40"/>
    </row>
    <row r="144" spans="1:3" x14ac:dyDescent="0.3">
      <c r="A144" s="40"/>
      <c r="B144" s="40"/>
      <c r="C144" s="40"/>
    </row>
    <row r="145" spans="1:3" x14ac:dyDescent="0.3">
      <c r="A145" s="40"/>
      <c r="B145" s="40"/>
      <c r="C145" s="40"/>
    </row>
    <row r="146" spans="1:3" x14ac:dyDescent="0.3">
      <c r="A146" s="40"/>
      <c r="B146" s="40"/>
      <c r="C146" s="40"/>
    </row>
    <row r="147" spans="1:3" x14ac:dyDescent="0.3">
      <c r="A147" s="40"/>
      <c r="B147" s="40"/>
      <c r="C147" s="40"/>
    </row>
    <row r="148" spans="1:3" x14ac:dyDescent="0.3">
      <c r="A148" s="40"/>
      <c r="B148" s="40"/>
      <c r="C148" s="40"/>
    </row>
    <row r="149" spans="1:3" x14ac:dyDescent="0.3">
      <c r="A149" s="40"/>
      <c r="B149" s="40"/>
      <c r="C149" s="40"/>
    </row>
    <row r="150" spans="1:3" x14ac:dyDescent="0.3">
      <c r="A150" s="40"/>
      <c r="B150" s="40"/>
      <c r="C150" s="40"/>
    </row>
    <row r="151" spans="1:3" x14ac:dyDescent="0.3">
      <c r="A151" s="40"/>
      <c r="B151" s="40"/>
      <c r="C151" s="40"/>
    </row>
    <row r="152" spans="1:3" x14ac:dyDescent="0.3">
      <c r="A152" s="40"/>
      <c r="B152" s="40"/>
      <c r="C152" s="40"/>
    </row>
    <row r="153" spans="1:3" x14ac:dyDescent="0.3">
      <c r="A153" s="40"/>
      <c r="B153" s="40"/>
      <c r="C153" s="40"/>
    </row>
    <row r="154" spans="1:3" x14ac:dyDescent="0.3">
      <c r="A154" s="40"/>
      <c r="B154" s="40"/>
      <c r="C154" s="40"/>
    </row>
    <row r="155" spans="1:3" x14ac:dyDescent="0.3">
      <c r="A155" s="40"/>
      <c r="B155" s="40"/>
      <c r="C155" s="40"/>
    </row>
    <row r="156" spans="1:3" x14ac:dyDescent="0.3">
      <c r="A156" s="40"/>
      <c r="B156" s="40"/>
      <c r="C156" s="40"/>
    </row>
    <row r="157" spans="1:3" x14ac:dyDescent="0.3">
      <c r="A157" s="40"/>
      <c r="B157" s="40"/>
      <c r="C157" s="40"/>
    </row>
    <row r="158" spans="1:3" x14ac:dyDescent="0.3">
      <c r="A158" s="40"/>
      <c r="B158" s="40"/>
      <c r="C158" s="40"/>
    </row>
    <row r="159" spans="1:3" x14ac:dyDescent="0.3">
      <c r="A159" s="40"/>
      <c r="B159" s="40"/>
      <c r="C159" s="40"/>
    </row>
    <row r="160" spans="1:3" x14ac:dyDescent="0.3">
      <c r="A160" s="40"/>
      <c r="B160" s="40"/>
      <c r="C160" s="40"/>
    </row>
    <row r="161" spans="1:3" x14ac:dyDescent="0.3">
      <c r="A161" s="40"/>
      <c r="B161" s="40"/>
      <c r="C161" s="40"/>
    </row>
    <row r="162" spans="1:3" x14ac:dyDescent="0.3">
      <c r="A162" s="40"/>
      <c r="B162" s="40"/>
      <c r="C162" s="40"/>
    </row>
    <row r="163" spans="1:3" x14ac:dyDescent="0.3">
      <c r="A163" s="40"/>
      <c r="B163" s="40"/>
      <c r="C163" s="40"/>
    </row>
    <row r="164" spans="1:3" x14ac:dyDescent="0.3">
      <c r="A164" s="40"/>
      <c r="B164" s="40"/>
      <c r="C164" s="40"/>
    </row>
    <row r="165" spans="1:3" x14ac:dyDescent="0.3">
      <c r="A165" s="40"/>
      <c r="B165" s="40"/>
      <c r="C165" s="40"/>
    </row>
    <row r="166" spans="1:3" x14ac:dyDescent="0.3">
      <c r="A166" s="40"/>
      <c r="B166" s="40"/>
      <c r="C166" s="40"/>
    </row>
    <row r="167" spans="1:3" x14ac:dyDescent="0.3">
      <c r="A167" s="40"/>
      <c r="B167" s="40"/>
      <c r="C167" s="40"/>
    </row>
    <row r="168" spans="1:3" x14ac:dyDescent="0.3">
      <c r="A168" s="40"/>
      <c r="B168" s="40"/>
      <c r="C168" s="40"/>
    </row>
    <row r="169" spans="1:3" x14ac:dyDescent="0.3">
      <c r="A169" s="40"/>
      <c r="B169" s="40"/>
      <c r="C169" s="40"/>
    </row>
    <row r="170" spans="1:3" x14ac:dyDescent="0.3">
      <c r="A170" s="40"/>
      <c r="B170" s="40"/>
      <c r="C170" s="40"/>
    </row>
    <row r="171" spans="1:3" x14ac:dyDescent="0.3">
      <c r="A171" s="40"/>
      <c r="B171" s="40"/>
      <c r="C171" s="40"/>
    </row>
    <row r="172" spans="1:3" x14ac:dyDescent="0.3">
      <c r="A172" s="40"/>
      <c r="B172" s="40"/>
      <c r="C172" s="40"/>
    </row>
    <row r="173" spans="1:3" x14ac:dyDescent="0.3">
      <c r="A173" s="40"/>
      <c r="B173" s="40"/>
      <c r="C173" s="40"/>
    </row>
    <row r="174" spans="1:3" x14ac:dyDescent="0.3">
      <c r="A174" s="40"/>
      <c r="B174" s="40"/>
      <c r="C174" s="40"/>
    </row>
    <row r="175" spans="1:3" x14ac:dyDescent="0.3">
      <c r="A175" s="40"/>
      <c r="B175" s="40"/>
      <c r="C175" s="40"/>
    </row>
    <row r="176" spans="1:3" x14ac:dyDescent="0.3">
      <c r="A176" s="40"/>
      <c r="B176" s="40"/>
      <c r="C176" s="40"/>
    </row>
    <row r="177" spans="1:3" x14ac:dyDescent="0.3">
      <c r="A177" s="40"/>
      <c r="B177" s="40"/>
      <c r="C177" s="40"/>
    </row>
    <row r="178" spans="1:3" x14ac:dyDescent="0.3">
      <c r="A178" s="40"/>
      <c r="B178" s="40"/>
      <c r="C178" s="40"/>
    </row>
    <row r="179" spans="1:3" x14ac:dyDescent="0.3">
      <c r="A179" s="40"/>
      <c r="B179" s="40"/>
      <c r="C179" s="40"/>
    </row>
    <row r="180" spans="1:3" x14ac:dyDescent="0.3">
      <c r="A180" s="40"/>
      <c r="B180" s="40"/>
      <c r="C180" s="40"/>
    </row>
    <row r="181" spans="1:3" x14ac:dyDescent="0.3">
      <c r="A181" s="40"/>
      <c r="B181" s="40"/>
      <c r="C181" s="40"/>
    </row>
    <row r="182" spans="1:3" x14ac:dyDescent="0.3">
      <c r="A182" s="40"/>
      <c r="B182" s="40"/>
      <c r="C182" s="40"/>
    </row>
    <row r="183" spans="1:3" x14ac:dyDescent="0.3">
      <c r="A183" s="40"/>
      <c r="B183" s="40"/>
      <c r="C183" s="40"/>
    </row>
    <row r="184" spans="1:3" x14ac:dyDescent="0.3">
      <c r="A184" s="40"/>
      <c r="B184" s="40"/>
      <c r="C184" s="40"/>
    </row>
    <row r="185" spans="1:3" x14ac:dyDescent="0.3">
      <c r="A185" s="40"/>
      <c r="B185" s="40"/>
      <c r="C185" s="40"/>
    </row>
    <row r="186" spans="1:3" x14ac:dyDescent="0.3">
      <c r="A186" s="40"/>
      <c r="B186" s="40"/>
      <c r="C186" s="40"/>
    </row>
    <row r="187" spans="1:3" x14ac:dyDescent="0.3">
      <c r="A187" s="40"/>
      <c r="B187" s="40"/>
      <c r="C187" s="40"/>
    </row>
    <row r="188" spans="1:3" x14ac:dyDescent="0.3">
      <c r="A188" s="40"/>
      <c r="B188" s="40"/>
      <c r="C188" s="40"/>
    </row>
    <row r="189" spans="1:3" x14ac:dyDescent="0.3">
      <c r="A189" s="40"/>
      <c r="B189" s="40"/>
      <c r="C189" s="40"/>
    </row>
    <row r="190" spans="1:3" x14ac:dyDescent="0.3">
      <c r="A190" s="40"/>
      <c r="B190" s="40"/>
      <c r="C190" s="40"/>
    </row>
    <row r="191" spans="1:3" x14ac:dyDescent="0.3">
      <c r="A191" s="40"/>
      <c r="B191" s="40"/>
      <c r="C191" s="40"/>
    </row>
    <row r="192" spans="1:3" x14ac:dyDescent="0.3">
      <c r="A192" s="40"/>
      <c r="B192" s="40"/>
      <c r="C192" s="40"/>
    </row>
    <row r="193" spans="1:3" x14ac:dyDescent="0.3">
      <c r="A193" s="40"/>
      <c r="B193" s="40"/>
      <c r="C193" s="40"/>
    </row>
    <row r="194" spans="1:3" x14ac:dyDescent="0.3">
      <c r="A194" s="40"/>
      <c r="B194" s="40"/>
      <c r="C194" s="40"/>
    </row>
    <row r="195" spans="1:3" x14ac:dyDescent="0.3">
      <c r="A195" s="40"/>
      <c r="B195" s="40"/>
      <c r="C195" s="40"/>
    </row>
    <row r="196" spans="1:3" x14ac:dyDescent="0.3">
      <c r="A196" s="40"/>
      <c r="B196" s="40"/>
      <c r="C196" s="40"/>
    </row>
    <row r="197" spans="1:3" x14ac:dyDescent="0.3">
      <c r="A197" s="40"/>
      <c r="B197" s="40"/>
      <c r="C197" s="40"/>
    </row>
    <row r="198" spans="1:3" x14ac:dyDescent="0.3">
      <c r="A198" s="40"/>
      <c r="B198" s="40"/>
      <c r="C198" s="40"/>
    </row>
    <row r="199" spans="1:3" x14ac:dyDescent="0.3">
      <c r="A199" s="40"/>
      <c r="B199" s="40"/>
      <c r="C199" s="40"/>
    </row>
    <row r="200" spans="1:3" x14ac:dyDescent="0.3">
      <c r="A200" s="40"/>
      <c r="B200" s="40"/>
      <c r="C200" s="40"/>
    </row>
    <row r="201" spans="1:3" x14ac:dyDescent="0.3">
      <c r="A201" s="40"/>
      <c r="B201" s="40"/>
      <c r="C201" s="40"/>
    </row>
    <row r="202" spans="1:3" x14ac:dyDescent="0.3">
      <c r="A202" s="40"/>
      <c r="B202" s="40"/>
      <c r="C202" s="40"/>
    </row>
    <row r="203" spans="1:3" x14ac:dyDescent="0.3">
      <c r="A203" s="40"/>
      <c r="B203" s="40"/>
      <c r="C203" s="40"/>
    </row>
    <row r="204" spans="1:3" x14ac:dyDescent="0.3">
      <c r="A204" s="40"/>
      <c r="B204" s="40"/>
      <c r="C204" s="40"/>
    </row>
    <row r="205" spans="1:3" x14ac:dyDescent="0.3">
      <c r="A205" s="40"/>
      <c r="B205" s="40"/>
      <c r="C205" s="40"/>
    </row>
    <row r="206" spans="1:3" x14ac:dyDescent="0.3">
      <c r="A206" s="40"/>
      <c r="B206" s="40"/>
      <c r="C206" s="40"/>
    </row>
    <row r="207" spans="1:3" x14ac:dyDescent="0.3">
      <c r="A207" s="40"/>
      <c r="B207" s="40"/>
      <c r="C207" s="40"/>
    </row>
    <row r="208" spans="1:3" x14ac:dyDescent="0.3">
      <c r="A208" s="40"/>
      <c r="B208" s="40"/>
      <c r="C208" s="40"/>
    </row>
    <row r="209" spans="1:3" x14ac:dyDescent="0.3">
      <c r="A209" s="40"/>
      <c r="B209" s="40"/>
      <c r="C209" s="40"/>
    </row>
    <row r="210" spans="1:3" x14ac:dyDescent="0.3">
      <c r="A210" s="40"/>
      <c r="B210" s="40"/>
      <c r="C210" s="40"/>
    </row>
    <row r="211" spans="1:3" x14ac:dyDescent="0.3">
      <c r="A211" s="40"/>
      <c r="B211" s="40"/>
      <c r="C211" s="40"/>
    </row>
    <row r="212" spans="1:3" x14ac:dyDescent="0.3">
      <c r="A212" s="40"/>
      <c r="B212" s="40"/>
      <c r="C212" s="40"/>
    </row>
    <row r="213" spans="1:3" x14ac:dyDescent="0.3">
      <c r="A213" s="40"/>
      <c r="B213" s="40"/>
      <c r="C213" s="40"/>
    </row>
    <row r="214" spans="1:3" x14ac:dyDescent="0.3">
      <c r="A214" s="40"/>
      <c r="B214" s="40"/>
      <c r="C214" s="40"/>
    </row>
    <row r="215" spans="1:3" x14ac:dyDescent="0.3">
      <c r="A215" s="40"/>
      <c r="B215" s="40"/>
      <c r="C215" s="40"/>
    </row>
    <row r="216" spans="1:3" x14ac:dyDescent="0.3">
      <c r="A216" s="40"/>
      <c r="B216" s="40"/>
      <c r="C216" s="40"/>
    </row>
    <row r="217" spans="1:3" x14ac:dyDescent="0.3">
      <c r="A217" s="40"/>
      <c r="B217" s="40"/>
      <c r="C217" s="40"/>
    </row>
    <row r="218" spans="1:3" x14ac:dyDescent="0.3">
      <c r="A218" s="40"/>
      <c r="B218" s="40"/>
      <c r="C218" s="40"/>
    </row>
    <row r="219" spans="1:3" x14ac:dyDescent="0.3">
      <c r="A219" s="40"/>
      <c r="B219" s="40"/>
      <c r="C219" s="40"/>
    </row>
    <row r="220" spans="1:3" x14ac:dyDescent="0.3">
      <c r="A220" s="40"/>
      <c r="B220" s="40"/>
      <c r="C220" s="40"/>
    </row>
    <row r="221" spans="1:3" x14ac:dyDescent="0.3">
      <c r="A221" s="40"/>
      <c r="B221" s="40"/>
      <c r="C221" s="40"/>
    </row>
    <row r="222" spans="1:3" x14ac:dyDescent="0.3">
      <c r="A222" s="40"/>
      <c r="B222" s="40"/>
      <c r="C222" s="40"/>
    </row>
    <row r="223" spans="1:3" x14ac:dyDescent="0.3">
      <c r="A223" s="40"/>
      <c r="B223" s="40"/>
      <c r="C223" s="40"/>
    </row>
    <row r="224" spans="1:3" x14ac:dyDescent="0.3">
      <c r="A224" s="40"/>
      <c r="B224" s="40"/>
      <c r="C224" s="40"/>
    </row>
    <row r="225" spans="1:3" x14ac:dyDescent="0.3">
      <c r="A225" s="40"/>
      <c r="B225" s="40"/>
      <c r="C225" s="40"/>
    </row>
    <row r="226" spans="1:3" x14ac:dyDescent="0.3">
      <c r="A226" s="40"/>
      <c r="B226" s="40"/>
      <c r="C226" s="40"/>
    </row>
    <row r="227" spans="1:3" x14ac:dyDescent="0.3">
      <c r="A227" s="40"/>
      <c r="B227" s="40"/>
      <c r="C227" s="40"/>
    </row>
    <row r="228" spans="1:3" x14ac:dyDescent="0.3">
      <c r="A228" s="40"/>
      <c r="B228" s="40"/>
      <c r="C228" s="40"/>
    </row>
    <row r="229" spans="1:3" x14ac:dyDescent="0.3">
      <c r="A229" s="40"/>
      <c r="B229" s="40"/>
      <c r="C229" s="40"/>
    </row>
    <row r="230" spans="1:3" x14ac:dyDescent="0.3">
      <c r="A230" s="40"/>
      <c r="B230" s="40"/>
      <c r="C230" s="40"/>
    </row>
    <row r="231" spans="1:3" x14ac:dyDescent="0.3">
      <c r="A231" s="40"/>
      <c r="B231" s="40"/>
      <c r="C231" s="40"/>
    </row>
    <row r="232" spans="1:3" x14ac:dyDescent="0.3">
      <c r="A232" s="40"/>
      <c r="B232" s="40"/>
      <c r="C232" s="40"/>
    </row>
    <row r="233" spans="1:3" x14ac:dyDescent="0.3">
      <c r="A233" s="40"/>
      <c r="B233" s="40"/>
      <c r="C233" s="40"/>
    </row>
    <row r="234" spans="1:3" x14ac:dyDescent="0.3">
      <c r="A234" s="40"/>
      <c r="B234" s="40"/>
      <c r="C234" s="40"/>
    </row>
    <row r="235" spans="1:3" x14ac:dyDescent="0.3">
      <c r="A235" s="40"/>
      <c r="B235" s="40"/>
      <c r="C235" s="40"/>
    </row>
    <row r="236" spans="1:3" x14ac:dyDescent="0.3">
      <c r="A236" s="40"/>
      <c r="B236" s="40"/>
      <c r="C236" s="40"/>
    </row>
    <row r="237" spans="1:3" x14ac:dyDescent="0.3">
      <c r="A237" s="40"/>
      <c r="B237" s="40"/>
      <c r="C237" s="40"/>
    </row>
    <row r="238" spans="1:3" x14ac:dyDescent="0.3">
      <c r="A238" s="40"/>
      <c r="B238" s="40"/>
      <c r="C238" s="40"/>
    </row>
    <row r="239" spans="1:3" x14ac:dyDescent="0.3">
      <c r="A239" s="40"/>
      <c r="B239" s="40"/>
      <c r="C239" s="40"/>
    </row>
    <row r="240" spans="1:3" x14ac:dyDescent="0.3">
      <c r="A240" s="40"/>
      <c r="B240" s="40"/>
      <c r="C240" s="40"/>
    </row>
    <row r="241" spans="1:3" x14ac:dyDescent="0.3">
      <c r="A241" s="40"/>
      <c r="B241" s="40"/>
      <c r="C241" s="40"/>
    </row>
    <row r="242" spans="1:3" x14ac:dyDescent="0.3">
      <c r="A242" s="40"/>
      <c r="B242" s="40"/>
      <c r="C242" s="40"/>
    </row>
    <row r="243" spans="1:3" x14ac:dyDescent="0.3">
      <c r="A243" s="40"/>
      <c r="B243" s="40"/>
      <c r="C243" s="40"/>
    </row>
    <row r="244" spans="1:3" x14ac:dyDescent="0.3">
      <c r="A244" s="40"/>
      <c r="B244" s="40"/>
      <c r="C244" s="40"/>
    </row>
    <row r="245" spans="1:3" x14ac:dyDescent="0.3">
      <c r="A245" s="40"/>
      <c r="B245" s="40"/>
      <c r="C245" s="40"/>
    </row>
    <row r="246" spans="1:3" x14ac:dyDescent="0.3">
      <c r="A246" s="40"/>
      <c r="B246" s="40"/>
      <c r="C246" s="40"/>
    </row>
    <row r="247" spans="1:3" x14ac:dyDescent="0.3">
      <c r="A247" s="40"/>
      <c r="B247" s="40"/>
      <c r="C247" s="40"/>
    </row>
    <row r="248" spans="1:3" x14ac:dyDescent="0.3">
      <c r="A248" s="40"/>
      <c r="B248" s="40"/>
      <c r="C248" s="40"/>
    </row>
    <row r="249" spans="1:3" x14ac:dyDescent="0.3">
      <c r="A249" s="40"/>
      <c r="B249" s="40"/>
      <c r="C249" s="40"/>
    </row>
    <row r="250" spans="1:3" x14ac:dyDescent="0.3">
      <c r="A250" s="40"/>
      <c r="B250" s="40"/>
      <c r="C250" s="40"/>
    </row>
    <row r="251" spans="1:3" x14ac:dyDescent="0.3">
      <c r="A251" s="40"/>
      <c r="B251" s="40"/>
      <c r="C251" s="40"/>
    </row>
    <row r="252" spans="1:3" x14ac:dyDescent="0.3">
      <c r="A252" s="40"/>
      <c r="B252" s="40"/>
      <c r="C252" s="40"/>
    </row>
    <row r="253" spans="1:3" x14ac:dyDescent="0.3">
      <c r="A253" s="40"/>
      <c r="B253" s="40"/>
      <c r="C253" s="40"/>
    </row>
    <row r="254" spans="1:3" x14ac:dyDescent="0.3">
      <c r="A254" s="40"/>
      <c r="B254" s="40"/>
      <c r="C254" s="40"/>
    </row>
    <row r="255" spans="1:3" x14ac:dyDescent="0.3">
      <c r="A255" s="40"/>
      <c r="B255" s="40"/>
      <c r="C255" s="40"/>
    </row>
    <row r="256" spans="1:3" x14ac:dyDescent="0.3">
      <c r="A256" s="40"/>
      <c r="B256" s="40"/>
      <c r="C256" s="40"/>
    </row>
    <row r="257" spans="1:3" x14ac:dyDescent="0.3">
      <c r="A257" s="40"/>
      <c r="B257" s="40"/>
      <c r="C257" s="40"/>
    </row>
    <row r="258" spans="1:3" x14ac:dyDescent="0.3">
      <c r="A258" s="40"/>
      <c r="B258" s="40"/>
      <c r="C258" s="40"/>
    </row>
    <row r="259" spans="1:3" x14ac:dyDescent="0.3">
      <c r="A259" s="40"/>
      <c r="B259" s="40"/>
      <c r="C259" s="40"/>
    </row>
    <row r="260" spans="1:3" x14ac:dyDescent="0.3">
      <c r="A260" s="40"/>
      <c r="B260" s="40"/>
      <c r="C260" s="40"/>
    </row>
    <row r="261" spans="1:3" x14ac:dyDescent="0.3">
      <c r="A261" s="40"/>
      <c r="B261" s="40"/>
      <c r="C261" s="40"/>
    </row>
    <row r="262" spans="1:3" x14ac:dyDescent="0.3">
      <c r="A262" s="40"/>
      <c r="B262" s="40"/>
      <c r="C262" s="40"/>
    </row>
    <row r="263" spans="1:3" x14ac:dyDescent="0.3">
      <c r="A263" s="40"/>
      <c r="B263" s="40"/>
      <c r="C263" s="40"/>
    </row>
    <row r="264" spans="1:3" x14ac:dyDescent="0.3">
      <c r="A264" s="40"/>
      <c r="B264" s="40"/>
      <c r="C264" s="40"/>
    </row>
    <row r="265" spans="1:3" x14ac:dyDescent="0.3">
      <c r="A265" s="40"/>
      <c r="B265" s="40"/>
      <c r="C265" s="40"/>
    </row>
    <row r="266" spans="1:3" x14ac:dyDescent="0.3">
      <c r="A266" s="40"/>
      <c r="B266" s="40"/>
      <c r="C266" s="40"/>
    </row>
    <row r="267" spans="1:3" x14ac:dyDescent="0.3">
      <c r="A267" s="40"/>
      <c r="B267" s="40"/>
      <c r="C267" s="40"/>
    </row>
    <row r="268" spans="1:3" x14ac:dyDescent="0.3">
      <c r="A268" s="40"/>
      <c r="B268" s="40"/>
      <c r="C268" s="40"/>
    </row>
    <row r="269" spans="1:3" x14ac:dyDescent="0.3">
      <c r="A269" s="40"/>
      <c r="B269" s="40"/>
      <c r="C269" s="40"/>
    </row>
    <row r="270" spans="1:3" x14ac:dyDescent="0.3">
      <c r="A270" s="40"/>
      <c r="B270" s="40"/>
      <c r="C270" s="40"/>
    </row>
    <row r="271" spans="1:3" x14ac:dyDescent="0.3">
      <c r="A271" s="40"/>
      <c r="B271" s="40"/>
      <c r="C271" s="40"/>
    </row>
    <row r="272" spans="1:3" x14ac:dyDescent="0.3">
      <c r="A272" s="40"/>
      <c r="B272" s="40"/>
      <c r="C272" s="40"/>
    </row>
    <row r="273" spans="1:3" x14ac:dyDescent="0.3">
      <c r="A273" s="40"/>
      <c r="B273" s="40"/>
      <c r="C273" s="40"/>
    </row>
    <row r="274" spans="1:3" x14ac:dyDescent="0.3">
      <c r="A274" s="40"/>
      <c r="B274" s="40"/>
      <c r="C274" s="40"/>
    </row>
    <row r="275" spans="1:3" x14ac:dyDescent="0.3">
      <c r="A275" s="40"/>
      <c r="B275" s="40"/>
      <c r="C275" s="40"/>
    </row>
    <row r="276" spans="1:3" x14ac:dyDescent="0.3">
      <c r="A276" s="40"/>
      <c r="B276" s="40"/>
      <c r="C276" s="40"/>
    </row>
    <row r="277" spans="1:3" x14ac:dyDescent="0.3">
      <c r="A277" s="40"/>
      <c r="B277" s="40"/>
      <c r="C277" s="40"/>
    </row>
    <row r="278" spans="1:3" x14ac:dyDescent="0.3">
      <c r="A278" s="40"/>
      <c r="B278" s="40"/>
      <c r="C278" s="40"/>
    </row>
    <row r="279" spans="1:3" x14ac:dyDescent="0.3">
      <c r="A279" s="40"/>
      <c r="B279" s="40"/>
      <c r="C279" s="40"/>
    </row>
    <row r="280" spans="1:3" x14ac:dyDescent="0.3">
      <c r="A280" s="40"/>
      <c r="B280" s="40"/>
      <c r="C280" s="40"/>
    </row>
    <row r="281" spans="1:3" x14ac:dyDescent="0.3">
      <c r="A281" s="40"/>
      <c r="B281" s="40"/>
      <c r="C281" s="40"/>
    </row>
    <row r="282" spans="1:3" x14ac:dyDescent="0.3">
      <c r="A282" s="40"/>
      <c r="B282" s="40"/>
      <c r="C282" s="40"/>
    </row>
    <row r="283" spans="1:3" x14ac:dyDescent="0.3">
      <c r="A283" s="40"/>
      <c r="B283" s="40"/>
      <c r="C283" s="40"/>
    </row>
    <row r="284" spans="1:3" x14ac:dyDescent="0.3">
      <c r="A284" s="40"/>
      <c r="B284" s="40"/>
      <c r="C284" s="40"/>
    </row>
    <row r="285" spans="1:3" x14ac:dyDescent="0.3">
      <c r="A285" s="40"/>
      <c r="B285" s="40"/>
      <c r="C285" s="40"/>
    </row>
    <row r="286" spans="1:3" x14ac:dyDescent="0.3">
      <c r="A286" s="40"/>
      <c r="B286" s="40"/>
      <c r="C286" s="40"/>
    </row>
    <row r="287" spans="1:3" x14ac:dyDescent="0.3">
      <c r="A287" s="40"/>
      <c r="B287" s="40"/>
      <c r="C287" s="40"/>
    </row>
    <row r="288" spans="1:3" x14ac:dyDescent="0.3">
      <c r="A288" s="40"/>
      <c r="B288" s="40"/>
      <c r="C288" s="40"/>
    </row>
    <row r="289" spans="1:3" x14ac:dyDescent="0.3">
      <c r="A289" s="40"/>
      <c r="B289" s="40"/>
      <c r="C289" s="40"/>
    </row>
    <row r="290" spans="1:3" x14ac:dyDescent="0.3">
      <c r="A290" s="40"/>
      <c r="B290" s="40"/>
      <c r="C290" s="40"/>
    </row>
    <row r="291" spans="1:3" x14ac:dyDescent="0.3">
      <c r="A291" s="40"/>
      <c r="B291" s="40"/>
      <c r="C291" s="40"/>
    </row>
    <row r="292" spans="1:3" x14ac:dyDescent="0.3">
      <c r="A292" s="40"/>
      <c r="B292" s="40"/>
      <c r="C292" s="40"/>
    </row>
    <row r="293" spans="1:3" x14ac:dyDescent="0.3">
      <c r="A293" s="40"/>
      <c r="B293" s="40"/>
      <c r="C293" s="40"/>
    </row>
    <row r="294" spans="1:3" x14ac:dyDescent="0.3">
      <c r="A294" s="40"/>
      <c r="B294" s="40"/>
      <c r="C294" s="40"/>
    </row>
    <row r="295" spans="1:3" x14ac:dyDescent="0.3">
      <c r="A295" s="40"/>
      <c r="B295" s="40"/>
      <c r="C295" s="40"/>
    </row>
    <row r="296" spans="1:3" x14ac:dyDescent="0.3">
      <c r="A296" s="40"/>
      <c r="B296" s="40"/>
      <c r="C296" s="40"/>
    </row>
    <row r="297" spans="1:3" x14ac:dyDescent="0.3">
      <c r="A297" s="40"/>
      <c r="B297" s="40"/>
      <c r="C297" s="40"/>
    </row>
    <row r="298" spans="1:3" x14ac:dyDescent="0.3">
      <c r="A298" s="40"/>
      <c r="B298" s="40"/>
      <c r="C298" s="40"/>
    </row>
    <row r="299" spans="1:3" x14ac:dyDescent="0.3">
      <c r="A299" s="40"/>
      <c r="B299" s="40"/>
      <c r="C299" s="40"/>
    </row>
    <row r="300" spans="1:3" x14ac:dyDescent="0.3">
      <c r="A300" s="40"/>
      <c r="B300" s="40"/>
      <c r="C300" s="40"/>
    </row>
    <row r="301" spans="1:3" x14ac:dyDescent="0.3">
      <c r="A301" s="40"/>
      <c r="B301" s="40"/>
      <c r="C301" s="40"/>
    </row>
    <row r="302" spans="1:3" x14ac:dyDescent="0.3">
      <c r="A302" s="40"/>
      <c r="B302" s="40"/>
      <c r="C302" s="40"/>
    </row>
    <row r="303" spans="1:3" x14ac:dyDescent="0.3">
      <c r="A303" s="40"/>
      <c r="B303" s="40"/>
      <c r="C303" s="40"/>
    </row>
    <row r="304" spans="1:3" x14ac:dyDescent="0.3">
      <c r="A304" s="40"/>
      <c r="B304" s="40"/>
      <c r="C304" s="40"/>
    </row>
    <row r="305" spans="1:3" x14ac:dyDescent="0.3">
      <c r="A305" s="40"/>
      <c r="B305" s="40"/>
      <c r="C305" s="40"/>
    </row>
    <row r="306" spans="1:3" x14ac:dyDescent="0.3">
      <c r="A306" s="40"/>
      <c r="B306" s="40"/>
      <c r="C306" s="40"/>
    </row>
    <row r="307" spans="1:3" x14ac:dyDescent="0.3">
      <c r="A307" s="40"/>
      <c r="B307" s="40"/>
      <c r="C307" s="40"/>
    </row>
    <row r="308" spans="1:3" x14ac:dyDescent="0.3">
      <c r="A308" s="40"/>
      <c r="B308" s="40"/>
      <c r="C308" s="40"/>
    </row>
    <row r="309" spans="1:3" x14ac:dyDescent="0.3">
      <c r="A309" s="40"/>
      <c r="B309" s="40"/>
      <c r="C309" s="40"/>
    </row>
    <row r="310" spans="1:3" x14ac:dyDescent="0.3">
      <c r="A310" s="40"/>
      <c r="B310" s="40"/>
      <c r="C310" s="40"/>
    </row>
    <row r="311" spans="1:3" x14ac:dyDescent="0.3">
      <c r="A311" s="40"/>
      <c r="B311" s="40"/>
      <c r="C311" s="40"/>
    </row>
    <row r="312" spans="1:3" x14ac:dyDescent="0.3">
      <c r="A312" s="40"/>
      <c r="B312" s="40"/>
      <c r="C312" s="40"/>
    </row>
    <row r="313" spans="1:3" x14ac:dyDescent="0.3">
      <c r="A313" s="40"/>
      <c r="B313" s="40"/>
      <c r="C313" s="40"/>
    </row>
    <row r="314" spans="1:3" x14ac:dyDescent="0.3">
      <c r="A314" s="40"/>
      <c r="B314" s="40"/>
      <c r="C314" s="40"/>
    </row>
    <row r="315" spans="1:3" x14ac:dyDescent="0.3">
      <c r="A315" s="40"/>
      <c r="B315" s="40"/>
      <c r="C315" s="40"/>
    </row>
    <row r="316" spans="1:3" x14ac:dyDescent="0.3">
      <c r="A316" s="40"/>
      <c r="B316" s="40"/>
      <c r="C316" s="40"/>
    </row>
    <row r="317" spans="1:3" x14ac:dyDescent="0.3">
      <c r="A317" s="40"/>
      <c r="B317" s="40"/>
      <c r="C317" s="40"/>
    </row>
    <row r="318" spans="1:3" x14ac:dyDescent="0.3">
      <c r="A318" s="40"/>
      <c r="B318" s="40"/>
      <c r="C318" s="40"/>
    </row>
  </sheetData>
  <sheetProtection algorithmName="SHA-512" hashValue="MMkPYjhobt90KEq6D4Wo882hwtSwN0mclTSxIAp8jpMn3hHMQ0PGQuRG1CXKriAsRT9zyU0NuIViCBOobem5Fg==" saltValue="OntJ+lk3vMAdM6A9mt4szA==" spinCount="100000" sheet="1" objects="1" scenarios="1" formatColumns="0" selectLockedCells="1"/>
  <mergeCells count="2">
    <mergeCell ref="R2:X14"/>
    <mergeCell ref="R16:X28"/>
  </mergeCells>
  <dataValidations count="1">
    <dataValidation type="textLength" showInputMessage="1" showErrorMessage="1" errorTitle="Security: Zip Password" error="The Zip password field cannot be left blank" sqref="A2" xr:uid="{00000000-0002-0000-0300-000000000000}">
      <formula1>1</formula1>
      <formula2>256</formula2>
    </dataValidation>
  </dataValidation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86"/>
  <sheetViews>
    <sheetView workbookViewId="0">
      <selection activeCell="D6" sqref="D6"/>
    </sheetView>
  </sheetViews>
  <sheetFormatPr defaultRowHeight="14.4" x14ac:dyDescent="0.3"/>
  <cols>
    <col min="1" max="1" width="25.33203125" style="61" bestFit="1" customWidth="1"/>
    <col min="2" max="2" width="12" style="61" bestFit="1" customWidth="1"/>
    <col min="3" max="3" width="38.33203125" style="61" bestFit="1" customWidth="1"/>
    <col min="4" max="4" width="34.6640625" style="61" bestFit="1" customWidth="1"/>
    <col min="5" max="5" width="15.5546875" style="61" customWidth="1"/>
    <col min="6" max="6" width="35.33203125" style="61" bestFit="1" customWidth="1"/>
    <col min="7" max="7" width="18.44140625" style="61" bestFit="1" customWidth="1"/>
    <col min="8" max="8" width="1.109375" style="61" customWidth="1"/>
    <col min="9" max="14" width="9.33203125" style="40"/>
    <col min="15" max="26" width="9.33203125" style="61"/>
  </cols>
  <sheetData>
    <row r="1" spans="1:26" s="67" customFormat="1" ht="31.2" x14ac:dyDescent="0.3">
      <c r="A1" s="64" t="s">
        <v>106</v>
      </c>
      <c r="B1" s="64" t="s">
        <v>35</v>
      </c>
      <c r="C1" s="65" t="s">
        <v>10</v>
      </c>
      <c r="D1" s="68" t="s">
        <v>111</v>
      </c>
      <c r="E1" s="68" t="s">
        <v>112</v>
      </c>
      <c r="F1" s="64" t="s">
        <v>33</v>
      </c>
      <c r="G1" s="68" t="s">
        <v>113</v>
      </c>
      <c r="H1" s="66"/>
      <c r="I1" s="69"/>
      <c r="J1" s="69"/>
      <c r="K1" s="69"/>
      <c r="L1" s="69"/>
      <c r="M1" s="69"/>
      <c r="N1" s="69"/>
      <c r="O1" s="66"/>
      <c r="P1" s="66"/>
      <c r="Q1" s="66"/>
      <c r="R1" s="66"/>
      <c r="S1" s="66"/>
      <c r="T1" s="66"/>
      <c r="U1" s="66"/>
      <c r="V1" s="66"/>
      <c r="W1" s="66"/>
      <c r="X1" s="66"/>
      <c r="Y1" s="66"/>
      <c r="Z1" s="66"/>
    </row>
    <row r="2" spans="1:26" x14ac:dyDescent="0.3">
      <c r="A2" t="s">
        <v>139</v>
      </c>
      <c r="B2" t="s">
        <v>84</v>
      </c>
      <c r="C2" t="s">
        <v>131</v>
      </c>
      <c r="E2"/>
      <c r="F2" t="s">
        <v>132</v>
      </c>
      <c r="G2" s="89" t="s">
        <v>107</v>
      </c>
    </row>
    <row r="3" spans="1:26" ht="15" thickBot="1" x14ac:dyDescent="0.35">
      <c r="A3" t="s">
        <v>135</v>
      </c>
      <c r="B3" t="s">
        <v>84</v>
      </c>
      <c r="C3" t="s">
        <v>135</v>
      </c>
      <c r="E3"/>
      <c r="F3" t="s">
        <v>136</v>
      </c>
      <c r="G3" s="89" t="s">
        <v>107</v>
      </c>
    </row>
    <row r="4" spans="1:26" x14ac:dyDescent="0.3">
      <c r="A4" t="s">
        <v>140</v>
      </c>
      <c r="B4" t="s">
        <v>84</v>
      </c>
      <c r="C4" t="s">
        <v>133</v>
      </c>
      <c r="E4"/>
      <c r="F4" t="s">
        <v>134</v>
      </c>
      <c r="G4" s="89" t="s">
        <v>107</v>
      </c>
      <c r="I4" s="111" t="s">
        <v>129</v>
      </c>
      <c r="J4" s="112"/>
      <c r="K4" s="112"/>
      <c r="L4" s="112"/>
      <c r="M4" s="113"/>
    </row>
    <row r="5" spans="1:26" x14ac:dyDescent="0.3">
      <c r="A5"/>
      <c r="B5"/>
      <c r="C5"/>
      <c r="E5"/>
      <c r="F5"/>
      <c r="G5" s="89"/>
      <c r="I5" s="114"/>
      <c r="J5" s="115"/>
      <c r="K5" s="115"/>
      <c r="L5" s="115"/>
      <c r="M5" s="116"/>
    </row>
    <row r="6" spans="1:26" x14ac:dyDescent="0.3">
      <c r="A6"/>
      <c r="B6"/>
      <c r="C6"/>
      <c r="E6"/>
      <c r="F6"/>
      <c r="G6" s="89"/>
      <c r="I6" s="114"/>
      <c r="J6" s="115"/>
      <c r="K6" s="115"/>
      <c r="L6" s="115"/>
      <c r="M6" s="116"/>
    </row>
    <row r="7" spans="1:26" x14ac:dyDescent="0.3">
      <c r="A7"/>
      <c r="B7"/>
      <c r="C7"/>
      <c r="E7"/>
      <c r="F7"/>
      <c r="G7" s="89"/>
      <c r="I7" s="114"/>
      <c r="J7" s="115"/>
      <c r="K7" s="115"/>
      <c r="L7" s="115"/>
      <c r="M7" s="116"/>
    </row>
    <row r="8" spans="1:26" x14ac:dyDescent="0.3">
      <c r="A8"/>
      <c r="B8"/>
      <c r="C8"/>
      <c r="E8"/>
      <c r="F8"/>
      <c r="G8" s="89"/>
      <c r="I8" s="114"/>
      <c r="J8" s="115"/>
      <c r="K8" s="115"/>
      <c r="L8" s="115"/>
      <c r="M8" s="116"/>
    </row>
    <row r="9" spans="1:26" x14ac:dyDescent="0.3">
      <c r="A9"/>
      <c r="B9"/>
      <c r="C9"/>
      <c r="E9"/>
      <c r="F9"/>
      <c r="G9" s="89"/>
      <c r="I9" s="114"/>
      <c r="J9" s="115"/>
      <c r="K9" s="115"/>
      <c r="L9" s="115"/>
      <c r="M9" s="116"/>
    </row>
    <row r="10" spans="1:26" x14ac:dyDescent="0.3">
      <c r="A10"/>
      <c r="B10"/>
      <c r="C10"/>
      <c r="E10"/>
      <c r="F10"/>
      <c r="G10" s="89"/>
      <c r="I10" s="114"/>
      <c r="J10" s="115"/>
      <c r="K10" s="115"/>
      <c r="L10" s="115"/>
      <c r="M10" s="116"/>
    </row>
    <row r="11" spans="1:26" x14ac:dyDescent="0.3">
      <c r="A11"/>
      <c r="B11"/>
      <c r="C11"/>
      <c r="E11"/>
      <c r="F11"/>
      <c r="G11" s="89"/>
      <c r="I11" s="114"/>
      <c r="J11" s="115"/>
      <c r="K11" s="115"/>
      <c r="L11" s="115"/>
      <c r="M11" s="116"/>
    </row>
    <row r="12" spans="1:26" ht="15" thickBot="1" x14ac:dyDescent="0.35">
      <c r="A12"/>
      <c r="B12"/>
      <c r="C12"/>
      <c r="E12"/>
      <c r="F12"/>
      <c r="G12" s="89"/>
      <c r="I12" s="117"/>
      <c r="J12" s="118"/>
      <c r="K12" s="118"/>
      <c r="L12" s="118"/>
      <c r="M12" s="119"/>
    </row>
    <row r="13" spans="1:26" x14ac:dyDescent="0.3">
      <c r="A13"/>
      <c r="B13"/>
      <c r="C13"/>
      <c r="E13"/>
      <c r="F13"/>
      <c r="G13" s="89"/>
    </row>
    <row r="14" spans="1:26" x14ac:dyDescent="0.3">
      <c r="A14"/>
      <c r="B14"/>
      <c r="C14"/>
      <c r="E14"/>
      <c r="F14"/>
      <c r="G14" s="89"/>
    </row>
    <row r="15" spans="1:26" x14ac:dyDescent="0.3">
      <c r="A15"/>
      <c r="B15"/>
      <c r="C15"/>
      <c r="E15"/>
      <c r="F15"/>
      <c r="G15" s="89"/>
    </row>
    <row r="16" spans="1:26" x14ac:dyDescent="0.3">
      <c r="A16"/>
      <c r="B16"/>
      <c r="C16"/>
      <c r="E16"/>
      <c r="F16"/>
      <c r="G16" s="89"/>
    </row>
    <row r="17" spans="1:7" x14ac:dyDescent="0.3">
      <c r="A17"/>
      <c r="B17"/>
      <c r="C17"/>
      <c r="E17"/>
      <c r="F17"/>
      <c r="G17" s="89"/>
    </row>
    <row r="18" spans="1:7" x14ac:dyDescent="0.3">
      <c r="A18"/>
      <c r="B18"/>
      <c r="C18"/>
      <c r="E18"/>
      <c r="F18"/>
      <c r="G18" s="89"/>
    </row>
    <row r="19" spans="1:7" x14ac:dyDescent="0.3">
      <c r="A19"/>
      <c r="B19"/>
      <c r="C19"/>
      <c r="E19"/>
      <c r="F19"/>
      <c r="G19" s="89"/>
    </row>
    <row r="20" spans="1:7" x14ac:dyDescent="0.3">
      <c r="A20"/>
      <c r="B20"/>
      <c r="C20"/>
      <c r="E20"/>
      <c r="F20"/>
      <c r="G20" s="89"/>
    </row>
    <row r="21" spans="1:7" x14ac:dyDescent="0.3">
      <c r="A21"/>
      <c r="B21"/>
      <c r="C21"/>
      <c r="E21"/>
      <c r="F21"/>
      <c r="G21" s="89"/>
    </row>
    <row r="22" spans="1:7" x14ac:dyDescent="0.3">
      <c r="A22"/>
      <c r="B22"/>
      <c r="C22"/>
      <c r="E22"/>
      <c r="F22"/>
      <c r="G22" s="89"/>
    </row>
    <row r="23" spans="1:7" x14ac:dyDescent="0.3">
      <c r="A23"/>
      <c r="B23"/>
      <c r="C23"/>
      <c r="E23"/>
      <c r="F23"/>
      <c r="G23" s="89"/>
    </row>
    <row r="24" spans="1:7" x14ac:dyDescent="0.3">
      <c r="A24"/>
      <c r="B24"/>
      <c r="C24"/>
      <c r="E24"/>
      <c r="F24"/>
      <c r="G24" s="89"/>
    </row>
    <row r="25" spans="1:7" x14ac:dyDescent="0.3">
      <c r="A25"/>
      <c r="B25"/>
      <c r="C25"/>
      <c r="E25"/>
      <c r="F25"/>
      <c r="G25" s="89"/>
    </row>
    <row r="26" spans="1:7" x14ac:dyDescent="0.3">
      <c r="A26"/>
      <c r="B26"/>
      <c r="C26"/>
      <c r="E26"/>
      <c r="F26"/>
      <c r="G26" s="89"/>
    </row>
    <row r="27" spans="1:7" x14ac:dyDescent="0.3">
      <c r="A27"/>
      <c r="B27"/>
      <c r="C27"/>
      <c r="E27"/>
      <c r="F27"/>
      <c r="G27" s="89"/>
    </row>
    <row r="28" spans="1:7" x14ac:dyDescent="0.3">
      <c r="A28"/>
      <c r="B28"/>
      <c r="C28"/>
      <c r="E28"/>
      <c r="F28"/>
      <c r="G28" s="89"/>
    </row>
    <row r="29" spans="1:7" x14ac:dyDescent="0.3">
      <c r="A29"/>
      <c r="B29"/>
      <c r="C29"/>
      <c r="E29"/>
      <c r="F29"/>
      <c r="G29" s="89"/>
    </row>
    <row r="30" spans="1:7" x14ac:dyDescent="0.3">
      <c r="A30"/>
      <c r="B30"/>
      <c r="C30"/>
      <c r="E30"/>
      <c r="F30"/>
      <c r="G30" s="89"/>
    </row>
    <row r="31" spans="1:7" x14ac:dyDescent="0.3">
      <c r="A31"/>
      <c r="B31"/>
      <c r="C31"/>
      <c r="E31"/>
      <c r="F31"/>
      <c r="G31" s="89"/>
    </row>
    <row r="32" spans="1:7" x14ac:dyDescent="0.3">
      <c r="A32"/>
      <c r="B32"/>
      <c r="C32"/>
      <c r="E32"/>
      <c r="F32"/>
      <c r="G32" s="89"/>
    </row>
    <row r="33" spans="1:7" x14ac:dyDescent="0.3">
      <c r="A33"/>
      <c r="B33"/>
      <c r="C33"/>
      <c r="E33"/>
      <c r="F33"/>
      <c r="G33" s="89"/>
    </row>
    <row r="34" spans="1:7" x14ac:dyDescent="0.3">
      <c r="A34"/>
      <c r="B34"/>
      <c r="C34"/>
      <c r="E34"/>
      <c r="F34"/>
      <c r="G34" s="89"/>
    </row>
    <row r="35" spans="1:7" x14ac:dyDescent="0.3">
      <c r="A35"/>
      <c r="B35"/>
      <c r="C35"/>
      <c r="E35"/>
      <c r="F35"/>
      <c r="G35" s="89"/>
    </row>
    <row r="36" spans="1:7" x14ac:dyDescent="0.3">
      <c r="A36"/>
      <c r="B36"/>
      <c r="C36"/>
      <c r="E36"/>
      <c r="F36"/>
      <c r="G36" s="89"/>
    </row>
    <row r="37" spans="1:7" x14ac:dyDescent="0.3">
      <c r="A37"/>
      <c r="B37"/>
      <c r="C37"/>
      <c r="E37"/>
      <c r="F37"/>
      <c r="G37" s="89"/>
    </row>
    <row r="38" spans="1:7" x14ac:dyDescent="0.3">
      <c r="A38"/>
      <c r="B38"/>
      <c r="C38"/>
      <c r="E38"/>
      <c r="F38"/>
      <c r="G38" s="89"/>
    </row>
    <row r="39" spans="1:7" x14ac:dyDescent="0.3">
      <c r="A39"/>
      <c r="B39"/>
      <c r="C39"/>
      <c r="E39"/>
      <c r="F39"/>
      <c r="G39" s="89"/>
    </row>
    <row r="40" spans="1:7" x14ac:dyDescent="0.3">
      <c r="A40"/>
      <c r="B40"/>
      <c r="C40"/>
      <c r="E40"/>
      <c r="F40"/>
      <c r="G40" s="89"/>
    </row>
    <row r="41" spans="1:7" x14ac:dyDescent="0.3">
      <c r="A41"/>
      <c r="B41"/>
      <c r="C41"/>
      <c r="E41"/>
      <c r="F41"/>
      <c r="G41" s="89"/>
    </row>
    <row r="42" spans="1:7" x14ac:dyDescent="0.3">
      <c r="A42"/>
      <c r="B42"/>
      <c r="C42"/>
      <c r="E42"/>
      <c r="F42"/>
      <c r="G42" s="89"/>
    </row>
    <row r="43" spans="1:7" x14ac:dyDescent="0.3">
      <c r="A43"/>
      <c r="B43"/>
      <c r="C43"/>
      <c r="E43"/>
      <c r="F43"/>
      <c r="G43" s="89"/>
    </row>
    <row r="44" spans="1:7" x14ac:dyDescent="0.3">
      <c r="A44"/>
      <c r="B44"/>
      <c r="C44"/>
      <c r="E44"/>
      <c r="F44"/>
      <c r="G44" s="89"/>
    </row>
    <row r="45" spans="1:7" x14ac:dyDescent="0.3">
      <c r="A45"/>
      <c r="B45"/>
      <c r="C45"/>
      <c r="E45"/>
      <c r="F45"/>
      <c r="G45" s="89"/>
    </row>
    <row r="46" spans="1:7" x14ac:dyDescent="0.3">
      <c r="A46"/>
      <c r="B46"/>
      <c r="C46"/>
      <c r="E46"/>
      <c r="F46"/>
      <c r="G46" s="89"/>
    </row>
    <row r="47" spans="1:7" x14ac:dyDescent="0.3">
      <c r="A47"/>
      <c r="B47"/>
      <c r="C47"/>
      <c r="E47"/>
      <c r="F47"/>
      <c r="G47" s="89"/>
    </row>
    <row r="48" spans="1:7" x14ac:dyDescent="0.3">
      <c r="A48"/>
      <c r="B48"/>
      <c r="C48"/>
      <c r="E48"/>
      <c r="F48"/>
      <c r="G48" s="89"/>
    </row>
    <row r="49" spans="1:7" x14ac:dyDescent="0.3">
      <c r="A49"/>
      <c r="B49"/>
      <c r="C49"/>
      <c r="E49"/>
      <c r="F49"/>
      <c r="G49" s="89"/>
    </row>
    <row r="50" spans="1:7" x14ac:dyDescent="0.3">
      <c r="A50"/>
      <c r="B50"/>
      <c r="C50"/>
      <c r="E50"/>
      <c r="F50"/>
      <c r="G50" s="89"/>
    </row>
    <row r="51" spans="1:7" x14ac:dyDescent="0.3">
      <c r="A51"/>
      <c r="B51"/>
      <c r="C51"/>
      <c r="E51"/>
      <c r="F51"/>
      <c r="G51" s="89"/>
    </row>
    <row r="52" spans="1:7" x14ac:dyDescent="0.3">
      <c r="A52"/>
      <c r="B52"/>
      <c r="C52"/>
      <c r="E52"/>
      <c r="F52"/>
      <c r="G52" s="89"/>
    </row>
    <row r="53" spans="1:7" x14ac:dyDescent="0.3">
      <c r="A53"/>
      <c r="B53"/>
      <c r="C53"/>
      <c r="E53"/>
      <c r="F53"/>
      <c r="G53" s="89"/>
    </row>
    <row r="54" spans="1:7" x14ac:dyDescent="0.3">
      <c r="A54"/>
      <c r="B54"/>
      <c r="C54"/>
      <c r="E54"/>
      <c r="F54"/>
      <c r="G54" s="89"/>
    </row>
    <row r="55" spans="1:7" x14ac:dyDescent="0.3">
      <c r="A55"/>
      <c r="B55"/>
      <c r="C55"/>
      <c r="E55"/>
      <c r="F55"/>
      <c r="G55" s="89"/>
    </row>
    <row r="56" spans="1:7" x14ac:dyDescent="0.3">
      <c r="A56"/>
      <c r="B56"/>
      <c r="C56"/>
      <c r="E56"/>
      <c r="F56"/>
      <c r="G56" s="89"/>
    </row>
    <row r="57" spans="1:7" x14ac:dyDescent="0.3">
      <c r="A57"/>
      <c r="B57"/>
      <c r="C57"/>
      <c r="E57"/>
      <c r="F57"/>
      <c r="G57" s="89"/>
    </row>
    <row r="58" spans="1:7" x14ac:dyDescent="0.3">
      <c r="A58"/>
      <c r="B58"/>
      <c r="C58"/>
      <c r="E58"/>
      <c r="F58"/>
      <c r="G58" s="89"/>
    </row>
    <row r="59" spans="1:7" x14ac:dyDescent="0.3">
      <c r="A59"/>
      <c r="B59"/>
      <c r="C59"/>
      <c r="E59"/>
      <c r="F59"/>
      <c r="G59" s="89"/>
    </row>
    <row r="60" spans="1:7" x14ac:dyDescent="0.3">
      <c r="A60"/>
      <c r="B60"/>
      <c r="C60"/>
      <c r="E60"/>
      <c r="F60"/>
      <c r="G60" s="89"/>
    </row>
    <row r="61" spans="1:7" x14ac:dyDescent="0.3">
      <c r="A61"/>
      <c r="B61"/>
      <c r="C61"/>
      <c r="E61"/>
      <c r="F61"/>
      <c r="G61" s="89"/>
    </row>
    <row r="62" spans="1:7" x14ac:dyDescent="0.3">
      <c r="A62"/>
      <c r="B62"/>
      <c r="C62"/>
      <c r="E62"/>
      <c r="F62"/>
      <c r="G62" s="89"/>
    </row>
    <row r="63" spans="1:7" x14ac:dyDescent="0.3">
      <c r="A63"/>
      <c r="B63"/>
      <c r="C63"/>
      <c r="E63"/>
      <c r="F63"/>
      <c r="G63" s="89"/>
    </row>
    <row r="64" spans="1:7" x14ac:dyDescent="0.3">
      <c r="A64"/>
      <c r="B64"/>
      <c r="C64"/>
      <c r="E64"/>
      <c r="F64"/>
      <c r="G64" s="89"/>
    </row>
    <row r="65" spans="1:7" x14ac:dyDescent="0.3">
      <c r="A65"/>
      <c r="B65"/>
      <c r="C65"/>
      <c r="E65"/>
      <c r="F65"/>
      <c r="G65" s="89"/>
    </row>
    <row r="66" spans="1:7" x14ac:dyDescent="0.3">
      <c r="A66"/>
      <c r="B66"/>
      <c r="C66"/>
      <c r="E66"/>
      <c r="F66"/>
      <c r="G66" s="89"/>
    </row>
    <row r="67" spans="1:7" x14ac:dyDescent="0.3">
      <c r="A67"/>
      <c r="B67"/>
      <c r="C67"/>
      <c r="E67"/>
      <c r="F67"/>
      <c r="G67" s="89"/>
    </row>
    <row r="68" spans="1:7" x14ac:dyDescent="0.3">
      <c r="A68"/>
      <c r="B68"/>
      <c r="C68"/>
      <c r="E68"/>
      <c r="F68"/>
      <c r="G68" s="89"/>
    </row>
    <row r="69" spans="1:7" x14ac:dyDescent="0.3">
      <c r="A69"/>
      <c r="B69"/>
      <c r="C69"/>
      <c r="E69"/>
      <c r="F69"/>
      <c r="G69" s="89"/>
    </row>
    <row r="70" spans="1:7" x14ac:dyDescent="0.3">
      <c r="A70"/>
      <c r="B70"/>
      <c r="C70"/>
      <c r="E70"/>
      <c r="F70"/>
      <c r="G70" s="89"/>
    </row>
    <row r="71" spans="1:7" x14ac:dyDescent="0.3">
      <c r="A71"/>
      <c r="B71"/>
      <c r="C71"/>
      <c r="E71"/>
      <c r="F71"/>
      <c r="G71" s="89"/>
    </row>
    <row r="72" spans="1:7" x14ac:dyDescent="0.3">
      <c r="A72"/>
      <c r="B72"/>
      <c r="C72"/>
      <c r="E72"/>
      <c r="F72"/>
      <c r="G72" s="89"/>
    </row>
    <row r="73" spans="1:7" x14ac:dyDescent="0.3">
      <c r="A73"/>
      <c r="B73"/>
      <c r="C73"/>
      <c r="E73"/>
      <c r="F73"/>
      <c r="G73" s="89"/>
    </row>
    <row r="74" spans="1:7" x14ac:dyDescent="0.3">
      <c r="A74"/>
      <c r="B74"/>
      <c r="C74"/>
      <c r="E74"/>
      <c r="F74"/>
      <c r="G74" s="89"/>
    </row>
    <row r="75" spans="1:7" x14ac:dyDescent="0.3">
      <c r="A75"/>
      <c r="B75"/>
      <c r="C75"/>
      <c r="E75"/>
      <c r="F75"/>
      <c r="G75" s="89"/>
    </row>
    <row r="76" spans="1:7" x14ac:dyDescent="0.3">
      <c r="A76"/>
      <c r="B76"/>
      <c r="C76"/>
      <c r="E76"/>
      <c r="F76"/>
      <c r="G76" s="89"/>
    </row>
    <row r="77" spans="1:7" x14ac:dyDescent="0.3">
      <c r="A77"/>
      <c r="B77"/>
      <c r="C77"/>
      <c r="E77"/>
      <c r="F77"/>
      <c r="G77" s="89"/>
    </row>
    <row r="78" spans="1:7" x14ac:dyDescent="0.3">
      <c r="A78"/>
      <c r="B78"/>
      <c r="C78"/>
      <c r="E78"/>
      <c r="F78"/>
      <c r="G78" s="89"/>
    </row>
    <row r="79" spans="1:7" x14ac:dyDescent="0.3">
      <c r="A79"/>
      <c r="B79"/>
      <c r="C79"/>
      <c r="E79"/>
      <c r="F79"/>
      <c r="G79" s="89"/>
    </row>
    <row r="80" spans="1:7" x14ac:dyDescent="0.3">
      <c r="A80"/>
      <c r="B80"/>
      <c r="C80"/>
      <c r="E80"/>
      <c r="F80"/>
      <c r="G80" s="89"/>
    </row>
    <row r="81" spans="1:7" x14ac:dyDescent="0.3">
      <c r="A81"/>
      <c r="B81"/>
      <c r="C81"/>
      <c r="E81"/>
      <c r="F81"/>
      <c r="G81" s="89"/>
    </row>
    <row r="82" spans="1:7" x14ac:dyDescent="0.3">
      <c r="A82"/>
      <c r="B82"/>
      <c r="C82"/>
      <c r="E82"/>
      <c r="F82"/>
      <c r="G82" s="89"/>
    </row>
    <row r="83" spans="1:7" x14ac:dyDescent="0.3">
      <c r="A83"/>
      <c r="B83"/>
      <c r="C83"/>
      <c r="E83"/>
      <c r="F83"/>
      <c r="G83" s="89"/>
    </row>
    <row r="84" spans="1:7" x14ac:dyDescent="0.3">
      <c r="A84"/>
      <c r="B84"/>
      <c r="C84"/>
      <c r="E84"/>
      <c r="F84"/>
      <c r="G84" s="89"/>
    </row>
    <row r="85" spans="1:7" x14ac:dyDescent="0.3">
      <c r="A85"/>
      <c r="B85"/>
      <c r="C85"/>
      <c r="E85"/>
      <c r="F85"/>
      <c r="G85" s="89"/>
    </row>
    <row r="86" spans="1:7" x14ac:dyDescent="0.3">
      <c r="A86"/>
      <c r="B86"/>
      <c r="C86"/>
      <c r="E86"/>
      <c r="F86"/>
      <c r="G86" s="89"/>
    </row>
  </sheetData>
  <sortState xmlns:xlrd2="http://schemas.microsoft.com/office/spreadsheetml/2017/richdata2" ref="A2:G70">
    <sortCondition ref="A2:A70"/>
  </sortState>
  <mergeCells count="1">
    <mergeCell ref="I4:M12"/>
  </mergeCell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Y20"/>
  <sheetViews>
    <sheetView workbookViewId="0">
      <selection activeCell="M7" sqref="M7"/>
    </sheetView>
  </sheetViews>
  <sheetFormatPr defaultRowHeight="14.4" x14ac:dyDescent="0.3"/>
  <cols>
    <col min="1" max="1" width="27" bestFit="1" customWidth="1"/>
    <col min="2" max="2" width="19.33203125" customWidth="1"/>
    <col min="3" max="3" width="10.6640625" bestFit="1" customWidth="1"/>
    <col min="13" max="13" width="95.5546875" customWidth="1"/>
  </cols>
  <sheetData>
    <row r="1" spans="1:25" ht="15" thickBot="1" x14ac:dyDescent="0.35">
      <c r="A1" s="38" t="s">
        <v>94</v>
      </c>
      <c r="B1" s="39" t="s">
        <v>93</v>
      </c>
      <c r="C1" s="126" t="s">
        <v>145</v>
      </c>
      <c r="D1" s="126"/>
      <c r="E1" s="126"/>
      <c r="F1" s="126"/>
      <c r="G1" s="126"/>
      <c r="H1" s="126"/>
      <c r="I1" s="127"/>
      <c r="J1" s="40"/>
      <c r="K1" s="40"/>
      <c r="L1" t="s">
        <v>89</v>
      </c>
      <c r="M1" t="s">
        <v>124</v>
      </c>
    </row>
    <row r="2" spans="1:25" ht="15" thickBot="1" x14ac:dyDescent="0.35">
      <c r="A2" s="40"/>
      <c r="B2" s="40"/>
      <c r="C2" s="40"/>
      <c r="D2" s="40"/>
      <c r="E2" s="40"/>
      <c r="F2" s="40"/>
      <c r="G2" s="40"/>
      <c r="H2" s="40"/>
      <c r="I2" s="40"/>
      <c r="J2" s="40"/>
      <c r="K2" s="40"/>
      <c r="L2" t="s">
        <v>86</v>
      </c>
      <c r="M2" s="71" t="s">
        <v>125</v>
      </c>
      <c r="N2" s="71"/>
      <c r="O2" s="71"/>
      <c r="P2" s="71"/>
      <c r="Q2" s="71"/>
      <c r="R2" s="71"/>
      <c r="S2" s="71"/>
      <c r="T2" s="71"/>
      <c r="U2" s="71"/>
      <c r="V2" s="71"/>
      <c r="W2" s="71"/>
      <c r="X2" s="71"/>
      <c r="Y2" s="71"/>
    </row>
    <row r="3" spans="1:25" ht="15" thickBot="1" x14ac:dyDescent="0.35">
      <c r="A3" s="38" t="s">
        <v>95</v>
      </c>
      <c r="B3" s="41" t="s">
        <v>100</v>
      </c>
      <c r="C3" s="40"/>
      <c r="D3" s="40"/>
      <c r="E3" s="40"/>
      <c r="F3" s="40"/>
      <c r="G3" s="40"/>
      <c r="H3" s="40"/>
      <c r="I3" s="40"/>
      <c r="J3" s="40"/>
      <c r="K3" s="40"/>
      <c r="L3" t="s">
        <v>123</v>
      </c>
      <c r="M3" t="s">
        <v>127</v>
      </c>
    </row>
    <row r="4" spans="1:25" ht="15" thickBot="1" x14ac:dyDescent="0.35">
      <c r="A4" s="40"/>
      <c r="B4" s="40"/>
      <c r="C4" s="40"/>
      <c r="D4" s="40"/>
      <c r="E4" s="40"/>
      <c r="F4" s="40"/>
      <c r="G4" s="40"/>
      <c r="H4" s="40"/>
      <c r="I4" s="40"/>
      <c r="J4" s="40"/>
      <c r="K4" s="40"/>
      <c r="M4" t="s">
        <v>126</v>
      </c>
    </row>
    <row r="5" spans="1:25" ht="368.25" customHeight="1" x14ac:dyDescent="0.3">
      <c r="A5" s="42" t="s">
        <v>87</v>
      </c>
      <c r="B5" s="43" t="s">
        <v>88</v>
      </c>
      <c r="C5" s="120" t="s">
        <v>101</v>
      </c>
      <c r="D5" s="120"/>
      <c r="E5" s="120"/>
      <c r="F5" s="120"/>
      <c r="G5" s="120"/>
      <c r="H5" s="120"/>
      <c r="I5" s="121"/>
      <c r="J5" s="40"/>
      <c r="K5" s="40"/>
      <c r="M5" s="20" t="s">
        <v>128</v>
      </c>
    </row>
    <row r="6" spans="1:25" x14ac:dyDescent="0.3">
      <c r="A6" s="44"/>
      <c r="B6" s="45" t="s">
        <v>89</v>
      </c>
      <c r="C6" s="122" t="s">
        <v>90</v>
      </c>
      <c r="D6" s="122"/>
      <c r="E6" s="122"/>
      <c r="F6" s="122"/>
      <c r="G6" s="122"/>
      <c r="H6" s="122"/>
      <c r="I6" s="123"/>
      <c r="J6" s="40"/>
      <c r="K6" s="40"/>
      <c r="L6" t="s">
        <v>143</v>
      </c>
      <c r="M6" t="s">
        <v>149</v>
      </c>
    </row>
    <row r="7" spans="1:25" ht="15" thickBot="1" x14ac:dyDescent="0.35">
      <c r="A7" s="46"/>
      <c r="B7" s="47" t="s">
        <v>91</v>
      </c>
      <c r="C7" s="124" t="s">
        <v>92</v>
      </c>
      <c r="D7" s="124"/>
      <c r="E7" s="124"/>
      <c r="F7" s="124"/>
      <c r="G7" s="124"/>
      <c r="H7" s="124"/>
      <c r="I7" s="125"/>
      <c r="J7" s="40"/>
      <c r="K7" s="40"/>
      <c r="L7" t="s">
        <v>145</v>
      </c>
      <c r="M7" t="s">
        <v>146</v>
      </c>
    </row>
    <row r="8" spans="1:25" ht="15" thickBot="1" x14ac:dyDescent="0.35">
      <c r="A8" s="40"/>
      <c r="B8" s="40"/>
      <c r="C8" s="40"/>
      <c r="D8" s="40"/>
      <c r="E8" s="40"/>
      <c r="F8" s="40"/>
      <c r="G8" s="40"/>
      <c r="H8" s="40"/>
      <c r="I8" s="40"/>
      <c r="J8" s="40"/>
      <c r="K8" s="40"/>
      <c r="M8" t="s">
        <v>147</v>
      </c>
    </row>
    <row r="9" spans="1:25" ht="15" thickBot="1" x14ac:dyDescent="0.35">
      <c r="A9" s="38" t="s">
        <v>24</v>
      </c>
      <c r="B9" s="48" t="s">
        <v>21</v>
      </c>
      <c r="C9" s="39"/>
      <c r="D9" s="49" t="s">
        <v>25</v>
      </c>
      <c r="E9" s="50" t="s">
        <v>26</v>
      </c>
      <c r="F9" s="40"/>
      <c r="G9" s="40"/>
      <c r="H9" s="40"/>
      <c r="I9" s="40"/>
      <c r="J9" s="40"/>
      <c r="K9" s="40"/>
      <c r="M9" t="s">
        <v>148</v>
      </c>
    </row>
    <row r="10" spans="1:25" ht="15" thickBot="1" x14ac:dyDescent="0.35">
      <c r="A10" s="40"/>
      <c r="B10" s="51"/>
      <c r="C10" s="40"/>
      <c r="D10" s="52"/>
      <c r="E10" s="53"/>
      <c r="F10" s="40"/>
      <c r="G10" s="40"/>
      <c r="H10" s="40"/>
      <c r="I10" s="40"/>
      <c r="J10" s="40"/>
      <c r="K10" s="40"/>
    </row>
    <row r="11" spans="1:25" x14ac:dyDescent="0.3">
      <c r="A11" s="54" t="s">
        <v>37</v>
      </c>
      <c r="B11" s="55" t="s">
        <v>38</v>
      </c>
      <c r="C11" s="55"/>
      <c r="D11" s="55" t="s">
        <v>39</v>
      </c>
      <c r="E11" s="55" t="s">
        <v>40</v>
      </c>
      <c r="F11" s="55" t="s">
        <v>41</v>
      </c>
      <c r="G11" s="55" t="s">
        <v>42</v>
      </c>
      <c r="H11" s="55" t="s">
        <v>43</v>
      </c>
      <c r="I11" s="55" t="s">
        <v>44</v>
      </c>
      <c r="J11" s="55" t="s">
        <v>45</v>
      </c>
      <c r="K11" s="56"/>
    </row>
    <row r="12" spans="1:25" ht="15" thickBot="1" x14ac:dyDescent="0.35">
      <c r="A12" s="46"/>
      <c r="B12" s="47"/>
      <c r="C12" s="47"/>
      <c r="D12" s="47" t="s">
        <v>46</v>
      </c>
      <c r="E12" s="47" t="s">
        <v>47</v>
      </c>
      <c r="F12" s="47" t="s">
        <v>48</v>
      </c>
      <c r="G12" s="47" t="s">
        <v>49</v>
      </c>
      <c r="H12" s="47" t="s">
        <v>50</v>
      </c>
      <c r="I12" s="47" t="s">
        <v>51</v>
      </c>
      <c r="J12" s="47" t="s">
        <v>52</v>
      </c>
      <c r="K12" s="57"/>
    </row>
    <row r="13" spans="1:25" ht="15" thickBot="1" x14ac:dyDescent="0.35">
      <c r="A13" s="40"/>
      <c r="B13" s="40"/>
      <c r="C13" s="40"/>
      <c r="D13" s="40"/>
      <c r="E13" s="40"/>
      <c r="F13" s="40"/>
      <c r="G13" s="40"/>
      <c r="H13" s="40"/>
      <c r="I13" s="40"/>
      <c r="J13" s="40"/>
      <c r="K13" s="40"/>
    </row>
    <row r="14" spans="1:25" ht="15" thickBot="1" x14ac:dyDescent="0.35">
      <c r="A14" s="38" t="s">
        <v>81</v>
      </c>
      <c r="B14" s="58">
        <f>DATE(2021,1,1)</f>
        <v>44197</v>
      </c>
      <c r="C14" s="59">
        <f>DATE(2030,12,31)</f>
        <v>47848</v>
      </c>
      <c r="D14" s="40"/>
      <c r="E14" s="40"/>
      <c r="F14" s="40"/>
      <c r="G14" s="40"/>
      <c r="H14" s="40"/>
      <c r="I14" s="40"/>
      <c r="J14" s="40"/>
      <c r="K14" s="40"/>
    </row>
    <row r="15" spans="1:25" ht="15" thickBot="1" x14ac:dyDescent="0.35">
      <c r="A15" s="40"/>
      <c r="B15" s="40"/>
      <c r="C15" s="40"/>
      <c r="D15" s="40"/>
      <c r="E15" s="40"/>
      <c r="F15" s="40"/>
      <c r="G15" s="40"/>
      <c r="H15" s="40"/>
      <c r="I15" s="40"/>
      <c r="J15" s="40"/>
      <c r="K15" s="40"/>
    </row>
    <row r="16" spans="1:25" ht="15" thickBot="1" x14ac:dyDescent="0.35">
      <c r="A16" s="38" t="s">
        <v>99</v>
      </c>
      <c r="B16" s="39" t="str">
        <f ca="1">CONCATENATE(DEC2HEX(RANDBETWEEN(0,4294967295),8),"-", DEC2HEX(RANDBETWEEN(0,42949),4),"-",DEC2HEX(RANDBETWEEN(0,42949),4),"-", DEC2HEX(RANDBETWEEN(0,42949),4),"-",DEC2HEX(RANDBETWEEN(0,4294967295),8),"-",DEC2HEX(RANDBETWEEN(0,42949),4))</f>
        <v>4BA8DEDC-0C9B-746B-A2AE-57BF8192-94EC</v>
      </c>
      <c r="C16" s="39"/>
      <c r="D16" s="41"/>
      <c r="E16" s="40"/>
      <c r="F16" s="40"/>
      <c r="G16" s="40"/>
      <c r="H16" s="40"/>
      <c r="I16" s="40"/>
      <c r="J16" s="40"/>
      <c r="K16" s="40"/>
    </row>
    <row r="17" spans="1:11" ht="15" thickBot="1" x14ac:dyDescent="0.35">
      <c r="A17" s="40"/>
      <c r="B17" s="40"/>
      <c r="C17" s="40"/>
      <c r="D17" s="40"/>
      <c r="E17" s="40"/>
      <c r="F17" s="40"/>
      <c r="G17" s="40"/>
      <c r="H17" s="40"/>
      <c r="I17" s="40"/>
      <c r="J17" s="40"/>
      <c r="K17" s="40"/>
    </row>
    <row r="18" spans="1:11" ht="15" thickBot="1" x14ac:dyDescent="0.35">
      <c r="A18" s="38" t="s">
        <v>102</v>
      </c>
      <c r="B18" s="39" t="str">
        <f ca="1">CONCATENATE("M",YEAR('Header Record'!B5),TEXT(MONTH('Header Record'!B5),"mm"),TEXT(DAY('Header Record'!B5),"dd"),"-",LEFT('Control Data (Hidden)'!B16,23))</f>
        <v>M20210105-4BA8DEDC-0C9B-746B-A2AE</v>
      </c>
      <c r="C18" s="39"/>
      <c r="D18" s="41"/>
      <c r="E18" s="40"/>
      <c r="F18" s="40"/>
      <c r="G18" s="40"/>
      <c r="H18" s="40"/>
      <c r="I18" s="40"/>
      <c r="J18" s="40"/>
      <c r="K18" s="40"/>
    </row>
    <row r="19" spans="1:11" ht="15" thickBot="1" x14ac:dyDescent="0.35">
      <c r="A19" s="40"/>
      <c r="B19" s="40"/>
      <c r="C19" s="40"/>
      <c r="D19" s="40"/>
      <c r="E19" s="40"/>
      <c r="F19" s="40"/>
      <c r="G19" s="40"/>
      <c r="H19" s="40"/>
      <c r="I19" s="40"/>
      <c r="J19" s="40"/>
      <c r="K19" s="40"/>
    </row>
    <row r="20" spans="1:11" ht="15" thickBot="1" x14ac:dyDescent="0.35">
      <c r="A20" s="38" t="s">
        <v>105</v>
      </c>
      <c r="B20" s="39" t="str">
        <f ca="1">CONCATENATE("P",YEAR('Header Record'!B5),TEXT(MONTH('Header Record'!B5),"mm"),TEXT(DAY('Header Record'!B5),"dd"),"-",LEFT('Control Data (Hidden)'!B16,23))</f>
        <v>P20210105-4BA8DEDC-0C9B-746B-A2AE</v>
      </c>
      <c r="C20" s="39"/>
      <c r="D20" s="41"/>
      <c r="E20" s="40"/>
      <c r="F20" s="40"/>
      <c r="G20" s="40"/>
      <c r="H20" s="40"/>
      <c r="I20" s="40"/>
      <c r="J20" s="40"/>
      <c r="K20" s="40"/>
    </row>
  </sheetData>
  <sheetProtection formatColumns="0" selectLockedCells="1"/>
  <mergeCells count="4">
    <mergeCell ref="C5:I5"/>
    <mergeCell ref="C6:I6"/>
    <mergeCell ref="C7:I7"/>
    <mergeCell ref="C1:I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Syncovery</dc:creator>
  <cp:lastModifiedBy>ACB</cp:lastModifiedBy>
  <dcterms:created xsi:type="dcterms:W3CDTF">2020-09-21T07:24:46Z</dcterms:created>
  <dcterms:modified xsi:type="dcterms:W3CDTF">2021-06-05T17:15:39Z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