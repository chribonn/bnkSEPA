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showInkAnnotation="0" codeName="ThisWorkbook"/>
  <mc:AlternateContent xmlns:mc="http://schemas.openxmlformats.org/markup-compatibility/2006">
    <mc:Choice Requires="x15">
      <x15ac:absPath xmlns:x15ac="http://schemas.microsoft.com/office/spreadsheetml/2010/11/ac" url="C:\Users\chribonn\Google Drive\_Software\PycharmProjects\bovSEPA\GALMAM002\"/>
    </mc:Choice>
  </mc:AlternateContent>
  <xr:revisionPtr revIDLastSave="0" documentId="13_ncr:1_{6973BD0F-0A10-4185-BEAB-67FAD85CEB7E}" xr6:coauthVersionLast="46" xr6:coauthVersionMax="46" xr10:uidLastSave="{00000000-0000-0000-0000-000000000000}"/>
  <workbookProtection workbookAlgorithmName="SHA-512" workbookHashValue="VXVwZEiaCr/TWXtO0j23eRgcFeGwp0kALw935bNXNZRi3Srvy1wmT7azQ08ZM4WAYdhTcoYE0aFjpGnlFY5+oQ==" workbookSaltValue="68zxROexuTovOh6UHuEqlg==" workbookSpinCount="100000" lockStructure="1"/>
  <bookViews>
    <workbookView xWindow="-120" yWindow="-120" windowWidth="29040" windowHeight="15840" tabRatio="508" firstSheet="2" activeTab="2" xr2:uid="{00000000-000D-0000-FFFF-FFFF00000000}"/>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Data'!$A$2:$G$9999</definedName>
  </definedNames>
  <calcPr calcId="191029"/>
  <pivotCaches>
    <pivotCache cacheId="0" r:id="rId7"/>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J2" i="5"/>
  <c r="I2" i="5"/>
  <c r="H2" i="5"/>
  <c r="G2" i="5"/>
  <c r="F2" i="5"/>
  <c r="E2" i="5"/>
  <c r="O1" i="5"/>
  <c r="N1" i="5"/>
  <c r="M1" i="5"/>
  <c r="L1" i="5"/>
  <c r="K1" i="5"/>
  <c r="J1" i="5"/>
  <c r="I1" i="5"/>
  <c r="H1" i="5"/>
  <c r="G1" i="5"/>
  <c r="F1" i="5"/>
  <c r="E1" i="5"/>
  <c r="B5" i="1" l="1"/>
  <c r="B14" i="3" l="1"/>
  <c r="A6" i="2" l="1"/>
  <c r="B16" i="3"/>
  <c r="B20" i="3" s="1"/>
  <c r="A6" i="1"/>
  <c r="B18" i="3" l="1"/>
  <c r="G7" i="2"/>
  <c r="G6" i="2"/>
  <c r="H6" i="2"/>
  <c r="E5" i="1" l="1"/>
  <c r="A3" i="5" l="1"/>
  <c r="B2" i="5" l="1"/>
  <c r="J68" i="4" l="1"/>
  <c r="J66" i="4"/>
  <c r="J64" i="4"/>
  <c r="J62" i="4"/>
  <c r="J60" i="4"/>
  <c r="J58" i="4"/>
  <c r="J56" i="4"/>
  <c r="J54" i="4"/>
  <c r="J52" i="4"/>
  <c r="J50" i="4"/>
  <c r="J48" i="4"/>
  <c r="J46" i="4"/>
  <c r="J44" i="4"/>
  <c r="J42" i="4"/>
  <c r="J40" i="4"/>
  <c r="J36" i="4"/>
  <c r="J34" i="4"/>
  <c r="J32" i="4"/>
  <c r="J30" i="4"/>
  <c r="J28" i="4"/>
  <c r="J26" i="4"/>
  <c r="J24" i="4"/>
  <c r="J22" i="4"/>
  <c r="J20" i="4"/>
  <c r="J18" i="4"/>
  <c r="J16" i="4"/>
  <c r="J14" i="4"/>
  <c r="J12" i="4"/>
  <c r="J10" i="4"/>
  <c r="J8" i="4"/>
  <c r="J6" i="4"/>
  <c r="C14" i="3" l="1"/>
  <c r="E5" i="2"/>
  <c r="D5" i="2"/>
  <c r="C5" i="1" l="1"/>
  <c r="A5" i="5" s="1"/>
  <c r="A8" i="4"/>
  <c r="D5" i="1"/>
  <c r="B5" i="5" s="1"/>
  <c r="K68" i="4" l="1"/>
  <c r="I68" i="4"/>
  <c r="H68" i="4"/>
  <c r="G68" i="4"/>
  <c r="F68" i="4"/>
  <c r="E68" i="4"/>
  <c r="D68" i="4"/>
  <c r="B68" i="4"/>
  <c r="A68" i="4"/>
  <c r="K66" i="4"/>
  <c r="I66" i="4"/>
  <c r="H66" i="4"/>
  <c r="G66" i="4"/>
  <c r="F66" i="4"/>
  <c r="E66" i="4"/>
  <c r="D66" i="4"/>
  <c r="B66" i="4"/>
  <c r="A66" i="4"/>
  <c r="K64" i="4"/>
  <c r="I64" i="4"/>
  <c r="H64" i="4"/>
  <c r="G64" i="4"/>
  <c r="F64" i="4"/>
  <c r="E64" i="4"/>
  <c r="D64" i="4"/>
  <c r="B64" i="4"/>
  <c r="A64" i="4"/>
  <c r="K62" i="4"/>
  <c r="I62" i="4"/>
  <c r="H62" i="4"/>
  <c r="G62" i="4"/>
  <c r="F62" i="4"/>
  <c r="E62" i="4"/>
  <c r="D62" i="4"/>
  <c r="B62" i="4"/>
  <c r="A62" i="4"/>
  <c r="K60" i="4"/>
  <c r="I60" i="4"/>
  <c r="H60" i="4"/>
  <c r="G60" i="4"/>
  <c r="F60" i="4"/>
  <c r="E60" i="4"/>
  <c r="D60" i="4"/>
  <c r="B60" i="4"/>
  <c r="A60" i="4"/>
  <c r="K58" i="4"/>
  <c r="I58" i="4"/>
  <c r="H58" i="4"/>
  <c r="G58" i="4"/>
  <c r="F58" i="4"/>
  <c r="E58" i="4"/>
  <c r="D58" i="4"/>
  <c r="B58" i="4"/>
  <c r="A58" i="4"/>
  <c r="K56" i="4"/>
  <c r="I56" i="4"/>
  <c r="H56" i="4"/>
  <c r="G56" i="4"/>
  <c r="F56" i="4"/>
  <c r="E56" i="4"/>
  <c r="D56" i="4"/>
  <c r="B56" i="4"/>
  <c r="A56" i="4"/>
  <c r="K54" i="4"/>
  <c r="I54" i="4"/>
  <c r="H54" i="4"/>
  <c r="G54" i="4"/>
  <c r="F54" i="4"/>
  <c r="E54" i="4"/>
  <c r="D54" i="4"/>
  <c r="B54" i="4"/>
  <c r="A54" i="4"/>
  <c r="K52" i="4"/>
  <c r="I52" i="4"/>
  <c r="H52" i="4"/>
  <c r="G52" i="4"/>
  <c r="F52" i="4"/>
  <c r="E52" i="4"/>
  <c r="D52" i="4"/>
  <c r="B52" i="4"/>
  <c r="A52" i="4"/>
  <c r="K50" i="4"/>
  <c r="I50" i="4"/>
  <c r="H50" i="4"/>
  <c r="G50" i="4"/>
  <c r="F50" i="4"/>
  <c r="E50" i="4"/>
  <c r="D50" i="4"/>
  <c r="B50" i="4"/>
  <c r="A50" i="4"/>
  <c r="K48" i="4"/>
  <c r="I48" i="4"/>
  <c r="H48" i="4"/>
  <c r="G48" i="4"/>
  <c r="F48" i="4"/>
  <c r="E48" i="4"/>
  <c r="D48" i="4"/>
  <c r="B48" i="4"/>
  <c r="A48" i="4"/>
  <c r="K46" i="4"/>
  <c r="I46" i="4"/>
  <c r="H46" i="4"/>
  <c r="G46" i="4"/>
  <c r="F46" i="4"/>
  <c r="E46" i="4"/>
  <c r="D46" i="4"/>
  <c r="B46" i="4"/>
  <c r="A46" i="4"/>
  <c r="K44" i="4"/>
  <c r="I44" i="4"/>
  <c r="H44" i="4"/>
  <c r="G44" i="4"/>
  <c r="F44" i="4"/>
  <c r="E44" i="4"/>
  <c r="D44" i="4"/>
  <c r="B44" i="4"/>
  <c r="A44" i="4"/>
  <c r="K42" i="4"/>
  <c r="I42" i="4"/>
  <c r="H42" i="4"/>
  <c r="G42" i="4"/>
  <c r="F42" i="4"/>
  <c r="E42" i="4"/>
  <c r="D42" i="4"/>
  <c r="B42" i="4"/>
  <c r="A42" i="4"/>
  <c r="K40" i="4"/>
  <c r="I40" i="4"/>
  <c r="H40" i="4"/>
  <c r="G40" i="4"/>
  <c r="F40" i="4"/>
  <c r="E40" i="4"/>
  <c r="D40" i="4"/>
  <c r="B40" i="4"/>
  <c r="A40" i="4"/>
  <c r="K38" i="4"/>
  <c r="I38" i="4"/>
  <c r="H38" i="4"/>
  <c r="G38" i="4"/>
  <c r="F38" i="4"/>
  <c r="E38" i="4"/>
  <c r="D38" i="4"/>
  <c r="B38" i="4"/>
  <c r="A38" i="4"/>
  <c r="K36" i="4"/>
  <c r="I36" i="4"/>
  <c r="H36" i="4"/>
  <c r="G36" i="4"/>
  <c r="F36" i="4"/>
  <c r="E36" i="4"/>
  <c r="D36" i="4"/>
  <c r="B36" i="4"/>
  <c r="A36" i="4"/>
  <c r="K34" i="4"/>
  <c r="I34" i="4"/>
  <c r="H34" i="4"/>
  <c r="G34" i="4"/>
  <c r="F34" i="4"/>
  <c r="E34" i="4"/>
  <c r="D34" i="4"/>
  <c r="B34" i="4"/>
  <c r="A34" i="4"/>
  <c r="K32" i="4"/>
  <c r="I32" i="4"/>
  <c r="H32" i="4"/>
  <c r="G32" i="4"/>
  <c r="F32" i="4"/>
  <c r="E32" i="4"/>
  <c r="D32" i="4"/>
  <c r="B32" i="4"/>
  <c r="A32" i="4"/>
  <c r="K30" i="4"/>
  <c r="I30" i="4"/>
  <c r="H30" i="4"/>
  <c r="G30" i="4"/>
  <c r="F30" i="4"/>
  <c r="E30" i="4"/>
  <c r="D30" i="4"/>
  <c r="B30" i="4"/>
  <c r="A30" i="4"/>
  <c r="K28" i="4"/>
  <c r="I28" i="4"/>
  <c r="H28" i="4"/>
  <c r="G28" i="4"/>
  <c r="F28" i="4"/>
  <c r="E28" i="4"/>
  <c r="D28" i="4"/>
  <c r="B28" i="4"/>
  <c r="A28" i="4"/>
  <c r="K26" i="4"/>
  <c r="I26" i="4"/>
  <c r="H26" i="4"/>
  <c r="G26" i="4"/>
  <c r="F26" i="4"/>
  <c r="E26" i="4"/>
  <c r="D26" i="4"/>
  <c r="B26" i="4"/>
  <c r="A26" i="4"/>
  <c r="K24" i="4"/>
  <c r="I24" i="4"/>
  <c r="H24" i="4"/>
  <c r="G24" i="4"/>
  <c r="F24" i="4"/>
  <c r="E24" i="4"/>
  <c r="D24" i="4"/>
  <c r="B24" i="4"/>
  <c r="A24" i="4"/>
  <c r="K22" i="4"/>
  <c r="I22" i="4"/>
  <c r="H22" i="4"/>
  <c r="G22" i="4"/>
  <c r="F22" i="4"/>
  <c r="E22" i="4"/>
  <c r="D22" i="4"/>
  <c r="B22" i="4"/>
  <c r="A22" i="4"/>
  <c r="K20" i="4"/>
  <c r="I20" i="4"/>
  <c r="H20" i="4"/>
  <c r="G20" i="4"/>
  <c r="F20" i="4"/>
  <c r="E20" i="4"/>
  <c r="D20" i="4"/>
  <c r="B20" i="4"/>
  <c r="A20" i="4"/>
  <c r="K18" i="4"/>
  <c r="I18" i="4"/>
  <c r="H18" i="4"/>
  <c r="G18" i="4"/>
  <c r="F18" i="4"/>
  <c r="E18" i="4"/>
  <c r="D18" i="4"/>
  <c r="B18" i="4"/>
  <c r="A18" i="4"/>
  <c r="K16" i="4"/>
  <c r="I16" i="4"/>
  <c r="H16" i="4"/>
  <c r="G16" i="4"/>
  <c r="F16" i="4"/>
  <c r="E16" i="4"/>
  <c r="D16" i="4"/>
  <c r="B16" i="4"/>
  <c r="A16" i="4"/>
  <c r="K14" i="4"/>
  <c r="I14" i="4"/>
  <c r="H14" i="4"/>
  <c r="G14" i="4"/>
  <c r="F14" i="4"/>
  <c r="E14" i="4"/>
  <c r="D14" i="4"/>
  <c r="B14" i="4"/>
  <c r="A14" i="4"/>
  <c r="K12" i="4"/>
  <c r="I12" i="4"/>
  <c r="H12" i="4"/>
  <c r="G12" i="4"/>
  <c r="F12" i="4"/>
  <c r="E12" i="4"/>
  <c r="D12" i="4"/>
  <c r="B12" i="4"/>
  <c r="A12" i="4"/>
  <c r="K10" i="4"/>
  <c r="I10" i="4"/>
  <c r="H10" i="4"/>
  <c r="G10" i="4"/>
  <c r="F10" i="4"/>
  <c r="E10" i="4"/>
  <c r="D10" i="4"/>
  <c r="B10" i="4"/>
  <c r="A10" i="4"/>
  <c r="K8" i="4"/>
  <c r="I8" i="4"/>
  <c r="H8" i="4"/>
  <c r="G8" i="4"/>
  <c r="F8" i="4"/>
  <c r="E8" i="4"/>
  <c r="D8" i="4"/>
  <c r="B8" i="4"/>
  <c r="K6" i="4"/>
  <c r="I6" i="4"/>
  <c r="H6" i="4"/>
  <c r="G6" i="4"/>
  <c r="F6" i="4"/>
  <c r="E6" i="4"/>
  <c r="D6" i="4"/>
  <c r="B6" i="4"/>
  <c r="A6" i="4"/>
  <c r="M6" i="2" l="1"/>
  <c r="K6" i="2"/>
  <c r="J6" i="2"/>
  <c r="I6" i="2"/>
  <c r="C6" i="2"/>
  <c r="E6" i="1"/>
  <c r="B6" i="1"/>
  <c r="F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GaldesMamo</author>
  </authors>
  <commentList>
    <comment ref="A28" authorId="0" shapeId="0" xr:uid="{00000000-0006-0000-0400-000001000000}">
      <text>
        <r>
          <rPr>
            <b/>
            <sz val="9"/>
            <color indexed="81"/>
            <rFont val="Tahoma"/>
            <family val="2"/>
          </rPr>
          <t>GaldesMamo:</t>
        </r>
        <r>
          <rPr>
            <sz val="9"/>
            <color indexed="81"/>
            <rFont val="Tahoma"/>
            <family val="2"/>
          </rPr>
          <t xml:space="preserve">
</t>
        </r>
      </text>
    </comment>
  </commentList>
</comments>
</file>

<file path=xl/sharedStrings.xml><?xml version="1.0" encoding="utf-8"?>
<sst xmlns="http://schemas.openxmlformats.org/spreadsheetml/2006/main" count="691" uniqueCount="342">
  <si>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</si>
  <si>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</si>
  <si>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</si>
  <si>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</si>
  <si>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</si>
  <si>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</si>
  <si>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</si>
  <si>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</si>
  <si>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</si>
  <si>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</si>
  <si>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</si>
  <si>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</si>
  <si>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</si>
  <si>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</si>
  <si>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</si>
  <si>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</si>
  <si>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</si>
  <si>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</si>
  <si>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</si>
  <si>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</si>
  <si>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</si>
  <si>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</si>
  <si>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</si>
  <si>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</si>
  <si>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</si>
  <si>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</si>
  <si>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</si>
  <si>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</si>
  <si>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</si>
  <si>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</si>
  <si>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</si>
  <si>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1 ( Optional )</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</si>
  <si>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</si>
  <si>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</si>
  <si>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</si>
  <si>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</si>
  <si>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</si>
  <si>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</si>
  <si>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</si>
  <si>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</si>
  <si>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</si>
  <si>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</si>
  <si>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</si>
  <si>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</si>
  <si>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</si>
  <si>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</si>
  <si>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</si>
  <si>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</si>
  <si>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</si>
  <si>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</si>
  <si>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</si>
  <si>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</si>
  <si>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</si>
  <si>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</si>
  <si>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</si>
  <si>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</si>
  <si>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</si>
  <si>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</si>
  <si>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</si>
  <si>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</si>
  <si>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</si>
  <si>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</si>
  <si>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</si>
  <si>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</si>
  <si>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</si>
  <si>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</si>
  <si>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</si>
  <si>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</si>
  <si>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</si>
  <si>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</si>
  <si>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</si>
  <si>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</si>
  <si>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</si>
  <si>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</si>
  <si>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</si>
  <si>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</si>
  <si>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</si>
  <si>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</si>
  <si>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</si>
  <si>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</si>
  <si>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</si>
  <si>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</si>
  <si>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</si>
  <si>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</si>
  <si>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</si>
  <si>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</si>
  <si>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</si>
  <si>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</si>
  <si>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BOV Documention</t>
  </si>
  <si>
    <t>Document Name</t>
  </si>
  <si>
    <t>Version</t>
  </si>
  <si>
    <t>7.0</t>
  </si>
  <si>
    <t xml:space="preserve">Last updated: </t>
  </si>
  <si>
    <t>January 2020</t>
  </si>
  <si>
    <t xml:space="preserve"> Version</t>
  </si>
  <si>
    <t>This Excel SpreadSheet</t>
  </si>
  <si>
    <t>©</t>
  </si>
  <si>
    <t>Number of transactions</t>
  </si>
  <si>
    <t>FileName</t>
  </si>
  <si>
    <t>GAM002</t>
  </si>
  <si>
    <t>TrV15Xy.</t>
  </si>
  <si>
    <t>GUID</t>
  </si>
  <si>
    <t>ACB, 2020-2021</t>
  </si>
  <si>
    <t xml:space="preserve">Payments Business Electronic Banking Services 
SEPA Credit Transfers file layout
Pain.001.001.03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</si>
  <si>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</si>
  <si>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</si>
  <si>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</si>
  <si>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</si>
  <si>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</si>
  <si>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t>BOV</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</si>
  <si>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</si>
  <si>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Address Line 1 (Optional)</t>
  </si>
  <si>
    <t>Address Line 2 (Optional)</t>
  </si>
  <si>
    <t>Optional: Address Line 1</t>
  </si>
  <si>
    <t>Optional: Address Line 2</t>
  </si>
  <si>
    <t>Unreferenced: Notes</t>
  </si>
  <si>
    <r>
      <t xml:space="preserve">Length: 0-70
Content: ([A-Za-z0-9]|[+|\?|/|\-|:|\(|\)|\.|,|'|\s]){0,70}
</t>
    </r>
    <r>
      <rPr>
        <sz val="11"/>
        <color theme="4" tint="-0.499984740745262"/>
        <rFont val="Calibri"/>
        <family val="2"/>
        <scheme val="minor"/>
      </rPr>
      <t xml:space="preserve">Enter Address Line 1 or 
import from Client Payee Data
</t>
    </r>
    <r>
      <rPr>
        <b/>
        <sz val="11"/>
        <color theme="4" tint="-0.499984740745262"/>
        <rFont val="Calibri"/>
        <family val="2"/>
        <scheme val="minor"/>
      </rPr>
      <t>=VLOOKUP("A/C",Payee,4,FALSE)</t>
    </r>
  </si>
  <si>
    <r>
      <t xml:space="preserve">Length: 0-70
Content: ([A-Za-z0-9]|[+|\?|/|\-|:|\(|\)|\.|,|'|\s]){0,70}
</t>
    </r>
    <r>
      <rPr>
        <sz val="11"/>
        <color theme="4" tint="-0.499984740745262"/>
        <rFont val="Calibri"/>
        <family val="2"/>
        <scheme val="minor"/>
      </rPr>
      <t xml:space="preserve">Enter Address Line 2 or 
import from Client Payee Data
</t>
    </r>
    <r>
      <rPr>
        <b/>
        <sz val="11"/>
        <color theme="4" tint="-0.499984740745262"/>
        <rFont val="Calibri"/>
        <family val="2"/>
        <scheme val="minor"/>
      </rPr>
      <t>=VLOOKUP("A/C",Payee,5,FALSE)</t>
    </r>
  </si>
  <si>
    <r>
      <t xml:space="preserve">Enter IBAN Code manually
or 
import from Client Payee Data
</t>
    </r>
    <r>
      <rPr>
        <b/>
        <sz val="11"/>
        <color theme="4" tint="-0.499984740745262"/>
        <rFont val="Calibri"/>
        <family val="2"/>
        <scheme val="minor"/>
      </rPr>
      <t>=VLOOKUP("A/C",Payee,6,FALSE)</t>
    </r>
  </si>
  <si>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</si>
  <si>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</si>
  <si>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</si>
  <si>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</si>
  <si>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</si>
  <si>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BOV Password to zip results back</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</si>
  <si>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</si>
  <si>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</si>
  <si>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</si>
  <si>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</si>
  <si>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</si>
  <si>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</si>
  <si>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</si>
  <si>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</si>
  <si>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AUTOCHECK LTD</t>
  </si>
  <si>
    <t>MT58VALL22013000000040022986900</t>
  </si>
  <si>
    <t>AUTO SALES LTD</t>
  </si>
  <si>
    <t>MT61VALL22013000000040018188644</t>
  </si>
  <si>
    <t>AUTORAY</t>
  </si>
  <si>
    <t>MT68VALL22013000000040025486313</t>
  </si>
  <si>
    <t>CARWISE LTD</t>
  </si>
  <si>
    <t>MT34VALL22013000000016310898019</t>
  </si>
  <si>
    <t>C&amp;C MONTEBELLO AUTO PARTS</t>
  </si>
  <si>
    <t>MT12VALL22013000000040025038114</t>
  </si>
  <si>
    <t>BNIFMTMT</t>
  </si>
  <si>
    <t>CHRIS GARAGE</t>
  </si>
  <si>
    <t>MT99BNIF14502000000000385972102</t>
  </si>
  <si>
    <t>BANIF</t>
  </si>
  <si>
    <t>CJ GARAGE</t>
  </si>
  <si>
    <t xml:space="preserve">MT73VALL22013000000040014595451 </t>
  </si>
  <si>
    <t>C.M. AUTOPARTS</t>
  </si>
  <si>
    <t>MT80VALL22013000000040020931656</t>
  </si>
  <si>
    <t>CONTINENTAL CARS</t>
  </si>
  <si>
    <t>MMEBMTMT</t>
  </si>
  <si>
    <t>MT90MMEB44392000000039034756001</t>
  </si>
  <si>
    <t>HSBC</t>
  </si>
  <si>
    <t>DEBSON AUTOPARTS</t>
  </si>
  <si>
    <t>MT50VALL22013000000040021737587</t>
  </si>
  <si>
    <t>DMD AUTOPARTS</t>
  </si>
  <si>
    <t>MT47VALL22013000000040023687826</t>
  </si>
  <si>
    <t>DRM AUTOPARTS</t>
  </si>
  <si>
    <t>MT25MMEB44543000000054154083001</t>
  </si>
  <si>
    <t>EASY PARTS &amp; SERVICES</t>
  </si>
  <si>
    <t>MT79VALL22013000000040023818297</t>
  </si>
  <si>
    <t>EUROSTAR</t>
  </si>
  <si>
    <t>APSBMTMT</t>
  </si>
  <si>
    <t>MT72APSB77013000000041506810017</t>
  </si>
  <si>
    <t>APS</t>
  </si>
  <si>
    <t>FORD SPARES</t>
  </si>
  <si>
    <t>MT05VALL22013000000040021880502</t>
  </si>
  <si>
    <t>FRANKIT</t>
  </si>
  <si>
    <t>MT24VALL22013000000014900618012</t>
  </si>
  <si>
    <t>FRANK BORDA LTD</t>
  </si>
  <si>
    <t>MT02VALL22013000000011001470026</t>
  </si>
  <si>
    <t>FRANKS AUTO PARTS</t>
  </si>
  <si>
    <t>MT23VALL22013000000040011285353</t>
  </si>
  <si>
    <t>GASAN ZAMMIT MOTORS</t>
  </si>
  <si>
    <t>MT52VALL22013000000040021248186</t>
  </si>
  <si>
    <t>HOT ROD GARAGE</t>
  </si>
  <si>
    <t>MT41VALL22013000000040025377286</t>
  </si>
  <si>
    <t>I.S.G LTD</t>
  </si>
  <si>
    <t>MT51MMEB44543000000054157417005</t>
  </si>
  <si>
    <t>INDUSTRIAL MOTORS</t>
  </si>
  <si>
    <t>MT37MMEB44439000000043001098001</t>
  </si>
  <si>
    <t>INT. AUTO PRODUCTS</t>
  </si>
  <si>
    <t>MT43MMEB44118000000011166055001</t>
  </si>
  <si>
    <t>K.M IMPORTS</t>
  </si>
  <si>
    <t>MT67VALL22013000000040022199098</t>
  </si>
  <si>
    <t>M.N.D. LTD</t>
  </si>
  <si>
    <t>MT07VALL22013000000040024502861</t>
  </si>
  <si>
    <t>MELI CAR RENTALS LTD.</t>
  </si>
  <si>
    <t>MT33VALL22013000000040023095214</t>
  </si>
  <si>
    <t>MICHAEL ATTARD IMPORTS  LTD AC3</t>
  </si>
  <si>
    <t>MT32VALL22013000000040017726379</t>
  </si>
  <si>
    <t>MICHAEL ATTARD IMPORTS LTD AC2</t>
  </si>
  <si>
    <t>MICHAEL ATTARD IMPORTS</t>
  </si>
  <si>
    <t>MICHAEL DEBONO SG006</t>
  </si>
  <si>
    <t>MT61VALL22013000000040015246343</t>
  </si>
  <si>
    <t>MILE-END SERVICES</t>
  </si>
  <si>
    <t>MT33VALL22013000000013808589037</t>
  </si>
  <si>
    <t>LBMAMTMT</t>
  </si>
  <si>
    <t>MOTORS INC.</t>
  </si>
  <si>
    <t>MT11LBMA05000000000118011477903</t>
  </si>
  <si>
    <t xml:space="preserve">LOMBARD </t>
  </si>
  <si>
    <t>MUSCAT MOTORS</t>
  </si>
  <si>
    <t>MT64MMEB44439000000043001916001</t>
  </si>
  <si>
    <t>ROMBLU GARAGE</t>
  </si>
  <si>
    <t>MT56VALL22013000000040018523869</t>
  </si>
  <si>
    <t>RYMA AUTO PARTS LTD</t>
  </si>
  <si>
    <t>MT56VALL22013000000040022588557</t>
  </si>
  <si>
    <t>S.J AUTOPARTS</t>
  </si>
  <si>
    <t>MT35APSB77002006687520001110135</t>
  </si>
  <si>
    <t>SCHUBERG RAD.</t>
  </si>
  <si>
    <t>MT84BNIF14502000000000546003101</t>
  </si>
  <si>
    <t>SERVICES MICHAEL DEBONO LTD SG007</t>
  </si>
  <si>
    <t>SERVICES MOTORS INC.</t>
  </si>
  <si>
    <t>SERVICES INDUSTRIAL MOTORS</t>
  </si>
  <si>
    <t>SERVICES SJ AUTOPARTS</t>
  </si>
  <si>
    <t>SERVICES GASAN ZAMMIT DSW007</t>
  </si>
  <si>
    <t>SERVICES MICHAEL ATTARD G3807</t>
  </si>
  <si>
    <t>SERVICES AUTOSALES</t>
  </si>
  <si>
    <t>SERVICES RYMA AUTOMOTIVE LTD</t>
  </si>
  <si>
    <t>SERVICES ISG</t>
  </si>
  <si>
    <t>SERVICES DEBSON AUTOPARTS</t>
  </si>
  <si>
    <t>SERVICES CONTINENTAL</t>
  </si>
  <si>
    <t>SERVICES MND</t>
  </si>
  <si>
    <t>SERVICES INTERNATIONAL AUTO PRODUCTS</t>
  </si>
  <si>
    <t>SERVICES FORD SPARES</t>
  </si>
  <si>
    <t>SERVICES KMIMPORTS</t>
  </si>
  <si>
    <t>SERVICES FRANK'S AUTOPARTS</t>
  </si>
  <si>
    <t>SERVICES GASAN ZAMMIT DPG005</t>
  </si>
  <si>
    <t>SERVICES TPG MALTA</t>
  </si>
  <si>
    <t>MT91VALL22013000000050003168575</t>
  </si>
  <si>
    <t>SERVICES MUSCATS MOTORS</t>
  </si>
  <si>
    <t>SERVICES CARWISE</t>
  </si>
  <si>
    <t>SERVICES AUTORAY</t>
  </si>
  <si>
    <t>SERVICES DMD</t>
  </si>
  <si>
    <t>SERVICES GASAN ZAMMIT DSW006</t>
  </si>
  <si>
    <t>SERVICES EASY PARTS</t>
  </si>
  <si>
    <t>SERVICES TA FALZON LAND ROVERS LTD</t>
  </si>
  <si>
    <t>MT98VALL22013000000040023152050</t>
  </si>
  <si>
    <t>SERVICES EUROSTAR</t>
  </si>
  <si>
    <t>SERVICES C&amp;C MONTOBELLO</t>
  </si>
  <si>
    <t>SERVICES CM AUTOPARTS</t>
  </si>
  <si>
    <t>SERVICES CHRIS GARAGE</t>
  </si>
  <si>
    <t>SERVICES AUTOCHECK</t>
  </si>
  <si>
    <t>TA FALZON L/ROVERS</t>
  </si>
  <si>
    <t>TPG MALTA LTD</t>
  </si>
  <si>
    <t>GALDES AND MAMO LTD</t>
  </si>
  <si>
    <t>MT94VALL22013000000010201676016</t>
  </si>
  <si>
    <t>Blank</t>
  </si>
  <si>
    <t>Do not move the data in column A2 and B2 as these are used within the code solution.</t>
  </si>
  <si>
    <t>AUTOCHECK</t>
  </si>
  <si>
    <t>AUTOSALES</t>
  </si>
  <si>
    <t>CARWISE</t>
  </si>
  <si>
    <t>CM AUTOPARTS</t>
  </si>
  <si>
    <t>CONTINENTAL</t>
  </si>
  <si>
    <t>DEBSON</t>
  </si>
  <si>
    <t>DMD</t>
  </si>
  <si>
    <t>DRM</t>
  </si>
  <si>
    <t>EASY PARTS</t>
  </si>
  <si>
    <t>FRANK BORDA</t>
  </si>
  <si>
    <t>AUTOFACTORS</t>
  </si>
  <si>
    <t>AUTOFACTORS MALTA LTD</t>
  </si>
  <si>
    <t>FRANKS</t>
  </si>
  <si>
    <t>GASANZAMMIT</t>
  </si>
  <si>
    <t xml:space="preserve">HOT ROD </t>
  </si>
  <si>
    <t>IAP</t>
  </si>
  <si>
    <t xml:space="preserve">INDUSTRIAL </t>
  </si>
  <si>
    <t>ISG</t>
  </si>
  <si>
    <t>KM</t>
  </si>
  <si>
    <t>JOE'S GARAGE</t>
  </si>
  <si>
    <t>JOE'S GARAGE (PEPPI)</t>
  </si>
  <si>
    <t>TECNOPLUS</t>
  </si>
  <si>
    <t>TECNOPLUS LTD</t>
  </si>
  <si>
    <t>MELI</t>
  </si>
  <si>
    <t>MICHAEL ATTARD AC2</t>
  </si>
  <si>
    <t>MICHAEL ATTARD AC3</t>
  </si>
  <si>
    <t>MILE END</t>
  </si>
  <si>
    <t>KRK</t>
  </si>
  <si>
    <t>KRK AUTOPARTS</t>
  </si>
  <si>
    <t>MND</t>
  </si>
  <si>
    <t>MONTEBELLO</t>
  </si>
  <si>
    <t>MOTORS INC</t>
  </si>
  <si>
    <t>MARK 4X4</t>
  </si>
  <si>
    <t>HONDA PARTS</t>
  </si>
  <si>
    <t>HONDA AUTOPARTS</t>
  </si>
  <si>
    <t>NO BANK DETAILS</t>
  </si>
  <si>
    <t>PARTS SUPPLY</t>
  </si>
  <si>
    <t>PARTS SUPPLY LIMITED</t>
  </si>
  <si>
    <t>ROMBLU</t>
  </si>
  <si>
    <t>RYMA</t>
  </si>
  <si>
    <t>SCHUBERG</t>
  </si>
  <si>
    <t>SER AUTO SALES</t>
  </si>
  <si>
    <t>SER AUTOCHECK</t>
  </si>
  <si>
    <t>SER AUTORAY</t>
  </si>
  <si>
    <t>COMPASS</t>
  </si>
  <si>
    <t>COMPASS GARAGE</t>
  </si>
  <si>
    <t>LIACO</t>
  </si>
  <si>
    <t>SER AUTOFACTORS</t>
  </si>
  <si>
    <t>SERVICES AUTOFACTORS</t>
  </si>
  <si>
    <t>SER CARWISE</t>
  </si>
  <si>
    <t>SER CHRIS GARAGE</t>
  </si>
  <si>
    <t>SER CM AUTOPARTS</t>
  </si>
  <si>
    <t>SER CONTINENTAL</t>
  </si>
  <si>
    <t>SER DEBSON</t>
  </si>
  <si>
    <t>SER EASYPARTS</t>
  </si>
  <si>
    <t>SER EUROSTAR</t>
  </si>
  <si>
    <t>SER FORD SPARES</t>
  </si>
  <si>
    <t>SER FRANKS</t>
  </si>
  <si>
    <t>SER GZDPG005</t>
  </si>
  <si>
    <t>SER GZDSW006</t>
  </si>
  <si>
    <t>SER GZDSW007</t>
  </si>
  <si>
    <t>SER IAP</t>
  </si>
  <si>
    <t>SER INDUSTRIAL</t>
  </si>
  <si>
    <t>SER ISG</t>
  </si>
  <si>
    <t>SER KM</t>
  </si>
  <si>
    <t>SER MAL</t>
  </si>
  <si>
    <t>SER MICHAEL DEBONO</t>
  </si>
  <si>
    <t>SER MND</t>
  </si>
  <si>
    <t>SER MONTEBELLO</t>
  </si>
  <si>
    <t>SER MOTORS INC</t>
  </si>
  <si>
    <t>SER HONDA AUTOPARTS</t>
  </si>
  <si>
    <t>SERVICES HONDA AUTOPARTS</t>
  </si>
  <si>
    <t>SER MUSCAT MOTORS</t>
  </si>
  <si>
    <t>SER RYMA</t>
  </si>
  <si>
    <t xml:space="preserve">SER SJ </t>
  </si>
  <si>
    <t>SER TA FALZON</t>
  </si>
  <si>
    <t>SER PARTS SUPPLY</t>
  </si>
  <si>
    <t>SERVICES PARTS SUPPLY</t>
  </si>
  <si>
    <t>SER TPG</t>
  </si>
  <si>
    <t>SER JOE'S GARAGE</t>
  </si>
  <si>
    <t>SERVICES JOE'S GARAGE</t>
  </si>
  <si>
    <t>SER KRK</t>
  </si>
  <si>
    <t>SERVICES KRK AUTOPARTS</t>
  </si>
  <si>
    <t>SJ</t>
  </si>
  <si>
    <t>TA FALZON</t>
  </si>
  <si>
    <t>TPG</t>
  </si>
  <si>
    <t>`</t>
  </si>
  <si>
    <t>This Sheet won't update if Marcos aren’t enabled. 
Functionality isn't impacted if Macros are disabled.</t>
  </si>
  <si>
    <t>TRUE</t>
  </si>
  <si>
    <t>MT39VALL22013000000040018922651</t>
  </si>
  <si>
    <t>MT21VALL22013000000011506237023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</si>
</sst>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Thh:mm:ss"/>
    <numFmt numFmtId="165" formatCode="yyyy\-mm\-dd"/>
  </numFmts>
  <fonts count="15" x14ac:knownFonts="1">
    <font>
      <sz val="11"/>
      <color theme="1"/>
      <name val="Calibri"/>
      <family val="2"/>
      <charset val="1"/>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b/>
      <sz val="9"/>
      <color indexed="81"/>
      <name val="Tahoma"/>
      <family val="2"/>
    </font>
    <font>
      <sz val="9"/>
      <color indexed="81"/>
      <name val="Tahoma"/>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theme="1"/>
        <bgColor indexed="64"/>
      </patternFill>
    </fill>
    <fill>
      <patternFill patternType="solid">
        <fgColor rgb="FFFEC6C6"/>
        <bgColor indexed="64"/>
      </patternFill>
    </fill>
    <fill>
      <patternFill patternType="solid">
        <fgColor theme="5" tint="0.59999389629810485"/>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2">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vertical="top"/>
    </xf>
    <xf numFmtId="0" fontId="5" fillId="0" borderId="0" xfId="0" applyFont="1" applyAlignment="1">
      <alignment vertical="center"/>
    </xf>
    <xf numFmtId="0" fontId="3" fillId="0" borderId="0" xfId="0" applyFont="1"/>
    <xf numFmtId="0" fontId="3"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9" fontId="0" fillId="3" borderId="6"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4" fontId="0" fillId="3" borderId="5" xfId="0" applyNumberFormat="1" applyFill="1" applyBorder="1" applyProtection="1">
      <protection locked="0"/>
    </xf>
    <xf numFmtId="0" fontId="0" fillId="0" borderId="0" xfId="0" applyAlignment="1">
      <alignment wrapText="1"/>
    </xf>
    <xf numFmtId="0" fontId="3" fillId="0" borderId="0" xfId="0" applyFont="1" applyAlignment="1">
      <alignment vertical="center"/>
    </xf>
    <xf numFmtId="0" fontId="3" fillId="0" borderId="0" xfId="0" applyFont="1" applyAlignment="1">
      <alignment horizontal="center" vertical="center" wrapText="1"/>
    </xf>
    <xf numFmtId="49" fontId="0" fillId="2" borderId="3" xfId="0" applyNumberFormat="1" applyFill="1" applyBorder="1" applyProtection="1"/>
    <xf numFmtId="0" fontId="0" fillId="2" borderId="0" xfId="0" applyFill="1" applyAlignment="1">
      <alignment vertical="top"/>
    </xf>
    <xf numFmtId="3" fontId="0" fillId="2" borderId="2" xfId="0" applyNumberFormat="1" applyFill="1" applyBorder="1" applyProtection="1"/>
    <xf numFmtId="4" fontId="0" fillId="2" borderId="2" xfId="0" applyNumberFormat="1" applyFill="1" applyBorder="1" applyProtection="1"/>
    <xf numFmtId="49" fontId="0" fillId="2" borderId="2" xfId="0" applyNumberFormat="1" applyFill="1" applyBorder="1" applyProtection="1"/>
    <xf numFmtId="0" fontId="2" fillId="0" borderId="15" xfId="0" applyFont="1" applyBorder="1" applyAlignment="1">
      <alignment vertical="top" wrapText="1"/>
    </xf>
    <xf numFmtId="0" fontId="2" fillId="2" borderId="16" xfId="0" applyFont="1" applyFill="1" applyBorder="1" applyAlignment="1">
      <alignment vertical="top" wrapText="1"/>
    </xf>
    <xf numFmtId="0" fontId="2" fillId="0" borderId="16" xfId="0" applyFont="1" applyBorder="1" applyAlignment="1">
      <alignment vertical="top" wrapText="1"/>
    </xf>
    <xf numFmtId="0" fontId="2"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2" fillId="0" borderId="19" xfId="0" applyFont="1" applyBorder="1" applyAlignment="1">
      <alignment vertical="top" wrapText="1"/>
    </xf>
    <xf numFmtId="0" fontId="0" fillId="0" borderId="20" xfId="0" applyBorder="1" applyAlignment="1">
      <alignment vertical="top" wrapText="1"/>
    </xf>
    <xf numFmtId="0" fontId="0" fillId="3" borderId="1" xfId="0" applyNumberFormat="1" applyFill="1" applyBorder="1" applyProtection="1">
      <protection locked="0"/>
    </xf>
    <xf numFmtId="0" fontId="0" fillId="0" borderId="1" xfId="0" applyBorder="1" applyProtection="1"/>
    <xf numFmtId="0" fontId="0" fillId="0" borderId="2" xfId="0" applyBorder="1" applyProtection="1"/>
    <xf numFmtId="0" fontId="0" fillId="0" borderId="0" xfId="0" applyProtection="1"/>
    <xf numFmtId="0" fontId="0" fillId="0" borderId="3" xfId="0"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10" xfId="0" applyBorder="1" applyProtection="1"/>
    <xf numFmtId="0" fontId="0" fillId="0" borderId="0" xfId="0" applyBorder="1" applyProtection="1"/>
    <xf numFmtId="0" fontId="0" fillId="0" borderId="12" xfId="0" applyBorder="1" applyProtection="1"/>
    <xf numFmtId="0" fontId="0" fillId="0" borderId="13" xfId="0" applyBorder="1" applyProtection="1"/>
    <xf numFmtId="0" fontId="0" fillId="0" borderId="2" xfId="0" applyBorder="1" applyAlignment="1" applyProtection="1">
      <alignment vertical="top" wrapText="1"/>
    </xf>
    <xf numFmtId="0" fontId="0" fillId="0" borderId="2" xfId="0" quotePrefix="1" applyBorder="1" applyAlignment="1" applyProtection="1">
      <alignment vertical="top" wrapText="1"/>
    </xf>
    <xf numFmtId="0" fontId="0" fillId="0" borderId="3" xfId="0" quotePrefix="1" applyBorder="1" applyProtection="1"/>
    <xf numFmtId="0" fontId="0" fillId="0" borderId="0" xfId="0" applyAlignment="1" applyProtection="1">
      <alignment vertical="top" wrapText="1"/>
    </xf>
    <xf numFmtId="0" fontId="0" fillId="0" borderId="0" xfId="0" quotePrefix="1" applyAlignment="1" applyProtection="1">
      <alignment vertical="top" wrapText="1"/>
    </xf>
    <xf numFmtId="0" fontId="0" fillId="0" borderId="0" xfId="0" quotePrefix="1" applyProtection="1"/>
    <xf numFmtId="0" fontId="0" fillId="0" borderId="7" xfId="0" applyBorder="1" applyProtection="1"/>
    <xf numFmtId="0" fontId="0" fillId="0" borderId="8" xfId="0" applyBorder="1" applyProtection="1"/>
    <xf numFmtId="0" fontId="0" fillId="0" borderId="9" xfId="0" applyBorder="1" applyProtection="1"/>
    <xf numFmtId="0" fontId="0" fillId="0" borderId="14" xfId="0" applyBorder="1" applyProtection="1"/>
    <xf numFmtId="14" fontId="0" fillId="0" borderId="2" xfId="0" applyNumberFormat="1" applyBorder="1" applyProtection="1"/>
    <xf numFmtId="14" fontId="0" fillId="0" borderId="3" xfId="0" applyNumberFormat="1" applyBorder="1" applyProtection="1"/>
    <xf numFmtId="164" fontId="0" fillId="2" borderId="2" xfId="0" applyNumberFormat="1" applyFill="1" applyBorder="1" applyProtection="1"/>
    <xf numFmtId="0" fontId="0" fillId="0" borderId="0" xfId="0" applyProtection="1">
      <protection locked="0"/>
    </xf>
    <xf numFmtId="0" fontId="0" fillId="3" borderId="5" xfId="0" applyNumberFormat="1" applyFill="1" applyBorder="1" applyProtection="1">
      <protection locked="0"/>
    </xf>
    <xf numFmtId="0" fontId="10" fillId="0" borderId="0" xfId="0" applyFont="1" applyFill="1" applyAlignment="1">
      <alignment vertical="top" wrapText="1"/>
    </xf>
    <xf numFmtId="0" fontId="12" fillId="0" borderId="0" xfId="0" applyFont="1" applyAlignment="1">
      <alignment horizontal="center" vertical="center"/>
    </xf>
    <xf numFmtId="0" fontId="12" fillId="0" borderId="0" xfId="0" applyFont="1" applyAlignment="1" applyProtection="1">
      <alignment horizontal="center" vertical="center"/>
      <protection locked="0"/>
    </xf>
    <xf numFmtId="0" fontId="8" fillId="0" borderId="0" xfId="0" applyFont="1" applyProtection="1">
      <protection locked="0"/>
    </xf>
    <xf numFmtId="0" fontId="8" fillId="0" borderId="0" xfId="0" applyFont="1"/>
    <xf numFmtId="0" fontId="12" fillId="0" borderId="0" xfId="0" applyFont="1" applyAlignment="1" applyProtection="1">
      <alignment horizontal="center" vertical="center" wrapText="1"/>
      <protection locked="0"/>
    </xf>
    <xf numFmtId="0" fontId="8" fillId="0" borderId="0" xfId="0" applyFont="1" applyProtection="1"/>
    <xf numFmtId="0" fontId="0" fillId="6" borderId="0" xfId="0" applyFill="1" applyProtection="1">
      <protection locked="0" hidden="1"/>
    </xf>
    <xf numFmtId="0" fontId="0" fillId="0" borderId="0" xfId="0" applyAlignment="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NumberFormat="1" applyBorder="1"/>
    <xf numFmtId="0" fontId="0" fillId="0" borderId="12" xfId="0" applyBorder="1"/>
    <xf numFmtId="0" fontId="0" fillId="0" borderId="13" xfId="0" applyNumberFormat="1" applyBorder="1"/>
    <xf numFmtId="0" fontId="0" fillId="0" borderId="0" xfId="0" pivotButton="1" applyProtection="1"/>
    <xf numFmtId="0" fontId="0" fillId="0" borderId="0" xfId="0" applyAlignment="1" applyProtection="1">
      <alignment horizontal="left"/>
    </xf>
    <xf numFmtId="4" fontId="0" fillId="0" borderId="0" xfId="0" applyNumberFormat="1" applyProtection="1"/>
    <xf numFmtId="4" fontId="0" fillId="0" borderId="0" xfId="0" applyNumberFormat="1" applyBorder="1"/>
    <xf numFmtId="4" fontId="0" fillId="0" borderId="13" xfId="0" applyNumberFormat="1" applyBorder="1"/>
    <xf numFmtId="49" fontId="0" fillId="2" borderId="5" xfId="0" applyNumberFormat="1" applyFill="1" applyBorder="1"/>
    <xf numFmtId="49" fontId="0" fillId="2" borderId="6" xfId="0" applyNumberFormat="1" applyFill="1" applyBorder="1"/>
    <xf numFmtId="0" fontId="0" fillId="0" borderId="0" xfId="0" applyAlignment="1" applyProtection="1">
      <alignment horizontal="left" indent="1"/>
    </xf>
    <xf numFmtId="0" fontId="0" fillId="0" borderId="11" xfId="0" applyBorder="1"/>
    <xf numFmtId="0" fontId="0" fillId="0" borderId="14" xfId="0" applyBorder="1"/>
    <xf numFmtId="0" fontId="2" fillId="0" borderId="0" xfId="0" applyFont="1" applyProtection="1"/>
    <xf numFmtId="0" fontId="0" fillId="0" borderId="0" xfId="0" applyAlignment="1" applyProtection="1">
      <alignment wrapText="1"/>
    </xf>
    <xf numFmtId="0" fontId="3" fillId="0" borderId="0" xfId="0" applyFont="1" applyAlignment="1" applyProtection="1">
      <alignment horizontal="center" vertical="center" wrapText="1"/>
    </xf>
    <xf numFmtId="3" fontId="0" fillId="0" borderId="0" xfId="0" applyNumberFormat="1" applyProtection="1"/>
    <xf numFmtId="0" fontId="0" fillId="0" borderId="0" xfId="0" applyAlignment="1">
      <alignment horizontal="center"/>
    </xf>
    <xf numFmtId="0" fontId="0" fillId="4" borderId="0" xfId="0" applyFill="1"/>
    <xf numFmtId="0" fontId="0" fillId="4" borderId="0" xfId="0" applyFill="1" applyAlignment="1">
      <alignment horizontal="center"/>
    </xf>
    <xf numFmtId="0" fontId="0" fillId="0" borderId="0" xfId="0" applyAlignment="1">
      <alignment horizontal="center" vertical="center"/>
    </xf>
    <xf numFmtId="0" fontId="14" fillId="7" borderId="7" xfId="0" applyFont="1" applyFill="1" applyBorder="1" applyAlignment="1">
      <alignment horizontal="center" vertical="center" wrapText="1"/>
    </xf>
    <xf numFmtId="0" fontId="0" fillId="7" borderId="8" xfId="0" applyFill="1" applyBorder="1" applyAlignment="1">
      <alignment horizontal="center" vertical="center" wrapText="1"/>
    </xf>
    <xf numFmtId="0" fontId="0" fillId="7" borderId="9" xfId="0" applyFill="1" applyBorder="1" applyAlignment="1">
      <alignment horizontal="center" vertical="center" wrapText="1"/>
    </xf>
    <xf numFmtId="0" fontId="0" fillId="7" borderId="10" xfId="0" applyFill="1" applyBorder="1" applyAlignment="1">
      <alignment horizontal="center" vertical="center" wrapText="1"/>
    </xf>
    <xf numFmtId="0" fontId="0" fillId="7" borderId="0" xfId="0" applyFill="1" applyBorder="1" applyAlignment="1">
      <alignment horizontal="center" vertical="center" wrapText="1"/>
    </xf>
    <xf numFmtId="0" fontId="0" fillId="7" borderId="11" xfId="0" applyFill="1" applyBorder="1" applyAlignment="1">
      <alignment horizontal="center" vertical="center" wrapText="1"/>
    </xf>
    <xf numFmtId="0" fontId="0" fillId="7" borderId="12" xfId="0" applyFill="1" applyBorder="1" applyAlignment="1">
      <alignment horizontal="center" vertical="center" wrapText="1"/>
    </xf>
    <xf numFmtId="0" fontId="0" fillId="7" borderId="13" xfId="0" applyFill="1" applyBorder="1" applyAlignment="1">
      <alignment horizontal="center" vertical="center" wrapText="1"/>
    </xf>
    <xf numFmtId="0" fontId="0" fillId="7" borderId="14" xfId="0" applyFill="1" applyBorder="1" applyAlignment="1">
      <alignment horizontal="center" vertical="center" wrapText="1"/>
    </xf>
    <xf numFmtId="0" fontId="14" fillId="8" borderId="7" xfId="0" applyFont="1" applyFill="1" applyBorder="1" applyAlignment="1">
      <alignment horizontal="center" vertical="center" wrapText="1"/>
    </xf>
    <xf numFmtId="0" fontId="0" fillId="8" borderId="8" xfId="0" applyFill="1" applyBorder="1" applyAlignment="1">
      <alignment horizontal="center" vertical="center" wrapText="1"/>
    </xf>
    <xf numFmtId="0" fontId="0" fillId="8" borderId="9" xfId="0" applyFill="1" applyBorder="1" applyAlignment="1">
      <alignment horizontal="center" vertical="center" wrapText="1"/>
    </xf>
    <xf numFmtId="0" fontId="0" fillId="8" borderId="10" xfId="0" applyFill="1" applyBorder="1" applyAlignment="1">
      <alignment horizontal="center" vertical="center" wrapText="1"/>
    </xf>
    <xf numFmtId="0" fontId="0" fillId="8" borderId="0" xfId="0" applyFill="1" applyBorder="1" applyAlignment="1">
      <alignment horizontal="center" vertical="center" wrapText="1"/>
    </xf>
    <xf numFmtId="0" fontId="0" fillId="8" borderId="11" xfId="0" applyFill="1" applyBorder="1" applyAlignment="1">
      <alignment horizontal="center" vertical="center" wrapText="1"/>
    </xf>
    <xf numFmtId="0" fontId="0" fillId="8" borderId="12" xfId="0" applyFill="1" applyBorder="1" applyAlignment="1">
      <alignment horizontal="center" vertical="center" wrapText="1"/>
    </xf>
    <xf numFmtId="0" fontId="0" fillId="8" borderId="13" xfId="0" applyFill="1" applyBorder="1" applyAlignment="1">
      <alignment horizontal="center" vertical="center" wrapText="1"/>
    </xf>
    <xf numFmtId="0" fontId="0" fillId="8" borderId="14" xfId="0" applyFill="1" applyBorder="1" applyAlignment="1">
      <alignment horizontal="center" vertical="center" wrapText="1"/>
    </xf>
    <xf numFmtId="0" fontId="9" fillId="5" borderId="7" xfId="0" applyFont="1" applyFill="1" applyBorder="1" applyAlignment="1" applyProtection="1">
      <alignment horizontal="center" vertical="center" wrapText="1"/>
    </xf>
    <xf numFmtId="0" fontId="9" fillId="5" borderId="8" xfId="0" applyFont="1" applyFill="1" applyBorder="1" applyAlignment="1" applyProtection="1">
      <alignment horizontal="center" vertical="center" wrapText="1"/>
    </xf>
    <xf numFmtId="0" fontId="9" fillId="5" borderId="9" xfId="0" applyFont="1" applyFill="1" applyBorder="1" applyAlignment="1" applyProtection="1">
      <alignment horizontal="center" vertical="center" wrapText="1"/>
    </xf>
    <xf numFmtId="0" fontId="9" fillId="5" borderId="10" xfId="0" applyFont="1" applyFill="1" applyBorder="1" applyAlignment="1" applyProtection="1">
      <alignment horizontal="center" vertical="center" wrapText="1"/>
    </xf>
    <xf numFmtId="0" fontId="9" fillId="5" borderId="0" xfId="0" applyFont="1" applyFill="1" applyBorder="1" applyAlignment="1" applyProtection="1">
      <alignment horizontal="center" vertical="center" wrapText="1"/>
    </xf>
    <xf numFmtId="0" fontId="9" fillId="5" borderId="11" xfId="0" applyFont="1" applyFill="1" applyBorder="1" applyAlignment="1" applyProtection="1">
      <alignment horizontal="center" vertical="center" wrapText="1"/>
    </xf>
    <xf numFmtId="0" fontId="9" fillId="5" borderId="12" xfId="0" applyFont="1" applyFill="1" applyBorder="1" applyAlignment="1" applyProtection="1">
      <alignment horizontal="center" vertical="center" wrapText="1"/>
    </xf>
    <xf numFmtId="0" fontId="9" fillId="5" borderId="13" xfId="0" applyFont="1" applyFill="1" applyBorder="1" applyAlignment="1" applyProtection="1">
      <alignment horizontal="center" vertical="center" wrapText="1"/>
    </xf>
    <xf numFmtId="0" fontId="9" fillId="5" borderId="14" xfId="0" applyFont="1" applyFill="1" applyBorder="1" applyAlignment="1" applyProtection="1">
      <alignment horizontal="center" vertical="center" wrapText="1"/>
    </xf>
    <xf numFmtId="0" fontId="0" fillId="0" borderId="8" xfId="0" applyBorder="1" applyAlignment="1" applyProtection="1">
      <alignment horizontal="left" wrapText="1"/>
    </xf>
    <xf numFmtId="0" fontId="0" fillId="0" borderId="9" xfId="0" applyBorder="1" applyAlignment="1" applyProtection="1">
      <alignment horizontal="left" wrapText="1"/>
    </xf>
    <xf numFmtId="0" fontId="0" fillId="0" borderId="0" xfId="0" quotePrefix="1" applyBorder="1" applyProtection="1"/>
    <xf numFmtId="0" fontId="0" fillId="0" borderId="11" xfId="0" quotePrefix="1" applyBorder="1" applyProtection="1"/>
    <xf numFmtId="17" fontId="0" fillId="0" borderId="13" xfId="0" quotePrefix="1" applyNumberFormat="1" applyBorder="1" applyAlignment="1" applyProtection="1">
      <alignment horizontal="left"/>
    </xf>
    <xf numFmtId="17" fontId="0" fillId="0" borderId="14" xfId="0" quotePrefix="1" applyNumberFormat="1" applyBorder="1" applyAlignment="1" applyProtection="1">
      <alignment horizontal="left"/>
    </xf>
    <xf numFmtId="0" fontId="0" fillId="0" borderId="2" xfId="0" applyBorder="1" applyProtection="1"/>
    <xf numFmtId="0" fontId="0" fillId="0" borderId="3" xfId="0" applyBorder="1" applyProtection="1"/>
  </cellXfs>
  <cellStyles count="1">
    <cellStyle name="Normal" xfId="0" builtinId="0"/>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unter" refreshedDate="44249.123160995368" createdVersion="6" refreshedVersion="4" minRefreshableVersion="3" recordCount="32" xr:uid="{00000000-000A-0000-FFFF-FFFF00000000}">
  <cacheSource type="worksheet">
    <worksheetSource ref="D1:P33" sheet="Control"/>
  </cacheSource>
  <cacheFields count="13">
    <cacheField name="Row" numFmtId="0">
      <sharedItems containsSemiMixedTypes="0" containsString="0" containsNumber="1" containsInteger="1" minValue="1" maxValue="32"/>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44">
        <s v=""/>
        <s v="FRANK BORDA LTD" u="1"/>
        <s v="EASY PARTS &amp; SERVICES" u="1"/>
        <s v="IAP" u="1"/>
        <s v="CARWISE LTD" u="1"/>
        <s v="C&amp;C MONTEBELLO AUTO PARTS" u="1"/>
        <s v="SERVICES GASAN ZAMMIT DSW007" u="1"/>
        <s v="SERVICES AUTORAY" u="1"/>
        <s v="CONTINENTAL CARS" u="1"/>
        <s v="ISG" u="1"/>
        <s v="SCHUBERG RAD." u="1"/>
        <s v="S.J AUTOPARTS" u="1"/>
        <s v="MICHAEL ATTARD IMPORTS  LTD AC3" u="1"/>
        <s v="M.N.D. LTD" u="1"/>
        <s v="EUROSTAR" u="1"/>
        <s v="INDUSTRIAL MOTORS" u="1"/>
        <s v="MELI CAR RENTALS LTD." u="1"/>
        <s v="SERVICES RYMA AUTOMOTIVE LTD" u="1"/>
        <s v="MOTORS INC." u="1"/>
        <s v="C.M. AUTOPARTS" u="1"/>
        <s v="TA FALZON L/ROVERS" u="1"/>
        <s v="MICHAEL DEBONO SG006" u="1"/>
        <s v="MICHAEL ATTARD IMPORTS LTD AC2" u="1"/>
        <s v="AUTO SALES LTD" u="1"/>
        <s v="SERVICES AUTOSALES" u="1"/>
        <s v="AUTORAY" u="1"/>
        <s v="FRANKS AUTO PARTS" u="1"/>
        <s v="FORD SPARES" u="1"/>
        <s v="MILE-END SERVICES" u="1"/>
        <s v="GASAN ZAMMIT MOTORS" u="1"/>
        <s v="MUSCAT MOTORS" u="1"/>
        <s v="TPG MALTA LTD" u="1"/>
        <s v="AUTOCHECK LTD" u="1"/>
        <s v="ROMBLU GARAGE" u="1"/>
        <s v="CHRIS GARAGE" u="1"/>
        <s v="DRM AUTOPARTS" u="1"/>
        <s v="FRANKIT" u="1"/>
        <s v="I.S.G LTD" u="1"/>
        <s v="K.M IMPORTS" u="1"/>
        <s v="DMD AUTOPARTS" u="1"/>
        <s v="INT. AUTO PRODUCTS" u="1"/>
        <s v="MICHAEL ATTARD IMPORTS" u="1"/>
        <s v="HOT ROD GARAGE" u="1"/>
        <s v="RYMA AUTO PARTS LTD" u="1"/>
      </sharedItems>
    </cacheField>
    <cacheField name="PstlAdr:AdrLine" numFmtId="0">
      <sharedItems/>
    </cacheField>
    <cacheField name="PstlAdr:AdrLine2" numFmtId="0">
      <sharedItems/>
    </cacheField>
    <cacheField name="IBAN" numFmtId="0">
      <sharedItems containsMixedTypes="1" containsNumber="1" containsInteger="1" minValue="0" maxValue="0" count="2">
        <s v=""/>
        <n v="0" u="1"/>
      </sharedItems>
    </cacheField>
    <cacheField name="Cd" numFmtId="0">
      <sharedItems/>
    </cacheField>
    <cacheField name="Ustrd" numFmtId="0">
      <sharedItems/>
    </cacheField>
    <cacheField name="Blank" numFmtId="0">
      <sharedItems count="2">
        <b v="1"/>
        <b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2">
  <r>
    <n v="1"/>
    <s v=""/>
    <s v=""/>
    <s v="EUR"/>
    <s v=""/>
    <s v=""/>
    <x v="0"/>
    <s v=""/>
    <s v=""/>
    <x v="0"/>
    <s v="SUPP"/>
    <s v=""/>
    <x v="0"/>
  </r>
  <r>
    <n v="2"/>
    <s v=""/>
    <s v=""/>
    <s v="EUR"/>
    <s v=""/>
    <s v=""/>
    <x v="0"/>
    <s v=""/>
    <s v=""/>
    <x v="0"/>
    <s v="SUPP"/>
    <s v=""/>
    <x v="0"/>
  </r>
  <r>
    <n v="3"/>
    <s v=""/>
    <s v=""/>
    <s v="EUR"/>
    <s v=""/>
    <s v=""/>
    <x v="0"/>
    <s v=""/>
    <s v="`"/>
    <x v="0"/>
    <s v="SUPP"/>
    <s v=""/>
    <x v="0"/>
  </r>
  <r>
    <n v="4"/>
    <s v=""/>
    <s v=""/>
    <s v="EUR"/>
    <s v=""/>
    <s v=""/>
    <x v="0"/>
    <s v=""/>
    <s v=""/>
    <x v="0"/>
    <s v="SUPP"/>
    <s v=""/>
    <x v="0"/>
  </r>
  <r>
    <n v="5"/>
    <s v=""/>
    <s v=""/>
    <s v="EUR"/>
    <s v=""/>
    <s v=""/>
    <x v="0"/>
    <s v=""/>
    <s v=""/>
    <x v="0"/>
    <s v="SUPP"/>
    <s v=""/>
    <x v="0"/>
  </r>
  <r>
    <n v="6"/>
    <s v=""/>
    <s v=""/>
    <s v="EUR"/>
    <s v=""/>
    <s v=""/>
    <x v="0"/>
    <s v=""/>
    <s v=""/>
    <x v="0"/>
    <s v="SUPP"/>
    <s v=""/>
    <x v="0"/>
  </r>
  <r>
    <n v="7"/>
    <s v=""/>
    <s v=""/>
    <s v="EUR"/>
    <s v=""/>
    <s v=""/>
    <x v="0"/>
    <s v="`"/>
    <s v=""/>
    <x v="0"/>
    <s v="SUPP"/>
    <s v=""/>
    <x v="0"/>
  </r>
  <r>
    <n v="8"/>
    <s v=""/>
    <s v=""/>
    <s v="EUR"/>
    <s v=""/>
    <s v=""/>
    <x v="0"/>
    <s v=""/>
    <s v=""/>
    <x v="0"/>
    <s v="SUPP"/>
    <s v=""/>
    <x v="0"/>
  </r>
  <r>
    <n v="9"/>
    <s v=""/>
    <s v=""/>
    <s v="EUR"/>
    <s v=""/>
    <s v=""/>
    <x v="0"/>
    <s v=""/>
    <s v=""/>
    <x v="0"/>
    <s v="SUPP"/>
    <s v=""/>
    <x v="0"/>
  </r>
  <r>
    <n v="10"/>
    <s v=""/>
    <s v=""/>
    <s v="EUR"/>
    <s v=""/>
    <s v=""/>
    <x v="0"/>
    <s v=""/>
    <s v=""/>
    <x v="0"/>
    <s v="SUPP"/>
    <s v=""/>
    <x v="0"/>
  </r>
  <r>
    <n v="11"/>
    <s v=""/>
    <s v=""/>
    <s v="EUR"/>
    <s v=""/>
    <s v=""/>
    <x v="0"/>
    <s v=""/>
    <s v=""/>
    <x v="0"/>
    <s v="SUPP"/>
    <s v=""/>
    <x v="0"/>
  </r>
  <r>
    <n v="12"/>
    <s v=""/>
    <s v=""/>
    <s v="EUR"/>
    <s v=""/>
    <s v=""/>
    <x v="0"/>
    <s v=""/>
    <s v=""/>
    <x v="0"/>
    <s v="SUPP"/>
    <s v=""/>
    <x v="0"/>
  </r>
  <r>
    <n v="13"/>
    <s v=""/>
    <s v=""/>
    <s v="EUR"/>
    <s v=""/>
    <s v=""/>
    <x v="0"/>
    <s v=""/>
    <s v=""/>
    <x v="0"/>
    <s v="SUPP"/>
    <s v=""/>
    <x v="0"/>
  </r>
  <r>
    <n v="14"/>
    <s v=""/>
    <s v=""/>
    <s v="EUR"/>
    <s v=""/>
    <s v=""/>
    <x v="0"/>
    <s v=""/>
    <s v=""/>
    <x v="0"/>
    <s v="SUPP"/>
    <s v=""/>
    <x v="0"/>
  </r>
  <r>
    <n v="15"/>
    <s v=""/>
    <s v=""/>
    <s v="EUR"/>
    <s v=""/>
    <s v=""/>
    <x v="0"/>
    <s v=""/>
    <s v=""/>
    <x v="0"/>
    <s v="SUPP"/>
    <s v=""/>
    <x v="0"/>
  </r>
  <r>
    <n v="16"/>
    <s v=""/>
    <s v=""/>
    <s v="EUR"/>
    <s v=""/>
    <s v=""/>
    <x v="0"/>
    <s v=""/>
    <s v="`"/>
    <x v="0"/>
    <s v="SUPP"/>
    <s v=""/>
    <x v="0"/>
  </r>
  <r>
    <n v="17"/>
    <s v=""/>
    <s v=""/>
    <s v="EUR"/>
    <s v=""/>
    <s v=""/>
    <x v="0"/>
    <s v=""/>
    <s v=""/>
    <x v="0"/>
    <s v="SUPP"/>
    <s v=""/>
    <x v="0"/>
  </r>
  <r>
    <n v="18"/>
    <s v=""/>
    <s v=""/>
    <s v="EUR"/>
    <s v=""/>
    <s v=""/>
    <x v="0"/>
    <s v=""/>
    <s v=""/>
    <x v="0"/>
    <s v="SUPP"/>
    <s v=""/>
    <x v="0"/>
  </r>
  <r>
    <n v="19"/>
    <s v=""/>
    <s v=""/>
    <s v="EUR"/>
    <s v=""/>
    <s v=""/>
    <x v="0"/>
    <s v=""/>
    <s v=""/>
    <x v="0"/>
    <s v="SUPP"/>
    <s v=""/>
    <x v="0"/>
  </r>
  <r>
    <n v="20"/>
    <s v=""/>
    <s v=""/>
    <s v="EUR"/>
    <s v=""/>
    <s v=""/>
    <x v="0"/>
    <s v=""/>
    <s v=""/>
    <x v="0"/>
    <s v="SUPP"/>
    <s v=""/>
    <x v="0"/>
  </r>
  <r>
    <n v="21"/>
    <s v=""/>
    <s v=""/>
    <s v="EUR"/>
    <s v=""/>
    <s v=""/>
    <x v="0"/>
    <s v=""/>
    <s v=""/>
    <x v="0"/>
    <s v="SUPP"/>
    <s v=""/>
    <x v="0"/>
  </r>
  <r>
    <n v="22"/>
    <s v=""/>
    <s v=""/>
    <s v="EUR"/>
    <s v=""/>
    <s v=""/>
    <x v="0"/>
    <s v=""/>
    <s v=""/>
    <x v="0"/>
    <s v="SUPP"/>
    <s v=""/>
    <x v="0"/>
  </r>
  <r>
    <n v="23"/>
    <s v=""/>
    <s v=""/>
    <s v="EUR"/>
    <s v=""/>
    <s v=""/>
    <x v="0"/>
    <s v=""/>
    <s v=""/>
    <x v="0"/>
    <s v="SUPP"/>
    <s v=""/>
    <x v="0"/>
  </r>
  <r>
    <n v="24"/>
    <s v=""/>
    <s v=""/>
    <s v="EUR"/>
    <s v=""/>
    <s v=""/>
    <x v="0"/>
    <s v=""/>
    <s v=""/>
    <x v="0"/>
    <s v="SUPP"/>
    <s v=""/>
    <x v="0"/>
  </r>
  <r>
    <n v="25"/>
    <s v=""/>
    <s v=""/>
    <s v="EUR"/>
    <s v=""/>
    <s v=""/>
    <x v="0"/>
    <s v=""/>
    <s v=""/>
    <x v="0"/>
    <s v="SUPP"/>
    <s v=""/>
    <x v="0"/>
  </r>
  <r>
    <n v="26"/>
    <s v=""/>
    <s v=""/>
    <s v="EUR"/>
    <s v=""/>
    <s v=""/>
    <x v="0"/>
    <s v=""/>
    <s v=""/>
    <x v="0"/>
    <s v="SUPP"/>
    <s v=""/>
    <x v="0"/>
  </r>
  <r>
    <n v="27"/>
    <s v=""/>
    <s v=""/>
    <s v="EUR"/>
    <s v=""/>
    <s v=""/>
    <x v="0"/>
    <s v=""/>
    <s v=""/>
    <x v="0"/>
    <s v="SUPP"/>
    <s v=""/>
    <x v="0"/>
  </r>
  <r>
    <n v="28"/>
    <s v=""/>
    <s v=""/>
    <s v="EUR"/>
    <s v=""/>
    <s v=""/>
    <x v="0"/>
    <s v=""/>
    <s v=""/>
    <x v="0"/>
    <s v="SUPP"/>
    <s v=""/>
    <x v="0"/>
  </r>
  <r>
    <n v="29"/>
    <s v=""/>
    <s v=""/>
    <s v="EUR"/>
    <s v=""/>
    <s v=""/>
    <x v="0"/>
    <s v=""/>
    <s v=""/>
    <x v="0"/>
    <s v="SUPP"/>
    <s v=""/>
    <x v="0"/>
  </r>
  <r>
    <n v="30"/>
    <s v=""/>
    <s v=""/>
    <s v="EUR"/>
    <s v=""/>
    <s v=""/>
    <x v="0"/>
    <s v=""/>
    <s v=""/>
    <x v="0"/>
    <s v="SUPP"/>
    <s v=""/>
    <x v="0"/>
  </r>
  <r>
    <n v="31"/>
    <s v=""/>
    <s v=""/>
    <s v="EUR"/>
    <s v=""/>
    <s v=""/>
    <x v="0"/>
    <s v=""/>
    <s v=""/>
    <x v="0"/>
    <s v="SUPP"/>
    <s v=""/>
    <x v="0"/>
  </r>
  <r>
    <n v="32"/>
    <s v=""/>
    <s v=""/>
    <s v="EUR"/>
    <s v=""/>
    <s v=""/>
    <x v="0"/>
    <s v=""/>
    <s v=""/>
    <x v="0"/>
    <s v="SUPP"/>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0" applyNumberFormats="0" applyBorderFormats="0" applyFontFormats="0" applyPatternFormats="0" applyAlignmentFormats="0" applyWidthHeightFormats="1" dataCaption="Values" updatedVersion="4"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44">
        <item x="0"/>
        <item m="1" x="43"/>
        <item m="1" x="27"/>
        <item m="1" x="8"/>
        <item m="1" x="14"/>
        <item m="1" x="42"/>
        <item m="1" x="23"/>
        <item m="1" x="21"/>
        <item m="1" x="38"/>
        <item m="1" x="11"/>
        <item m="1" x="13"/>
        <item m="1" x="31"/>
        <item m="1" x="4"/>
        <item m="1" x="25"/>
        <item m="1" x="15"/>
        <item m="1" x="26"/>
        <item m="1" x="10"/>
        <item m="1" x="39"/>
        <item m="1" x="35"/>
        <item m="1" x="20"/>
        <item m="1" x="28"/>
        <item m="1" x="41"/>
        <item m="1" x="1"/>
        <item m="1" x="37"/>
        <item m="1" x="40"/>
        <item m="1" x="30"/>
        <item m="1" x="24"/>
        <item m="1" x="22"/>
        <item m="1" x="3"/>
        <item m="1" x="9"/>
        <item m="1" x="18"/>
        <item m="1" x="5"/>
        <item m="1" x="16"/>
        <item m="1" x="36"/>
        <item m="1" x="29"/>
        <item m="1" x="34"/>
        <item m="1" x="2"/>
        <item m="1" x="7"/>
        <item m="1" x="33"/>
        <item m="1" x="6"/>
        <item m="1" x="32"/>
        <item m="1" x="19"/>
        <item m="1" x="12"/>
        <item m="1" x="17"/>
      </items>
    </pivotField>
    <pivotField showAll="0"/>
    <pivotField showAll="0"/>
    <pivotField axis="axisRow" showAll="0">
      <items count="3">
        <item m="1" x="1"/>
        <item x="0"/>
        <item t="default"/>
      </items>
    </pivotField>
    <pivotField showAll="0"/>
    <pivotField showAll="0"/>
    <pivotField axis="axisPage" showAll="0">
      <items count="3">
        <item m="1" x="1"/>
        <item x="0"/>
        <item t="default"/>
      </items>
    </pivotField>
  </pivotFields>
  <rowFields count="2">
    <field x="6"/>
    <field x="9"/>
  </rowFields>
  <rowItems count="3">
    <i>
      <x/>
    </i>
    <i r="1">
      <x v="1"/>
    </i>
    <i t="grand">
      <x/>
    </i>
  </rowItems>
  <colItems count="1">
    <i/>
  </colItems>
  <pageFields count="1">
    <pageField fld="12" item="1"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C6C6"/>
  </sheetPr>
  <dimension ref="A1:H9"/>
  <sheetViews>
    <sheetView workbookViewId="0">
      <selection activeCell="A2" sqref="A2"/>
    </sheetView>
  </sheetViews>
  <sheetFormatPr defaultRowHeight="15" x14ac:dyDescent="0.25"/>
  <cols>
    <col min="1" max="1" width="37" customWidth="1"/>
    <col min="2" max="2" width="34.28515625" customWidth="1"/>
    <col min="3" max="3" width="32" style="3" hidden="1" customWidth="1"/>
    <col min="4" max="4" width="29.28515625" style="3" hidden="1" customWidth="1"/>
    <col min="5" max="5" width="33.7109375" style="3" hidden="1" customWidth="1"/>
    <col min="6" max="6" width="36.5703125" customWidth="1"/>
  </cols>
  <sheetData>
    <row r="1" spans="1:8" s="11" customFormat="1" x14ac:dyDescent="0.25">
      <c r="A1" s="11" t="s">
        <v>0</v>
      </c>
      <c r="B1" s="11" t="s">
        <v>1</v>
      </c>
      <c r="C1" s="12" t="s">
        <v>2</v>
      </c>
      <c r="D1" s="12" t="s">
        <v>4</v>
      </c>
      <c r="E1" s="12" t="s">
        <v>6</v>
      </c>
      <c r="F1" s="11" t="s">
        <v>8</v>
      </c>
      <c r="H1" s="11" t="s">
        <v>10</v>
      </c>
    </row>
    <row r="2" spans="1:8" s="2" customFormat="1" ht="180" x14ac:dyDescent="0.25">
      <c r="A2" s="1" t="s">
        <v>105</v>
      </c>
      <c r="B2" s="1" t="s">
        <v>14</v>
      </c>
      <c r="C2" s="4" t="s">
        <v>3</v>
      </c>
      <c r="D2" s="4" t="s">
        <v>5</v>
      </c>
      <c r="E2" s="4" t="s">
        <v>7</v>
      </c>
      <c r="F2" s="1" t="s">
        <v>9</v>
      </c>
      <c r="H2" s="2" t="s">
        <v>11</v>
      </c>
    </row>
    <row r="3" spans="1:8" s="2" customFormat="1" ht="45" x14ac:dyDescent="0.25">
      <c r="A3" s="1" t="s">
        <v>17</v>
      </c>
      <c r="B3" s="1" t="s">
        <v>16</v>
      </c>
      <c r="C3" s="4" t="s">
        <v>18</v>
      </c>
      <c r="D3" s="4" t="s">
        <v>19</v>
      </c>
      <c r="E3" s="4" t="s">
        <v>20</v>
      </c>
      <c r="F3" s="1" t="s">
        <v>73</v>
      </c>
      <c r="H3" s="2" t="s">
        <v>66</v>
      </c>
    </row>
    <row r="4" spans="1:8" s="2" customFormat="1" ht="15.75" thickBot="1" x14ac:dyDescent="0.3">
      <c r="A4" s="2" t="s">
        <v>68</v>
      </c>
      <c r="C4" s="3"/>
      <c r="D4" s="3"/>
      <c r="E4" s="24" t="s">
        <v>72</v>
      </c>
      <c r="F4" s="2" t="s">
        <v>74</v>
      </c>
      <c r="H4" s="2" t="s">
        <v>69</v>
      </c>
    </row>
    <row r="5" spans="1:8" s="5" customFormat="1" ht="15.75" thickBot="1" x14ac:dyDescent="0.3">
      <c r="A5" s="37"/>
      <c r="B5" s="60">
        <f ca="1">NOW()</f>
        <v>44250.376574305556</v>
      </c>
      <c r="C5" s="25">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f>
        <v>0</v>
      </c>
      <c r="D5" s="26">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f>
        <v>0</v>
      </c>
      <c r="E5" s="27" t="str">
        <f>'Payment Information Record'!H5</f>
        <v>GALDES AND MAMO LTD</v>
      </c>
      <c r="F5" s="23" t="s">
        <v>99</v>
      </c>
      <c r="H5" s="5" t="s">
        <v>12</v>
      </c>
    </row>
    <row r="6" spans="1:8" s="1" customFormat="1" x14ac:dyDescent="0.25">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x14ac:dyDescent="0.25">
      <c r="B7" s="7"/>
    </row>
    <row r="9" spans="1:8" x14ac:dyDescent="0.25">
      <c r="B9" s="6"/>
    </row>
  </sheetData>
  <sheetProtection algorithmName="SHA-512" hashValue="LjLt/QlBhIWw6caccLKw16by2N6bGqEx78EgEa3oZpXuxEVkxwm7+kBWv+LBV0iB8T2Epi8TsKGsCo1lEA/TOg==" saltValue="tfblsXr5wi+CO9BJcI+Haw==" spinCount="100000" sheet="1" objects="1" scenarios="1" formatColumns="0" selectLockedCells="1"/>
  <dataValidations count="3">
    <dataValidation type="textLength" operator="lessThan" allowBlank="1" showInputMessage="1" showErrorMessage="1" errorTitle="Header Record: MsgId" error="The value of this field can be between 1 and 35 characters in length_x000a_" sqref="A5" xr:uid="{00000000-0002-0000-0000-000000000000}">
      <formula1>36</formula1>
    </dataValidation>
    <dataValidation type="textLength" allowBlank="1" showInputMessage="1" showErrorMessage="1" errorTitle="Header Record: Nm" error="The value must be between 1 and 70 characters in length_x000a_" sqref="E5" xr:uid="{00000000-0002-0000-0000-000001000000}">
      <formula1>1</formula1>
      <formula2>70</formula2>
    </dataValidation>
    <dataValidation type="textLength" showInputMessage="1" showErrorMessage="1" errorTitle="Header Record: Id" error="This value is provide by the bank" sqref="F5" xr:uid="{00000000-0002-0000-0000-000002000000}">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O22"/>
  <sheetViews>
    <sheetView workbookViewId="0">
      <selection activeCell="H5" sqref="H5"/>
    </sheetView>
  </sheetViews>
  <sheetFormatPr defaultRowHeight="15" x14ac:dyDescent="0.25"/>
  <cols>
    <col min="1" max="1" width="36.28515625" customWidth="1"/>
    <col min="2" max="2" width="32" style="3" hidden="1" customWidth="1"/>
    <col min="3" max="3" width="20.7109375" customWidth="1"/>
    <col min="4" max="4" width="32" style="3" hidden="1" customWidth="1"/>
    <col min="5" max="5" width="29.28515625" style="3" hidden="1" customWidth="1"/>
    <col min="6" max="6" width="32" style="3" hidden="1" customWidth="1"/>
    <col min="7" max="7" width="22.28515625" customWidth="1"/>
    <col min="8" max="8" width="31.28515625" customWidth="1"/>
    <col min="9" max="9" width="17.28515625" customWidth="1"/>
    <col min="10" max="10" width="19.28515625" customWidth="1"/>
    <col min="11" max="11" width="13" customWidth="1"/>
    <col min="12" max="12" width="3.7109375" style="3" customWidth="1"/>
    <col min="13" max="13" width="10.42578125" customWidth="1"/>
  </cols>
  <sheetData>
    <row r="1" spans="1:15" s="1" customFormat="1" x14ac:dyDescent="0.25">
      <c r="A1" s="1" t="s">
        <v>15</v>
      </c>
      <c r="B1" s="3" t="s">
        <v>78</v>
      </c>
      <c r="C1" s="1" t="s">
        <v>21</v>
      </c>
      <c r="D1" s="3" t="s">
        <v>2</v>
      </c>
      <c r="E1" s="3" t="s">
        <v>4</v>
      </c>
      <c r="F1" s="3" t="s">
        <v>39</v>
      </c>
      <c r="G1" s="1" t="s">
        <v>27</v>
      </c>
      <c r="H1" s="1" t="s">
        <v>6</v>
      </c>
      <c r="I1" s="1" t="s">
        <v>30</v>
      </c>
      <c r="J1" s="1" t="s">
        <v>30</v>
      </c>
      <c r="K1" s="1" t="s">
        <v>34</v>
      </c>
      <c r="L1" s="3" t="s">
        <v>83</v>
      </c>
      <c r="M1" s="1" t="s">
        <v>36</v>
      </c>
      <c r="O1" t="s">
        <v>10</v>
      </c>
    </row>
    <row r="2" spans="1:15" s="1" customFormat="1" ht="120" x14ac:dyDescent="0.25">
      <c r="A2" s="1" t="s">
        <v>106</v>
      </c>
      <c r="B2" s="4" t="s">
        <v>79</v>
      </c>
      <c r="C2" s="1" t="s">
        <v>22</v>
      </c>
      <c r="D2" s="4" t="s">
        <v>3</v>
      </c>
      <c r="E2" s="4" t="s">
        <v>5</v>
      </c>
      <c r="F2" s="4" t="s">
        <v>79</v>
      </c>
      <c r="G2" s="1" t="s">
        <v>28</v>
      </c>
      <c r="H2" s="1" t="s">
        <v>7</v>
      </c>
      <c r="I2" s="1" t="s">
        <v>31</v>
      </c>
      <c r="J2" s="1" t="s">
        <v>32</v>
      </c>
      <c r="K2" s="1" t="s">
        <v>35</v>
      </c>
      <c r="L2" s="4" t="s">
        <v>79</v>
      </c>
      <c r="M2" s="1" t="s">
        <v>37</v>
      </c>
      <c r="O2" s="2" t="s">
        <v>11</v>
      </c>
    </row>
    <row r="3" spans="1:15" s="1" customFormat="1" ht="75" x14ac:dyDescent="0.25">
      <c r="A3" s="1" t="s">
        <v>75</v>
      </c>
      <c r="B3" s="4"/>
      <c r="C3" s="1" t="s">
        <v>23</v>
      </c>
      <c r="D3" s="4" t="s">
        <v>77</v>
      </c>
      <c r="E3" s="4" t="s">
        <v>19</v>
      </c>
      <c r="F3" s="4"/>
      <c r="G3" s="1" t="s">
        <v>29</v>
      </c>
      <c r="H3" s="1" t="s">
        <v>20</v>
      </c>
      <c r="I3" s="1" t="s">
        <v>33</v>
      </c>
      <c r="J3" s="1" t="s">
        <v>33</v>
      </c>
      <c r="L3" s="4"/>
      <c r="O3" s="2" t="s">
        <v>66</v>
      </c>
    </row>
    <row r="4" spans="1:15" s="1" customFormat="1" x14ac:dyDescent="0.25">
      <c r="A4" s="1" t="s">
        <v>76</v>
      </c>
      <c r="B4" s="4"/>
      <c r="C4" s="1" t="s">
        <v>70</v>
      </c>
      <c r="D4" s="4" t="s">
        <v>71</v>
      </c>
      <c r="E4" s="4"/>
      <c r="F4" s="4"/>
      <c r="L4" s="4"/>
      <c r="O4" s="1" t="s">
        <v>69</v>
      </c>
    </row>
    <row r="5" spans="1:15" s="1" customFormat="1" x14ac:dyDescent="0.25">
      <c r="A5" s="13"/>
      <c r="B5" s="17" t="s">
        <v>80</v>
      </c>
      <c r="C5" s="14" t="s">
        <v>25</v>
      </c>
      <c r="D5" s="17">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f>
        <v>0</v>
      </c>
      <c r="E5" s="16">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f>
        <v>0</v>
      </c>
      <c r="F5" s="17" t="s">
        <v>81</v>
      </c>
      <c r="G5" s="18">
        <v>44239</v>
      </c>
      <c r="H5" s="14" t="s">
        <v>247</v>
      </c>
      <c r="I5" s="14"/>
      <c r="J5" s="14"/>
      <c r="K5" s="84" t="s">
        <v>248</v>
      </c>
      <c r="L5" s="17" t="s">
        <v>84</v>
      </c>
      <c r="M5" s="85" t="s">
        <v>85</v>
      </c>
      <c r="O5" s="5" t="s">
        <v>12</v>
      </c>
    </row>
    <row r="6" spans="1:15" s="9" customFormat="1" x14ac:dyDescent="0.25">
      <c r="A6" s="28" t="str">
        <f>IF(LEN(A5)&gt;35,"Payment Information Group Identifier must be between 1 and 35 characters long","")</f>
        <v/>
      </c>
      <c r="B6" s="29"/>
      <c r="C6" s="30" t="str">
        <f>IF(NOT(ISNUMBER(MATCH(C5,'Control Data (Hidden)'!D9:E9,0))),"Batch booking should be true or false","")</f>
        <v/>
      </c>
      <c r="D6" s="29"/>
      <c r="E6" s="29"/>
      <c r="F6" s="29"/>
      <c r="G6" s="30" t="str">
        <f>IF(ISBLANK(G5),"Cannot be left blank",IF(OR(ISERROR(YEAR(G5)),ISERROR(MONTH(G5)),ISERROR(DAY(G5))),"Required Execution date is not valid",IF(OR(WEEKDAY(G5)=1,WEEKDAY(G5)=7),"Requested execution date must be between Monday to Friday","")))</f>
        <v/>
      </c>
      <c r="H6" s="30" t="str">
        <f>IF(OR(LEN(H5)&lt;1,LEN(H5)&gt;70),"Name must be between 1 and 70 characters long","")</f>
        <v/>
      </c>
      <c r="I6" s="30" t="str">
        <f>IF(LEN(I5)&gt;70,"Address cannot be longer than 70 characters","")</f>
        <v/>
      </c>
      <c r="J6" s="30" t="str">
        <f>IF(LEN(J5)&gt;70,"Address cannot be longer than 70 characters","")</f>
        <v/>
      </c>
      <c r="K6" s="30" t="str">
        <f>IF(OR(LEN(K5)&lt;10,LEN(K5)&gt;34),"IBAN may be up to 34 characters long","")</f>
        <v/>
      </c>
      <c r="L6" s="29"/>
      <c r="M6" s="31" t="str">
        <f>IF(AND(LEN(M5)&lt;&gt;8,LEN(M5)&lt;&gt;11),"BIC must be 8 or 11 characters long","")</f>
        <v/>
      </c>
      <c r="N6" s="7"/>
      <c r="O6" s="1" t="s">
        <v>13</v>
      </c>
    </row>
    <row r="7" spans="1:15" s="1" customFormat="1" x14ac:dyDescent="0.25">
      <c r="A7" s="32"/>
      <c r="B7" s="33"/>
      <c r="C7" s="34"/>
      <c r="D7" s="33"/>
      <c r="E7" s="33"/>
      <c r="F7" s="33"/>
      <c r="G7" s="35" t="str">
        <f ca="1">IF(G5=TODAY(),"Files must be submitted before 11:30am to be processed on the same day. Files submitted after 2:30pm will incur additional charges","")</f>
        <v/>
      </c>
      <c r="H7" s="34"/>
      <c r="I7" s="34"/>
      <c r="J7" s="34"/>
      <c r="K7" s="34"/>
      <c r="L7" s="33"/>
      <c r="M7" s="36"/>
    </row>
    <row r="8" spans="1:15" s="1" customFormat="1" x14ac:dyDescent="0.25">
      <c r="B8" s="3"/>
      <c r="D8" s="3"/>
      <c r="E8" s="3"/>
      <c r="F8" s="3"/>
      <c r="L8" s="3"/>
    </row>
    <row r="9" spans="1:15" s="1" customFormat="1" x14ac:dyDescent="0.25">
      <c r="B9" s="3"/>
      <c r="D9" s="3"/>
      <c r="E9" s="3"/>
      <c r="F9" s="3"/>
      <c r="L9" s="3"/>
    </row>
    <row r="10" spans="1:15" s="1" customFormat="1" x14ac:dyDescent="0.25">
      <c r="B10" s="3"/>
      <c r="D10" s="3"/>
      <c r="E10" s="3"/>
      <c r="F10" s="3"/>
      <c r="L10" s="3"/>
    </row>
    <row r="11" spans="1:15" s="1" customFormat="1" x14ac:dyDescent="0.25">
      <c r="B11" s="3"/>
      <c r="D11" s="3"/>
      <c r="E11" s="3"/>
      <c r="F11" s="3"/>
      <c r="L11" s="3"/>
    </row>
    <row r="12" spans="1:15" s="1" customFormat="1" x14ac:dyDescent="0.25">
      <c r="B12" s="3"/>
      <c r="D12" s="3"/>
      <c r="E12" s="3"/>
      <c r="F12" s="3"/>
      <c r="L12" s="3"/>
    </row>
    <row r="13" spans="1:15" s="1" customFormat="1" x14ac:dyDescent="0.25">
      <c r="B13" s="3"/>
      <c r="D13" s="3"/>
      <c r="E13" s="3"/>
      <c r="F13" s="3"/>
      <c r="L13" s="3"/>
    </row>
    <row r="14" spans="1:15" s="1" customFormat="1" x14ac:dyDescent="0.25">
      <c r="B14" s="3"/>
      <c r="D14" s="3"/>
      <c r="E14" s="3"/>
      <c r="F14" s="3"/>
      <c r="L14" s="3"/>
    </row>
    <row r="15" spans="1:15" s="1" customFormat="1" x14ac:dyDescent="0.25">
      <c r="B15" s="3"/>
      <c r="D15" s="3"/>
      <c r="E15" s="3"/>
      <c r="F15" s="3"/>
      <c r="L15" s="3"/>
    </row>
    <row r="16" spans="1:15" s="1" customFormat="1" x14ac:dyDescent="0.25">
      <c r="B16" s="3"/>
      <c r="D16" s="3"/>
      <c r="E16" s="3"/>
      <c r="F16" s="3"/>
      <c r="L16" s="3"/>
    </row>
    <row r="17" spans="2:12" s="1" customFormat="1" x14ac:dyDescent="0.25">
      <c r="B17" s="3"/>
      <c r="D17" s="3"/>
      <c r="E17" s="3"/>
      <c r="F17" s="3"/>
      <c r="L17" s="3"/>
    </row>
    <row r="18" spans="2:12" s="1" customFormat="1" x14ac:dyDescent="0.25">
      <c r="B18" s="3"/>
      <c r="D18" s="3"/>
      <c r="E18" s="3"/>
      <c r="F18" s="3"/>
      <c r="L18" s="3"/>
    </row>
    <row r="19" spans="2:12" s="1" customFormat="1" x14ac:dyDescent="0.25">
      <c r="B19" s="3"/>
      <c r="D19" s="3"/>
      <c r="E19" s="3"/>
      <c r="F19" s="3"/>
      <c r="L19" s="3"/>
    </row>
    <row r="20" spans="2:12" s="1" customFormat="1" x14ac:dyDescent="0.25">
      <c r="B20" s="3"/>
      <c r="D20" s="3"/>
      <c r="E20" s="3"/>
      <c r="F20" s="3"/>
      <c r="L20" s="3"/>
    </row>
    <row r="21" spans="2:12" s="1" customFormat="1" x14ac:dyDescent="0.25">
      <c r="B21" s="3"/>
      <c r="D21" s="3"/>
      <c r="E21" s="3"/>
      <c r="F21" s="3"/>
      <c r="L21" s="3"/>
    </row>
    <row r="22" spans="2:12" s="1" customFormat="1" x14ac:dyDescent="0.25">
      <c r="B22" s="3"/>
      <c r="D22" s="3"/>
      <c r="E22" s="3"/>
      <c r="F22" s="3"/>
      <c r="L22" s="3"/>
    </row>
  </sheetData>
  <sheetProtection algorithmName="SHA-512" hashValue="rcILm2rzqmPH4QOpFHWaHOvoVttTn4dZs+VoYobgWY6KzYfal53unvPnDs1ms7W8Dz8uo9BxuYSmjTK6mvYg6w==" saltValue="LwcvK2IGNGy3D2R0MwOdhQ==" spinCount="100000" sheet="1" objects="1" scenarios="1" formatColumns="0" selectLockedCells="1"/>
  <dataValidations count="6">
    <dataValidation type="textLength" showInputMessage="1" showErrorMessage="1" errorTitle="Pay Info Rec: PmtInfId" error="Thie length of this item must be between 1 and 35 characters long_x000a_" sqref="B5 F5 L5" xr:uid="{00000000-0002-0000-0100-000000000000}">
      <formula1>1</formula1>
      <formula2>35</formula2>
    </dataValidation>
    <dataValidation type="textLength" showInputMessage="1" showErrorMessage="1" errorTitle="Pay Info Rec: Nm" error="Name must be between 1 and 70 characters long." sqref="H5" xr:uid="{00000000-0002-0000-0100-000001000000}">
      <formula1>1</formula1>
      <formula2>70</formula2>
    </dataValidation>
    <dataValidation type="textLength" operator="lessThanOrEqual" allowBlank="1" showInputMessage="1" showErrorMessage="1" errorTitle="Pay Info Rec: PstlAdr:AdrLine" error="This item cannot be longer than 70 characters" sqref="I5:J5" xr:uid="{00000000-0002-0000-0100-000002000000}">
      <formula1>70</formula1>
    </dataValidation>
    <dataValidation type="textLength" showInputMessage="1" showErrorMessage="1" errorTitle="Pay Info Rec: IBAN" error="This must be up to 34 characters in length_x000a_" sqref="K5" xr:uid="{00000000-0002-0000-0100-000003000000}">
      <formula1>4</formula1>
      <formula2>34</formula2>
    </dataValidation>
    <dataValidation type="textLength" showInputMessage="1" showErrorMessage="1" errorTitle="Pay Info Rec: BIC" error="BIC should be either 8 or 11 characters in length" sqref="M5" xr:uid="{00000000-0002-0000-0100-000004000000}">
      <formula1>8</formula1>
      <formula2>11</formula2>
    </dataValidation>
    <dataValidation type="textLength" operator="lessThan" showInputMessage="1" showErrorMessage="1" errorTitle="Pay Info Rec: PmtInfId" error="Thie length of this item must be between 1 and 35 characters long_x000a_" sqref="A5" xr:uid="{00000000-0002-0000-0100-000005000000}">
      <formula1>36</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r:uid="{00000000-0002-0000-0100-000006000000}">
          <x14:formula1>
            <xm:f>'Control Data (Hidden)'!$D$9:$E$9</xm:f>
          </x14:formula1>
          <xm:sqref>C5</xm:sqref>
        </x14:dataValidation>
        <x14:dataValidation type="date" allowBlank="1" showInputMessage="1" showErrorMessage="1" errorTitle="Pay Info Rec: ReqdExctnDt" error="The date is invalid" xr:uid="{00000000-0002-0000-0100-000007000000}">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39997558519241921"/>
  </sheetPr>
  <dimension ref="A1:M68"/>
  <sheetViews>
    <sheetView tabSelected="1" zoomScale="90" zoomScaleNormal="90" workbookViewId="0">
      <pane ySplit="4" topLeftCell="A5" activePane="bottomLeft" state="frozen"/>
      <selection activeCell="A2" sqref="A2"/>
      <selection pane="bottomLeft" activeCell="A5" sqref="A5"/>
    </sheetView>
  </sheetViews>
  <sheetFormatPr defaultRowHeight="15" x14ac:dyDescent="0.25"/>
  <cols>
    <col min="1" max="1" width="39.28515625" customWidth="1"/>
    <col min="2" max="2" width="25.28515625" customWidth="1"/>
    <col min="3" max="3" width="14.5703125" style="3" hidden="1" customWidth="1"/>
    <col min="4" max="4" width="21.28515625" customWidth="1"/>
    <col min="5" max="5" width="19.7109375" customWidth="1"/>
    <col min="6" max="6" width="32.7109375" customWidth="1"/>
    <col min="7" max="7" width="17.28515625" customWidth="1"/>
    <col min="8" max="8" width="19.28515625" customWidth="1"/>
    <col min="9" max="9" width="33.28515625" customWidth="1"/>
    <col min="10" max="10" width="9.7109375" customWidth="1"/>
    <col min="11" max="11" width="29.28515625" customWidth="1"/>
  </cols>
  <sheetData>
    <row r="1" spans="1:13" s="1" customFormat="1" x14ac:dyDescent="0.25">
      <c r="A1" s="1" t="s">
        <v>54</v>
      </c>
      <c r="B1" s="1" t="s">
        <v>56</v>
      </c>
      <c r="C1" s="3" t="s">
        <v>83</v>
      </c>
      <c r="D1" s="1" t="s">
        <v>58</v>
      </c>
      <c r="E1" s="1" t="s">
        <v>36</v>
      </c>
      <c r="F1" s="1" t="s">
        <v>6</v>
      </c>
      <c r="G1" s="1" t="s">
        <v>30</v>
      </c>
      <c r="H1" s="1" t="s">
        <v>30</v>
      </c>
      <c r="I1" s="1" t="s">
        <v>34</v>
      </c>
      <c r="J1" s="1" t="s">
        <v>39</v>
      </c>
      <c r="K1" s="1" t="s">
        <v>63</v>
      </c>
      <c r="M1" t="s">
        <v>10</v>
      </c>
    </row>
    <row r="2" spans="1:13" s="1" customFormat="1" ht="120" x14ac:dyDescent="0.25">
      <c r="A2" s="1" t="s">
        <v>55</v>
      </c>
      <c r="B2" s="1" t="s">
        <v>57</v>
      </c>
      <c r="C2" s="4" t="s">
        <v>79</v>
      </c>
      <c r="D2" s="1" t="s">
        <v>59</v>
      </c>
      <c r="E2" s="1" t="s">
        <v>60</v>
      </c>
      <c r="F2" s="1" t="s">
        <v>61</v>
      </c>
      <c r="G2" s="1" t="s">
        <v>111</v>
      </c>
      <c r="H2" s="1" t="s">
        <v>112</v>
      </c>
      <c r="I2" s="1" t="s">
        <v>62</v>
      </c>
      <c r="J2" s="1" t="s">
        <v>86</v>
      </c>
      <c r="K2" s="1" t="s">
        <v>64</v>
      </c>
      <c r="M2" s="2" t="s">
        <v>11</v>
      </c>
    </row>
    <row r="3" spans="1:13" s="1" customFormat="1" ht="210" x14ac:dyDescent="0.25">
      <c r="A3" s="1" t="s">
        <v>17</v>
      </c>
      <c r="B3" s="1" t="s">
        <v>17</v>
      </c>
      <c r="C3" s="4"/>
      <c r="D3" s="1" t="s">
        <v>19</v>
      </c>
      <c r="E3" s="63" t="s">
        <v>119</v>
      </c>
      <c r="F3" s="1" t="s">
        <v>110</v>
      </c>
      <c r="G3" s="1" t="s">
        <v>116</v>
      </c>
      <c r="H3" s="1" t="s">
        <v>117</v>
      </c>
      <c r="I3" s="63" t="s">
        <v>118</v>
      </c>
      <c r="K3" s="1" t="s">
        <v>65</v>
      </c>
      <c r="M3" s="2" t="s">
        <v>66</v>
      </c>
    </row>
    <row r="4" spans="1:13" s="1" customFormat="1" x14ac:dyDescent="0.25">
      <c r="A4" s="1" t="s">
        <v>68</v>
      </c>
      <c r="B4" s="1" t="s">
        <v>68</v>
      </c>
      <c r="C4" s="4"/>
      <c r="D4" s="10" t="s">
        <v>67</v>
      </c>
      <c r="M4" s="1" t="s">
        <v>69</v>
      </c>
    </row>
    <row r="5" spans="1:13" x14ac:dyDescent="0.25">
      <c r="A5" s="13"/>
      <c r="B5" s="14"/>
      <c r="C5" s="17" t="s">
        <v>84</v>
      </c>
      <c r="D5" s="19"/>
      <c r="E5" s="62"/>
      <c r="F5" s="62"/>
      <c r="G5" s="62"/>
      <c r="H5" s="62"/>
      <c r="I5" s="62"/>
      <c r="J5" s="14" t="s">
        <v>46</v>
      </c>
      <c r="K5" s="15"/>
      <c r="M5" s="5" t="s">
        <v>12</v>
      </c>
    </row>
    <row r="6" spans="1:13" ht="45" x14ac:dyDescent="0.25">
      <c r="A6" s="7" t="str">
        <f>IF(OR(LEN(A5)&lt;1,LEN(A5)&gt;35),"Transaction Identification must be between 1 and 35 characters long","")</f>
        <v>Transaction Identification must be between 1 and 35 characters long</v>
      </c>
      <c r="B6" s="7" t="str">
        <f>IF(OR(LEN(B5)&lt;1,LEN(B5)&gt;35),"Uniqie Identification must be between 1 and 35 characters long","")</f>
        <v>Uniqie Identification must be between 1 and 35 characters long</v>
      </c>
      <c r="C6" s="8"/>
      <c r="D6" s="7" t="str">
        <f>IF(OR(D5&lt;0.01,D5&gt;9999999999999990),"Transaction Amount is not valid","")</f>
        <v>Transaction Amount is not valid</v>
      </c>
      <c r="E6" s="7" t="str">
        <f>IF(AND(LEN(E5)&lt;&gt;8,LEN(E5)&lt;&gt;11),"BIC must be 8 or 11 characters long","")</f>
        <v>BIC must be 8 or 11 characters long</v>
      </c>
      <c r="F6" s="7" t="str">
        <f>IF(OR(LEN(F5)&lt;1,LEN(F5)&gt;70),"Creditor's Name must be between 1 and 70 characters long","")</f>
        <v>Creditor's Name must be between 1 and 70 characters long</v>
      </c>
      <c r="G6" s="7" t="str">
        <f>IF(LEN(G5)&gt;70,"Address cannot be longer than 70 characters","")</f>
        <v/>
      </c>
      <c r="H6" s="7" t="str">
        <f>IF(LEN(H5)&gt;70,"Address cannot be longer than 70 characters","")</f>
        <v/>
      </c>
      <c r="I6" s="7" t="str">
        <f>IF(OR(LEN(I5)&lt;10,LEN(I5)&gt;34),"IBAN may be up to 34 characters long","")</f>
        <v>IBAN may be up to 34 characters long</v>
      </c>
      <c r="J6" s="7" t="str">
        <f>IF(ISBLANK(J5),"Code cannot be left blank","")</f>
        <v/>
      </c>
      <c r="K6" s="7" t="str">
        <f>IF(OR(LEN(K5)&lt;1,LEN(K5)&gt;140),"Transaction Details must be between 1 and 140 characters long","")</f>
        <v>Transaction Details must be between 1 and 140 characters long</v>
      </c>
      <c r="M6" s="1" t="s">
        <v>13</v>
      </c>
    </row>
    <row r="7" spans="1:13" x14ac:dyDescent="0.25">
      <c r="A7" s="13"/>
      <c r="B7" s="14"/>
      <c r="C7" s="17" t="s">
        <v>84</v>
      </c>
      <c r="D7" s="19"/>
      <c r="E7" s="62"/>
      <c r="F7" s="62"/>
      <c r="G7" s="62"/>
      <c r="H7" s="62"/>
      <c r="I7" s="62"/>
      <c r="J7" s="14" t="s">
        <v>46</v>
      </c>
      <c r="K7" s="15"/>
      <c r="M7" s="5" t="s">
        <v>12</v>
      </c>
    </row>
    <row r="8" spans="1:13" ht="45" x14ac:dyDescent="0.25">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IF(AND(LEN(E7)&lt;&gt;8,LEN(E7)&lt;&gt;11),"BIC must be 8 or 11 characters long","")</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IF(LEN(H7)&gt;70,"Address cannot be longer than 70 characters","")</f>
        <v/>
      </c>
      <c r="I8" s="7" t="str">
        <f>IF(OR(LEN(I7)&lt;10,LEN(I7)&gt;34),"IBAN may be up to 34 characters long","")</f>
        <v>IBAN may be up to 34 characters long</v>
      </c>
      <c r="J8" s="7" t="str">
        <f>IF(ISBLANK(J7),"Code cannot be left blank","")</f>
        <v/>
      </c>
      <c r="K8" s="7" t="str">
        <f>IF(OR(LEN(K7)&lt;1,LEN(K7)&gt;140),"Transaction Details must be between 1 and 140 characters long","")</f>
        <v>Transaction Details must be between 1 and 140 characters long</v>
      </c>
      <c r="M8" s="1" t="s">
        <v>13</v>
      </c>
    </row>
    <row r="9" spans="1:13" x14ac:dyDescent="0.25">
      <c r="A9" s="13"/>
      <c r="B9" s="14"/>
      <c r="C9" s="17" t="s">
        <v>84</v>
      </c>
      <c r="D9" s="19"/>
      <c r="E9" s="62"/>
      <c r="F9" s="62"/>
      <c r="G9" s="62"/>
      <c r="H9" s="62" t="s">
        <v>337</v>
      </c>
      <c r="I9" s="62"/>
      <c r="J9" s="14" t="s">
        <v>46</v>
      </c>
      <c r="K9" s="15"/>
      <c r="M9" s="5" t="s">
        <v>12</v>
      </c>
    </row>
    <row r="10" spans="1:13" ht="45" x14ac:dyDescent="0.25">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IF(AND(LEN(E9)&lt;&gt;8,LEN(E9)&lt;&gt;11),"BIC must be 8 or 11 characters long","")</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IF(LEN(H9)&gt;70,"Address cannot be longer than 70 characters","")</f>
        <v/>
      </c>
      <c r="I10" s="7" t="str">
        <f>IF(OR(LEN(I9)&lt;10,LEN(I9)&gt;34),"IBAN may be up to 34 characters long","")</f>
        <v>IBAN may be up to 34 characters long</v>
      </c>
      <c r="J10" s="7" t="str">
        <f>IF(ISBLANK(J9),"Code cannot be left blank","")</f>
        <v/>
      </c>
      <c r="K10" s="7" t="str">
        <f>IF(OR(LEN(K9)&lt;1,LEN(K9)&gt;140),"Transaction Details must be between 1 and 140 characters long","")</f>
        <v>Transaction Details must be between 1 and 140 characters long</v>
      </c>
      <c r="M10" s="1" t="s">
        <v>13</v>
      </c>
    </row>
    <row r="11" spans="1:13" x14ac:dyDescent="0.25">
      <c r="A11" s="13"/>
      <c r="B11" s="14"/>
      <c r="C11" s="17" t="s">
        <v>84</v>
      </c>
      <c r="D11" s="19"/>
      <c r="E11" s="62"/>
      <c r="F11" s="62"/>
      <c r="G11" s="62"/>
      <c r="H11" s="62"/>
      <c r="I11" s="62"/>
      <c r="J11" s="14" t="s">
        <v>46</v>
      </c>
      <c r="K11" s="15"/>
      <c r="M11" s="5" t="s">
        <v>12</v>
      </c>
    </row>
    <row r="12" spans="1:13" ht="45" x14ac:dyDescent="0.25">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IF(AND(LEN(E11)&lt;&gt;8,LEN(E11)&lt;&gt;11),"BIC must be 8 or 11 characters long","")</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IF(LEN(H11)&gt;70,"Address cannot be longer than 70 characters","")</f>
        <v/>
      </c>
      <c r="I12" s="7" t="str">
        <f>IF(OR(LEN(I11)&lt;10,LEN(I11)&gt;34),"IBAN may be up to 34 characters long","")</f>
        <v>IBAN may be up to 34 characters long</v>
      </c>
      <c r="J12" s="7" t="str">
        <f>IF(ISBLANK(J11),"Code cannot be left blank","")</f>
        <v/>
      </c>
      <c r="K12" s="7" t="str">
        <f>IF(OR(LEN(K11)&lt;1,LEN(K11)&gt;140),"Transaction Details must be between 1 and 140 characters long","")</f>
        <v>Transaction Details must be between 1 and 140 characters long</v>
      </c>
      <c r="M12" s="1" t="s">
        <v>13</v>
      </c>
    </row>
    <row r="13" spans="1:13" x14ac:dyDescent="0.25">
      <c r="A13" s="13"/>
      <c r="B13" s="14"/>
      <c r="C13" s="17" t="s">
        <v>84</v>
      </c>
      <c r="D13" s="19"/>
      <c r="E13" s="62"/>
      <c r="F13" s="62"/>
      <c r="G13" s="62"/>
      <c r="H13" s="62"/>
      <c r="I13" s="62"/>
      <c r="J13" s="14" t="s">
        <v>46</v>
      </c>
      <c r="K13" s="15"/>
      <c r="M13" s="5" t="s">
        <v>12</v>
      </c>
    </row>
    <row r="14" spans="1:13" ht="45" x14ac:dyDescent="0.25">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IF(AND(LEN(E13)&lt;&gt;8,LEN(E13)&lt;&gt;11),"BIC must be 8 or 11 characters long","")</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IF(LEN(H13)&gt;70,"Address cannot be longer than 70 characters","")</f>
        <v/>
      </c>
      <c r="I14" s="7" t="str">
        <f>IF(OR(LEN(I13)&lt;10,LEN(I13)&gt;34),"IBAN may be up to 34 characters long","")</f>
        <v>IBAN may be up to 34 characters long</v>
      </c>
      <c r="J14" s="7" t="str">
        <f>IF(ISBLANK(J13),"Code cannot be left blank","")</f>
        <v/>
      </c>
      <c r="K14" s="7" t="str">
        <f>IF(OR(LEN(K13)&lt;1,LEN(K13)&gt;140),"Transaction Details must be between 1 and 140 characters long","")</f>
        <v>Transaction Details must be between 1 and 140 characters long</v>
      </c>
      <c r="M14" s="1" t="s">
        <v>13</v>
      </c>
    </row>
    <row r="15" spans="1:13" x14ac:dyDescent="0.25">
      <c r="A15" s="13"/>
      <c r="B15" s="14"/>
      <c r="C15" s="17" t="s">
        <v>84</v>
      </c>
      <c r="D15" s="19"/>
      <c r="E15" s="62"/>
      <c r="F15" s="62"/>
      <c r="G15" s="62"/>
      <c r="H15" s="62"/>
      <c r="I15" s="62"/>
      <c r="J15" s="14" t="s">
        <v>46</v>
      </c>
      <c r="K15" s="15"/>
      <c r="M15" s="5" t="s">
        <v>12</v>
      </c>
    </row>
    <row r="16" spans="1:13" ht="45" x14ac:dyDescent="0.25">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IF(AND(LEN(E15)&lt;&gt;8,LEN(E15)&lt;&gt;11),"BIC must be 8 or 11 characters long","")</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IF(LEN(H15)&gt;70,"Address cannot be longer than 70 characters","")</f>
        <v/>
      </c>
      <c r="I16" s="7" t="str">
        <f>IF(OR(LEN(I15)&lt;10,LEN(I15)&gt;34),"IBAN may be up to 34 characters long","")</f>
        <v>IBAN may be up to 34 characters long</v>
      </c>
      <c r="J16" s="7" t="str">
        <f>IF(ISBLANK(J15),"Code cannot be left blank","")</f>
        <v/>
      </c>
      <c r="K16" s="7" t="str">
        <f>IF(OR(LEN(K15)&lt;1,LEN(K15)&gt;140),"Transaction Details must be between 1 and 140 characters long","")</f>
        <v>Transaction Details must be between 1 and 140 characters long</v>
      </c>
      <c r="M16" s="1" t="s">
        <v>13</v>
      </c>
    </row>
    <row r="17" spans="1:13" x14ac:dyDescent="0.25">
      <c r="A17" s="13"/>
      <c r="B17" s="14"/>
      <c r="C17" s="17" t="s">
        <v>84</v>
      </c>
      <c r="D17" s="19"/>
      <c r="E17" s="62"/>
      <c r="F17" s="62"/>
      <c r="G17" s="62" t="s">
        <v>337</v>
      </c>
      <c r="H17" s="62"/>
      <c r="I17" s="62"/>
      <c r="J17" s="14" t="s">
        <v>46</v>
      </c>
      <c r="K17" s="15"/>
      <c r="M17" s="5" t="s">
        <v>12</v>
      </c>
    </row>
    <row r="18" spans="1:13" ht="45" x14ac:dyDescent="0.25">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IF(AND(LEN(E17)&lt;&gt;8,LEN(E17)&lt;&gt;11),"BIC must be 8 or 11 characters long","")</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IF(LEN(H17)&gt;70,"Address cannot be longer than 70 characters","")</f>
        <v/>
      </c>
      <c r="I18" s="7" t="str">
        <f>IF(OR(LEN(I17)&lt;10,LEN(I17)&gt;34),"IBAN may be up to 34 characters long","")</f>
        <v>IBAN may be up to 34 characters long</v>
      </c>
      <c r="J18" s="7" t="str">
        <f>IF(ISBLANK(J17),"Code cannot be left blank","")</f>
        <v/>
      </c>
      <c r="K18" s="7" t="str">
        <f>IF(OR(LEN(K17)&lt;1,LEN(K17)&gt;140),"Transaction Details must be between 1 and 140 characters long","")</f>
        <v>Transaction Details must be between 1 and 140 characters long</v>
      </c>
      <c r="M18" s="1" t="s">
        <v>13</v>
      </c>
    </row>
    <row r="19" spans="1:13" x14ac:dyDescent="0.25">
      <c r="A19" s="13"/>
      <c r="B19" s="14"/>
      <c r="C19" s="17" t="s">
        <v>84</v>
      </c>
      <c r="D19" s="19"/>
      <c r="E19" s="62"/>
      <c r="F19" s="62"/>
      <c r="G19" s="62"/>
      <c r="H19" s="62"/>
      <c r="I19" s="62"/>
      <c r="J19" s="14" t="s">
        <v>46</v>
      </c>
      <c r="K19" s="15"/>
      <c r="M19" s="5" t="s">
        <v>12</v>
      </c>
    </row>
    <row r="20" spans="1:13" ht="45" x14ac:dyDescent="0.25">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IF(AND(LEN(E19)&lt;&gt;8,LEN(E19)&lt;&gt;11),"BIC must be 8 or 11 characters long","")</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IF(LEN(H19)&gt;70,"Address cannot be longer than 70 characters","")</f>
        <v/>
      </c>
      <c r="I20" s="7" t="str">
        <f>IF(OR(LEN(I19)&lt;10,LEN(I19)&gt;34),"IBAN may be up to 34 characters long","")</f>
        <v>IBAN may be up to 34 characters long</v>
      </c>
      <c r="J20" s="7" t="str">
        <f>IF(ISBLANK(J19),"Code cannot be left blank","")</f>
        <v/>
      </c>
      <c r="K20" s="7" t="str">
        <f>IF(OR(LEN(K19)&lt;1,LEN(K19)&gt;140),"Transaction Details must be between 1 and 140 characters long","")</f>
        <v>Transaction Details must be between 1 and 140 characters long</v>
      </c>
      <c r="M20" s="1" t="s">
        <v>13</v>
      </c>
    </row>
    <row r="21" spans="1:13" x14ac:dyDescent="0.25">
      <c r="A21" s="13"/>
      <c r="B21" s="14"/>
      <c r="C21" s="17" t="s">
        <v>84</v>
      </c>
      <c r="D21" s="19"/>
      <c r="E21" s="62"/>
      <c r="F21" s="62"/>
      <c r="G21" s="62"/>
      <c r="H21" s="62"/>
      <c r="I21" s="62"/>
      <c r="J21" s="14" t="s">
        <v>46</v>
      </c>
      <c r="K21" s="15"/>
      <c r="M21" s="5" t="s">
        <v>12</v>
      </c>
    </row>
    <row r="22" spans="1:13" ht="45" x14ac:dyDescent="0.25">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IF(AND(LEN(E21)&lt;&gt;8,LEN(E21)&lt;&gt;11),"BIC must be 8 or 11 characters long","")</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IF(LEN(H21)&gt;70,"Address cannot be longer than 70 characters","")</f>
        <v/>
      </c>
      <c r="I22" s="7" t="str">
        <f>IF(OR(LEN(I21)&lt;10,LEN(I21)&gt;34),"IBAN may be up to 34 characters long","")</f>
        <v>IBAN may be up to 34 characters long</v>
      </c>
      <c r="J22" s="7" t="str">
        <f>IF(ISBLANK(J21),"Code cannot be left blank","")</f>
        <v/>
      </c>
      <c r="K22" s="7" t="str">
        <f>IF(OR(LEN(K21)&lt;1,LEN(K21)&gt;140),"Transaction Details must be between 1 and 140 characters long","")</f>
        <v>Transaction Details must be between 1 and 140 characters long</v>
      </c>
      <c r="M22" s="1" t="s">
        <v>13</v>
      </c>
    </row>
    <row r="23" spans="1:13" x14ac:dyDescent="0.25">
      <c r="A23" s="13"/>
      <c r="B23" s="14"/>
      <c r="C23" s="17" t="s">
        <v>84</v>
      </c>
      <c r="D23" s="19"/>
      <c r="E23" s="62"/>
      <c r="F23" s="62"/>
      <c r="G23" s="62"/>
      <c r="H23" s="62"/>
      <c r="I23" s="62"/>
      <c r="J23" s="14" t="s">
        <v>46</v>
      </c>
      <c r="K23" s="15"/>
      <c r="M23" s="5" t="s">
        <v>12</v>
      </c>
    </row>
    <row r="24" spans="1:13" ht="45" x14ac:dyDescent="0.25">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IF(AND(LEN(E23)&lt;&gt;8,LEN(E23)&lt;&gt;11),"BIC must be 8 or 11 characters long","")</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IF(LEN(H23)&gt;70,"Address cannot be longer than 70 characters","")</f>
        <v/>
      </c>
      <c r="I24" s="7" t="str">
        <f>IF(OR(LEN(I23)&lt;10,LEN(I23)&gt;34),"IBAN may be up to 34 characters long","")</f>
        <v>IBAN may be up to 34 characters long</v>
      </c>
      <c r="J24" s="7" t="str">
        <f>IF(ISBLANK(J23),"Code cannot be left blank","")</f>
        <v/>
      </c>
      <c r="K24" s="7" t="str">
        <f>IF(OR(LEN(K23)&lt;1,LEN(K23)&gt;140),"Transaction Details must be between 1 and 140 characters long","")</f>
        <v>Transaction Details must be between 1 and 140 characters long</v>
      </c>
      <c r="M24" s="1" t="s">
        <v>13</v>
      </c>
    </row>
    <row r="25" spans="1:13" x14ac:dyDescent="0.25">
      <c r="A25" s="13"/>
      <c r="B25" s="14"/>
      <c r="C25" s="17" t="s">
        <v>84</v>
      </c>
      <c r="D25" s="19"/>
      <c r="E25" s="62"/>
      <c r="F25" s="62"/>
      <c r="G25" s="62"/>
      <c r="H25" s="62"/>
      <c r="I25" s="62"/>
      <c r="J25" s="14" t="s">
        <v>46</v>
      </c>
      <c r="K25" s="15"/>
      <c r="M25" s="5" t="s">
        <v>12</v>
      </c>
    </row>
    <row r="26" spans="1:13" ht="45" x14ac:dyDescent="0.25">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IF(AND(LEN(E25)&lt;&gt;8,LEN(E25)&lt;&gt;11),"BIC must be 8 or 11 characters long","")</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IF(LEN(H25)&gt;70,"Address cannot be longer than 70 characters","")</f>
        <v/>
      </c>
      <c r="I26" s="7" t="str">
        <f>IF(OR(LEN(I25)&lt;10,LEN(I25)&gt;34),"IBAN may be up to 34 characters long","")</f>
        <v>IBAN may be up to 34 characters long</v>
      </c>
      <c r="J26" s="7" t="str">
        <f>IF(ISBLANK(J25),"Code cannot be left blank","")</f>
        <v/>
      </c>
      <c r="K26" s="7" t="str">
        <f>IF(OR(LEN(K25)&lt;1,LEN(K25)&gt;140),"Transaction Details must be between 1 and 140 characters long","")</f>
        <v>Transaction Details must be between 1 and 140 characters long</v>
      </c>
      <c r="M26" s="1" t="s">
        <v>13</v>
      </c>
    </row>
    <row r="27" spans="1:13" x14ac:dyDescent="0.25">
      <c r="A27" s="13"/>
      <c r="B27" s="14"/>
      <c r="C27" s="17" t="s">
        <v>84</v>
      </c>
      <c r="D27" s="19"/>
      <c r="E27" s="62"/>
      <c r="F27" s="62"/>
      <c r="G27" s="62"/>
      <c r="H27" s="62"/>
      <c r="I27" s="62"/>
      <c r="J27" s="14" t="s">
        <v>46</v>
      </c>
      <c r="K27" s="15"/>
      <c r="M27" s="5" t="s">
        <v>12</v>
      </c>
    </row>
    <row r="28" spans="1:13" ht="45" x14ac:dyDescent="0.25">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IF(AND(LEN(E27)&lt;&gt;8,LEN(E27)&lt;&gt;11),"BIC must be 8 or 11 characters long","")</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IF(LEN(H27)&gt;70,"Address cannot be longer than 70 characters","")</f>
        <v/>
      </c>
      <c r="I28" s="7" t="str">
        <f>IF(OR(LEN(I27)&lt;10,LEN(I27)&gt;34),"IBAN may be up to 34 characters long","")</f>
        <v>IBAN may be up to 34 characters long</v>
      </c>
      <c r="J28" s="7" t="str">
        <f>IF(ISBLANK(J27),"Code cannot be left blank","")</f>
        <v/>
      </c>
      <c r="K28" s="7" t="str">
        <f>IF(OR(LEN(K27)&lt;1,LEN(K27)&gt;140),"Transaction Details must be between 1 and 140 characters long","")</f>
        <v>Transaction Details must be between 1 and 140 characters long</v>
      </c>
      <c r="M28" s="1" t="s">
        <v>13</v>
      </c>
    </row>
    <row r="29" spans="1:13" x14ac:dyDescent="0.25">
      <c r="A29" s="13"/>
      <c r="B29" s="14"/>
      <c r="C29" s="17" t="s">
        <v>84</v>
      </c>
      <c r="D29" s="19"/>
      <c r="E29" s="62"/>
      <c r="F29" s="62"/>
      <c r="G29" s="62"/>
      <c r="H29" s="62"/>
      <c r="I29" s="62"/>
      <c r="J29" s="14" t="s">
        <v>46</v>
      </c>
      <c r="K29" s="15"/>
      <c r="M29" s="5" t="s">
        <v>12</v>
      </c>
    </row>
    <row r="30" spans="1:13" ht="45" x14ac:dyDescent="0.25">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IF(AND(LEN(E29)&lt;&gt;8,LEN(E29)&lt;&gt;11),"BIC must be 8 or 11 characters long","")</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IF(LEN(H29)&gt;70,"Address cannot be longer than 70 characters","")</f>
        <v/>
      </c>
      <c r="I30" s="7" t="str">
        <f>IF(OR(LEN(I29)&lt;10,LEN(I29)&gt;34),"IBAN may be up to 34 characters long","")</f>
        <v>IBAN may be up to 34 characters long</v>
      </c>
      <c r="J30" s="7" t="str">
        <f>IF(ISBLANK(J29),"Code cannot be left blank","")</f>
        <v/>
      </c>
      <c r="K30" s="7" t="str">
        <f>IF(OR(LEN(K29)&lt;1,LEN(K29)&gt;140),"Transaction Details must be between 1 and 140 characters long","")</f>
        <v>Transaction Details must be between 1 and 140 characters long</v>
      </c>
      <c r="M30" s="1" t="s">
        <v>13</v>
      </c>
    </row>
    <row r="31" spans="1:13" x14ac:dyDescent="0.25">
      <c r="A31" s="13"/>
      <c r="B31" s="14"/>
      <c r="C31" s="17" t="s">
        <v>84</v>
      </c>
      <c r="D31" s="19"/>
      <c r="E31" s="62"/>
      <c r="F31" s="62"/>
      <c r="G31" s="62"/>
      <c r="H31" s="62"/>
      <c r="I31" s="62"/>
      <c r="J31" s="14" t="s">
        <v>46</v>
      </c>
      <c r="K31" s="15"/>
      <c r="M31" s="5" t="s">
        <v>12</v>
      </c>
    </row>
    <row r="32" spans="1:13" ht="45" x14ac:dyDescent="0.25">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IF(AND(LEN(E31)&lt;&gt;8,LEN(E31)&lt;&gt;11),"BIC must be 8 or 11 characters long","")</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IF(LEN(H31)&gt;70,"Address cannot be longer than 70 characters","")</f>
        <v/>
      </c>
      <c r="I32" s="7" t="str">
        <f>IF(OR(LEN(I31)&lt;10,LEN(I31)&gt;34),"IBAN may be up to 34 characters long","")</f>
        <v>IBAN may be up to 34 characters long</v>
      </c>
      <c r="J32" s="7" t="str">
        <f>IF(ISBLANK(J31),"Code cannot be left blank","")</f>
        <v/>
      </c>
      <c r="K32" s="7" t="str">
        <f>IF(OR(LEN(K31)&lt;1,LEN(K31)&gt;140),"Transaction Details must be between 1 and 140 characters long","")</f>
        <v>Transaction Details must be between 1 and 140 characters long</v>
      </c>
      <c r="M32" s="1" t="s">
        <v>13</v>
      </c>
    </row>
    <row r="33" spans="1:13" x14ac:dyDescent="0.25">
      <c r="A33" s="13"/>
      <c r="B33" s="14"/>
      <c r="C33" s="17" t="s">
        <v>84</v>
      </c>
      <c r="D33" s="19"/>
      <c r="E33" s="62"/>
      <c r="F33" s="62"/>
      <c r="G33" s="62"/>
      <c r="H33" s="62"/>
      <c r="I33" s="62"/>
      <c r="J33" s="14" t="s">
        <v>46</v>
      </c>
      <c r="K33" s="15"/>
      <c r="M33" s="5" t="s">
        <v>12</v>
      </c>
    </row>
    <row r="34" spans="1:13" ht="45" x14ac:dyDescent="0.25">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IF(AND(LEN(E33)&lt;&gt;8,LEN(E33)&lt;&gt;11),"BIC must be 8 or 11 characters long","")</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IF(LEN(H33)&gt;70,"Address cannot be longer than 70 characters","")</f>
        <v/>
      </c>
      <c r="I34" s="7" t="str">
        <f>IF(OR(LEN(I33)&lt;10,LEN(I33)&gt;34),"IBAN may be up to 34 characters long","")</f>
        <v>IBAN may be up to 34 characters long</v>
      </c>
      <c r="J34" s="7" t="str">
        <f>IF(ISBLANK(J33),"Code cannot be left blank","")</f>
        <v/>
      </c>
      <c r="K34" s="7" t="str">
        <f>IF(OR(LEN(K33)&lt;1,LEN(K33)&gt;140),"Transaction Details must be between 1 and 140 characters long","")</f>
        <v>Transaction Details must be between 1 and 140 characters long</v>
      </c>
      <c r="M34" s="1" t="s">
        <v>13</v>
      </c>
    </row>
    <row r="35" spans="1:13" x14ac:dyDescent="0.25">
      <c r="A35" s="13"/>
      <c r="B35" s="14"/>
      <c r="C35" s="17" t="s">
        <v>84</v>
      </c>
      <c r="D35" s="19"/>
      <c r="E35" s="62"/>
      <c r="F35" s="62"/>
      <c r="G35" s="62"/>
      <c r="H35" s="62" t="s">
        <v>337</v>
      </c>
      <c r="I35" s="62"/>
      <c r="J35" s="14" t="s">
        <v>46</v>
      </c>
      <c r="K35" s="15"/>
      <c r="M35" s="5" t="s">
        <v>12</v>
      </c>
    </row>
    <row r="36" spans="1:13" ht="45" x14ac:dyDescent="0.25">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IF(AND(LEN(E35)&lt;&gt;8,LEN(E35)&lt;&gt;11),"BIC must be 8 or 11 characters long","")</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IF(LEN(H35)&gt;70,"Address cannot be longer than 70 characters","")</f>
        <v/>
      </c>
      <c r="I36" s="7" t="str">
        <f>IF(OR(LEN(I35)&lt;10,LEN(I35)&gt;34),"IBAN may be up to 34 characters long","")</f>
        <v>IBAN may be up to 34 characters long</v>
      </c>
      <c r="J36" s="7" t="str">
        <f>IF(ISBLANK(J35),"Code cannot be left blank","")</f>
        <v/>
      </c>
      <c r="K36" s="7" t="str">
        <f>IF(OR(LEN(K35)&lt;1,LEN(K35)&gt;140),"Transaction Details must be between 1 and 140 characters long","")</f>
        <v>Transaction Details must be between 1 and 140 characters long</v>
      </c>
      <c r="M36" s="1" t="s">
        <v>13</v>
      </c>
    </row>
    <row r="37" spans="1:13" x14ac:dyDescent="0.25">
      <c r="A37" s="13"/>
      <c r="B37" s="14"/>
      <c r="C37" s="17" t="s">
        <v>84</v>
      </c>
      <c r="D37" s="19"/>
      <c r="E37" s="62"/>
      <c r="F37" s="62"/>
      <c r="G37" s="62"/>
      <c r="H37" s="62"/>
      <c r="I37" s="62"/>
      <c r="J37" s="14" t="s">
        <v>46</v>
      </c>
      <c r="K37" s="15"/>
      <c r="M37" s="5" t="s">
        <v>12</v>
      </c>
    </row>
    <row r="38" spans="1:13" ht="45" x14ac:dyDescent="0.25">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IF(AND(LEN(E37)&lt;&gt;8,LEN(E37)&lt;&gt;11),"BIC must be 8 or 11 characters long","")</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IF(LEN(H37)&gt;70,"Address cannot be longer than 70 characters","")</f>
        <v/>
      </c>
      <c r="I38" s="7" t="str">
        <f>IF(OR(LEN(I37)&lt;10,LEN(I37)&gt;34),"IBAN may be up to 34 characters long","")</f>
        <v>IBAN may be up to 34 characters long</v>
      </c>
      <c r="J38" s="7" t="str">
        <f>IF(ISBLANK(J37),"Code cannot be left blank","")</f>
        <v/>
      </c>
      <c r="K38" s="7" t="str">
        <f>IF(OR(LEN(K37)&lt;1,LEN(K37)&gt;140),"Transaction Details must be between 1 and 140 characters long","")</f>
        <v>Transaction Details must be between 1 and 140 characters long</v>
      </c>
      <c r="M38" s="1" t="s">
        <v>13</v>
      </c>
    </row>
    <row r="39" spans="1:13" x14ac:dyDescent="0.25">
      <c r="A39" s="13"/>
      <c r="B39" s="14"/>
      <c r="C39" s="17" t="s">
        <v>84</v>
      </c>
      <c r="D39" s="19"/>
      <c r="E39" s="62"/>
      <c r="F39" s="62"/>
      <c r="G39" s="62"/>
      <c r="H39" s="62"/>
      <c r="I39" s="62"/>
      <c r="J39" s="14" t="s">
        <v>46</v>
      </c>
      <c r="K39" s="15"/>
      <c r="M39" s="5" t="s">
        <v>12</v>
      </c>
    </row>
    <row r="40" spans="1:13" ht="45" x14ac:dyDescent="0.25">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IF(AND(LEN(E39)&lt;&gt;8,LEN(E39)&lt;&gt;11),"BIC must be 8 or 11 characters long","")</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IF(LEN(H39)&gt;70,"Address cannot be longer than 70 characters","")</f>
        <v/>
      </c>
      <c r="I40" s="7" t="str">
        <f>IF(OR(LEN(I39)&lt;10,LEN(I39)&gt;34),"IBAN may be up to 34 characters long","")</f>
        <v>IBAN may be up to 34 characters long</v>
      </c>
      <c r="J40" s="7" t="str">
        <f>IF(ISBLANK(J39),"Code cannot be left blank","")</f>
        <v/>
      </c>
      <c r="K40" s="7" t="str">
        <f>IF(OR(LEN(K39)&lt;1,LEN(K39)&gt;140),"Transaction Details must be between 1 and 140 characters long","")</f>
        <v>Transaction Details must be between 1 and 140 characters long</v>
      </c>
      <c r="M40" s="1" t="s">
        <v>13</v>
      </c>
    </row>
    <row r="41" spans="1:13" x14ac:dyDescent="0.25">
      <c r="A41" s="13"/>
      <c r="B41" s="14"/>
      <c r="C41" s="17" t="s">
        <v>84</v>
      </c>
      <c r="D41" s="19"/>
      <c r="E41" s="62"/>
      <c r="F41" s="62"/>
      <c r="G41" s="62"/>
      <c r="H41" s="62"/>
      <c r="I41" s="62"/>
      <c r="J41" s="14" t="s">
        <v>46</v>
      </c>
      <c r="K41" s="15"/>
      <c r="M41" s="5" t="s">
        <v>12</v>
      </c>
    </row>
    <row r="42" spans="1:13" ht="45" x14ac:dyDescent="0.25">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IF(AND(LEN(E41)&lt;&gt;8,LEN(E41)&lt;&gt;11),"BIC must be 8 or 11 characters long","")</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IF(LEN(H41)&gt;70,"Address cannot be longer than 70 characters","")</f>
        <v/>
      </c>
      <c r="I42" s="7" t="str">
        <f>IF(OR(LEN(I41)&lt;10,LEN(I41)&gt;34),"IBAN may be up to 34 characters long","")</f>
        <v>IBAN may be up to 34 characters long</v>
      </c>
      <c r="J42" s="7" t="str">
        <f>IF(ISBLANK(J41),"Code cannot be left blank","")</f>
        <v/>
      </c>
      <c r="K42" s="7" t="str">
        <f>IF(OR(LEN(K41)&lt;1,LEN(K41)&gt;140),"Transaction Details must be between 1 and 140 characters long","")</f>
        <v>Transaction Details must be between 1 and 140 characters long</v>
      </c>
      <c r="M42" s="1" t="s">
        <v>13</v>
      </c>
    </row>
    <row r="43" spans="1:13" x14ac:dyDescent="0.25">
      <c r="A43" s="13"/>
      <c r="B43" s="14"/>
      <c r="C43" s="17" t="s">
        <v>84</v>
      </c>
      <c r="D43" s="19"/>
      <c r="E43" s="62"/>
      <c r="F43" s="62"/>
      <c r="G43" s="62"/>
      <c r="H43" s="62"/>
      <c r="I43" s="62"/>
      <c r="J43" s="14" t="s">
        <v>46</v>
      </c>
      <c r="K43" s="15"/>
      <c r="M43" s="5" t="s">
        <v>12</v>
      </c>
    </row>
    <row r="44" spans="1:13" ht="45" x14ac:dyDescent="0.25">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IF(AND(LEN(E43)&lt;&gt;8,LEN(E43)&lt;&gt;11),"BIC must be 8 or 11 characters long","")</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IF(LEN(H43)&gt;70,"Address cannot be longer than 70 characters","")</f>
        <v/>
      </c>
      <c r="I44" s="7" t="str">
        <f>IF(OR(LEN(I43)&lt;10,LEN(I43)&gt;34),"IBAN may be up to 34 characters long","")</f>
        <v>IBAN may be up to 34 characters long</v>
      </c>
      <c r="J44" s="7" t="str">
        <f>IF(ISBLANK(J43),"Code cannot be left blank","")</f>
        <v/>
      </c>
      <c r="K44" s="7" t="str">
        <f>IF(OR(LEN(K43)&lt;1,LEN(K43)&gt;140),"Transaction Details must be between 1 and 140 characters long","")</f>
        <v>Transaction Details must be between 1 and 140 characters long</v>
      </c>
      <c r="M44" s="1" t="s">
        <v>13</v>
      </c>
    </row>
    <row r="45" spans="1:13" x14ac:dyDescent="0.25">
      <c r="A45" s="13"/>
      <c r="B45" s="14"/>
      <c r="C45" s="17" t="s">
        <v>84</v>
      </c>
      <c r="D45" s="19"/>
      <c r="E45" s="62"/>
      <c r="F45" s="62"/>
      <c r="G45" s="62"/>
      <c r="H45" s="62"/>
      <c r="I45" s="62"/>
      <c r="J45" s="14" t="s">
        <v>46</v>
      </c>
      <c r="K45" s="15"/>
      <c r="M45" s="5" t="s">
        <v>12</v>
      </c>
    </row>
    <row r="46" spans="1:13" ht="45" x14ac:dyDescent="0.25">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IF(AND(LEN(E45)&lt;&gt;8,LEN(E45)&lt;&gt;11),"BIC must be 8 or 11 characters long","")</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IF(LEN(H45)&gt;70,"Address cannot be longer than 70 characters","")</f>
        <v/>
      </c>
      <c r="I46" s="7" t="str">
        <f>IF(OR(LEN(I45)&lt;10,LEN(I45)&gt;34),"IBAN may be up to 34 characters long","")</f>
        <v>IBAN may be up to 34 characters long</v>
      </c>
      <c r="J46" s="7" t="str">
        <f>IF(ISBLANK(J45),"Code cannot be left blank","")</f>
        <v/>
      </c>
      <c r="K46" s="7" t="str">
        <f>IF(OR(LEN(K45)&lt;1,LEN(K45)&gt;140),"Transaction Details must be between 1 and 140 characters long","")</f>
        <v>Transaction Details must be between 1 and 140 characters long</v>
      </c>
      <c r="M46" s="1" t="s">
        <v>13</v>
      </c>
    </row>
    <row r="47" spans="1:13" x14ac:dyDescent="0.25">
      <c r="A47" s="13"/>
      <c r="B47" s="14"/>
      <c r="C47" s="17" t="s">
        <v>84</v>
      </c>
      <c r="D47" s="19"/>
      <c r="E47" s="62"/>
      <c r="F47" s="62"/>
      <c r="G47" s="62"/>
      <c r="H47" s="62"/>
      <c r="I47" s="62"/>
      <c r="J47" s="14" t="s">
        <v>46</v>
      </c>
      <c r="K47" s="15"/>
      <c r="M47" s="5" t="s">
        <v>12</v>
      </c>
    </row>
    <row r="48" spans="1:13" ht="45" x14ac:dyDescent="0.25">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IF(AND(LEN(E47)&lt;&gt;8,LEN(E47)&lt;&gt;11),"BIC must be 8 or 11 characters long","")</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IF(LEN(H47)&gt;70,"Address cannot be longer than 70 characters","")</f>
        <v/>
      </c>
      <c r="I48" s="7" t="str">
        <f>IF(OR(LEN(I47)&lt;10,LEN(I47)&gt;34),"IBAN may be up to 34 characters long","")</f>
        <v>IBAN may be up to 34 characters long</v>
      </c>
      <c r="J48" s="7" t="str">
        <f>IF(ISBLANK(J47),"Code cannot be left blank","")</f>
        <v/>
      </c>
      <c r="K48" s="7" t="str">
        <f>IF(OR(LEN(K47)&lt;1,LEN(K47)&gt;140),"Transaction Details must be between 1 and 140 characters long","")</f>
        <v>Transaction Details must be between 1 and 140 characters long</v>
      </c>
      <c r="M48" s="1" t="s">
        <v>13</v>
      </c>
    </row>
    <row r="49" spans="1:13" x14ac:dyDescent="0.25">
      <c r="A49" s="13"/>
      <c r="B49" s="14"/>
      <c r="C49" s="17" t="s">
        <v>84</v>
      </c>
      <c r="D49" s="19"/>
      <c r="E49" s="62"/>
      <c r="F49" s="62"/>
      <c r="G49" s="62"/>
      <c r="H49" s="62"/>
      <c r="I49" s="62"/>
      <c r="J49" s="14" t="s">
        <v>46</v>
      </c>
      <c r="K49" s="15"/>
      <c r="M49" s="5" t="s">
        <v>12</v>
      </c>
    </row>
    <row r="50" spans="1:13" ht="45" x14ac:dyDescent="0.25">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IF(AND(LEN(E49)&lt;&gt;8,LEN(E49)&lt;&gt;11),"BIC must be 8 or 11 characters long","")</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IF(LEN(H49)&gt;70,"Address cannot be longer than 70 characters","")</f>
        <v/>
      </c>
      <c r="I50" s="7" t="str">
        <f>IF(OR(LEN(I49)&lt;10,LEN(I49)&gt;34),"IBAN may be up to 34 characters long","")</f>
        <v>IBAN may be up to 34 characters long</v>
      </c>
      <c r="J50" s="7" t="str">
        <f>IF(ISBLANK(J49),"Code cannot be left blank","")</f>
        <v/>
      </c>
      <c r="K50" s="7" t="str">
        <f>IF(OR(LEN(K49)&lt;1,LEN(K49)&gt;140),"Transaction Details must be between 1 and 140 characters long","")</f>
        <v>Transaction Details must be between 1 and 140 characters long</v>
      </c>
      <c r="M50" s="1" t="s">
        <v>13</v>
      </c>
    </row>
    <row r="51" spans="1:13" x14ac:dyDescent="0.25">
      <c r="A51" s="13"/>
      <c r="B51" s="14"/>
      <c r="C51" s="17" t="s">
        <v>84</v>
      </c>
      <c r="D51" s="19"/>
      <c r="E51" s="62"/>
      <c r="F51" s="62"/>
      <c r="G51" s="62"/>
      <c r="H51" s="62"/>
      <c r="I51" s="62"/>
      <c r="J51" s="14" t="s">
        <v>46</v>
      </c>
      <c r="K51" s="15"/>
      <c r="M51" s="5" t="s">
        <v>12</v>
      </c>
    </row>
    <row r="52" spans="1:13" ht="45" x14ac:dyDescent="0.25">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IF(AND(LEN(E51)&lt;&gt;8,LEN(E51)&lt;&gt;11),"BIC must be 8 or 11 characters long","")</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IF(LEN(H51)&gt;70,"Address cannot be longer than 70 characters","")</f>
        <v/>
      </c>
      <c r="I52" s="7" t="str">
        <f>IF(OR(LEN(I51)&lt;10,LEN(I51)&gt;34),"IBAN may be up to 34 characters long","")</f>
        <v>IBAN may be up to 34 characters long</v>
      </c>
      <c r="J52" s="7" t="str">
        <f>IF(ISBLANK(J51),"Code cannot be left blank","")</f>
        <v/>
      </c>
      <c r="K52" s="7" t="str">
        <f>IF(OR(LEN(K51)&lt;1,LEN(K51)&gt;140),"Transaction Details must be between 1 and 140 characters long","")</f>
        <v>Transaction Details must be between 1 and 140 characters long</v>
      </c>
      <c r="M52" s="1" t="s">
        <v>13</v>
      </c>
    </row>
    <row r="53" spans="1:13" x14ac:dyDescent="0.25">
      <c r="A53" s="13"/>
      <c r="B53" s="14"/>
      <c r="C53" s="17" t="s">
        <v>84</v>
      </c>
      <c r="D53" s="19"/>
      <c r="E53" s="62"/>
      <c r="F53" s="62"/>
      <c r="G53" s="62"/>
      <c r="H53" s="62"/>
      <c r="I53" s="62"/>
      <c r="J53" s="14" t="s">
        <v>46</v>
      </c>
      <c r="K53" s="15"/>
      <c r="M53" s="5" t="s">
        <v>12</v>
      </c>
    </row>
    <row r="54" spans="1:13" ht="45" x14ac:dyDescent="0.25">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IF(AND(LEN(E53)&lt;&gt;8,LEN(E53)&lt;&gt;11),"BIC must be 8 or 11 characters long","")</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IF(LEN(H53)&gt;70,"Address cannot be longer than 70 characters","")</f>
        <v/>
      </c>
      <c r="I54" s="7" t="str">
        <f>IF(OR(LEN(I53)&lt;10,LEN(I53)&gt;34),"IBAN may be up to 34 characters long","")</f>
        <v>IBAN may be up to 34 characters long</v>
      </c>
      <c r="J54" s="7" t="str">
        <f>IF(ISBLANK(J53),"Code cannot be left blank","")</f>
        <v/>
      </c>
      <c r="K54" s="7" t="str">
        <f>IF(OR(LEN(K53)&lt;1,LEN(K53)&gt;140),"Transaction Details must be between 1 and 140 characters long","")</f>
        <v>Transaction Details must be between 1 and 140 characters long</v>
      </c>
      <c r="M54" s="1" t="s">
        <v>13</v>
      </c>
    </row>
    <row r="55" spans="1:13" x14ac:dyDescent="0.25">
      <c r="A55" s="13"/>
      <c r="B55" s="14"/>
      <c r="C55" s="17" t="s">
        <v>84</v>
      </c>
      <c r="D55" s="19"/>
      <c r="E55" s="62"/>
      <c r="F55" s="62"/>
      <c r="G55" s="62"/>
      <c r="H55" s="62"/>
      <c r="I55" s="62"/>
      <c r="J55" s="14" t="s">
        <v>46</v>
      </c>
      <c r="K55" s="15"/>
      <c r="M55" s="5" t="s">
        <v>12</v>
      </c>
    </row>
    <row r="56" spans="1:13" ht="45" x14ac:dyDescent="0.25">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IF(AND(LEN(E55)&lt;&gt;8,LEN(E55)&lt;&gt;11),"BIC must be 8 or 11 characters long","")</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IF(LEN(H55)&gt;70,"Address cannot be longer than 70 characters","")</f>
        <v/>
      </c>
      <c r="I56" s="7" t="str">
        <f>IF(OR(LEN(I55)&lt;10,LEN(I55)&gt;34),"IBAN may be up to 34 characters long","")</f>
        <v>IBAN may be up to 34 characters long</v>
      </c>
      <c r="J56" s="7" t="str">
        <f>IF(ISBLANK(J55),"Code cannot be left blank","")</f>
        <v/>
      </c>
      <c r="K56" s="7" t="str">
        <f>IF(OR(LEN(K55)&lt;1,LEN(K55)&gt;140),"Transaction Details must be between 1 and 140 characters long","")</f>
        <v>Transaction Details must be between 1 and 140 characters long</v>
      </c>
      <c r="M56" s="1" t="s">
        <v>13</v>
      </c>
    </row>
    <row r="57" spans="1:13" x14ac:dyDescent="0.25">
      <c r="A57" s="13"/>
      <c r="B57" s="14"/>
      <c r="C57" s="17" t="s">
        <v>84</v>
      </c>
      <c r="D57" s="19"/>
      <c r="E57" s="62"/>
      <c r="F57" s="62"/>
      <c r="G57" s="62"/>
      <c r="H57" s="62"/>
      <c r="I57" s="62"/>
      <c r="J57" s="14" t="s">
        <v>46</v>
      </c>
      <c r="K57" s="15"/>
      <c r="M57" s="5" t="s">
        <v>12</v>
      </c>
    </row>
    <row r="58" spans="1:13" ht="45" x14ac:dyDescent="0.25">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IF(AND(LEN(E57)&lt;&gt;8,LEN(E57)&lt;&gt;11),"BIC must be 8 or 11 characters long","")</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IF(LEN(H57)&gt;70,"Address cannot be longer than 70 characters","")</f>
        <v/>
      </c>
      <c r="I58" s="7" t="str">
        <f>IF(OR(LEN(I57)&lt;10,LEN(I57)&gt;34),"IBAN may be up to 34 characters long","")</f>
        <v>IBAN may be up to 34 characters long</v>
      </c>
      <c r="J58" s="7" t="str">
        <f>IF(ISBLANK(J57),"Code cannot be left blank","")</f>
        <v/>
      </c>
      <c r="K58" s="7" t="str">
        <f>IF(OR(LEN(K57)&lt;1,LEN(K57)&gt;140),"Transaction Details must be between 1 and 140 characters long","")</f>
        <v>Transaction Details must be between 1 and 140 characters long</v>
      </c>
      <c r="M58" s="1" t="s">
        <v>13</v>
      </c>
    </row>
    <row r="59" spans="1:13" x14ac:dyDescent="0.25">
      <c r="A59" s="13"/>
      <c r="B59" s="14"/>
      <c r="C59" s="17" t="s">
        <v>84</v>
      </c>
      <c r="D59" s="19"/>
      <c r="E59" s="62"/>
      <c r="F59" s="62"/>
      <c r="G59" s="62"/>
      <c r="H59" s="62"/>
      <c r="I59" s="62"/>
      <c r="J59" s="14" t="s">
        <v>46</v>
      </c>
      <c r="K59" s="15"/>
      <c r="M59" s="5" t="s">
        <v>12</v>
      </c>
    </row>
    <row r="60" spans="1:13" ht="45" x14ac:dyDescent="0.25">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IF(AND(LEN(E59)&lt;&gt;8,LEN(E59)&lt;&gt;11),"BIC must be 8 or 11 characters long","")</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IF(LEN(H59)&gt;70,"Address cannot be longer than 70 characters","")</f>
        <v/>
      </c>
      <c r="I60" s="7" t="str">
        <f>IF(OR(LEN(I59)&lt;10,LEN(I59)&gt;34),"IBAN may be up to 34 characters long","")</f>
        <v>IBAN may be up to 34 characters long</v>
      </c>
      <c r="J60" s="7" t="str">
        <f>IF(ISBLANK(J59),"Code cannot be left blank","")</f>
        <v/>
      </c>
      <c r="K60" s="7" t="str">
        <f>IF(OR(LEN(K59)&lt;1,LEN(K59)&gt;140),"Transaction Details must be between 1 and 140 characters long","")</f>
        <v>Transaction Details must be between 1 and 140 characters long</v>
      </c>
      <c r="M60" s="1" t="s">
        <v>13</v>
      </c>
    </row>
    <row r="61" spans="1:13" x14ac:dyDescent="0.25">
      <c r="A61" s="13"/>
      <c r="B61" s="14"/>
      <c r="C61" s="17" t="s">
        <v>84</v>
      </c>
      <c r="D61" s="19"/>
      <c r="E61" s="62"/>
      <c r="F61" s="62"/>
      <c r="G61" s="62"/>
      <c r="H61" s="62"/>
      <c r="I61" s="62"/>
      <c r="J61" s="14" t="s">
        <v>46</v>
      </c>
      <c r="K61" s="15"/>
      <c r="M61" s="5" t="s">
        <v>12</v>
      </c>
    </row>
    <row r="62" spans="1:13" ht="45" x14ac:dyDescent="0.25">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IF(AND(LEN(E61)&lt;&gt;8,LEN(E61)&lt;&gt;11),"BIC must be 8 or 11 characters long","")</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IF(LEN(H61)&gt;70,"Address cannot be longer than 70 characters","")</f>
        <v/>
      </c>
      <c r="I62" s="7" t="str">
        <f>IF(OR(LEN(I61)&lt;10,LEN(I61)&gt;34),"IBAN may be up to 34 characters long","")</f>
        <v>IBAN may be up to 34 characters long</v>
      </c>
      <c r="J62" s="7" t="str">
        <f>IF(ISBLANK(J61),"Code cannot be left blank","")</f>
        <v/>
      </c>
      <c r="K62" s="7" t="str">
        <f>IF(OR(LEN(K61)&lt;1,LEN(K61)&gt;140),"Transaction Details must be between 1 and 140 characters long","")</f>
        <v>Transaction Details must be between 1 and 140 characters long</v>
      </c>
      <c r="M62" s="1" t="s">
        <v>13</v>
      </c>
    </row>
    <row r="63" spans="1:13" x14ac:dyDescent="0.25">
      <c r="A63" s="13"/>
      <c r="B63" s="14"/>
      <c r="C63" s="17" t="s">
        <v>84</v>
      </c>
      <c r="D63" s="19"/>
      <c r="E63" s="62"/>
      <c r="F63" s="62"/>
      <c r="G63" s="62"/>
      <c r="H63" s="62"/>
      <c r="I63" s="62"/>
      <c r="J63" s="14" t="s">
        <v>46</v>
      </c>
      <c r="K63" s="15"/>
      <c r="M63" s="5" t="s">
        <v>12</v>
      </c>
    </row>
    <row r="64" spans="1:13" ht="45" x14ac:dyDescent="0.25">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IF(AND(LEN(E63)&lt;&gt;8,LEN(E63)&lt;&gt;11),"BIC must be 8 or 11 characters long","")</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IF(LEN(H63)&gt;70,"Address cannot be longer than 70 characters","")</f>
        <v/>
      </c>
      <c r="I64" s="7" t="str">
        <f>IF(OR(LEN(I63)&lt;10,LEN(I63)&gt;34),"IBAN may be up to 34 characters long","")</f>
        <v>IBAN may be up to 34 characters long</v>
      </c>
      <c r="J64" s="7" t="str">
        <f>IF(ISBLANK(J63),"Code cannot be left blank","")</f>
        <v/>
      </c>
      <c r="K64" s="7" t="str">
        <f>IF(OR(LEN(K63)&lt;1,LEN(K63)&gt;140),"Transaction Details must be between 1 and 140 characters long","")</f>
        <v>Transaction Details must be between 1 and 140 characters long</v>
      </c>
      <c r="M64" s="1" t="s">
        <v>13</v>
      </c>
    </row>
    <row r="65" spans="1:13" x14ac:dyDescent="0.25">
      <c r="A65" s="13"/>
      <c r="B65" s="14"/>
      <c r="C65" s="17" t="s">
        <v>84</v>
      </c>
      <c r="D65" s="19"/>
      <c r="E65" s="62"/>
      <c r="F65" s="62"/>
      <c r="G65" s="62"/>
      <c r="H65" s="62"/>
      <c r="I65" s="62"/>
      <c r="J65" s="14" t="s">
        <v>46</v>
      </c>
      <c r="K65" s="15"/>
      <c r="M65" s="5" t="s">
        <v>12</v>
      </c>
    </row>
    <row r="66" spans="1:13" ht="45" x14ac:dyDescent="0.25">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IF(AND(LEN(E65)&lt;&gt;8,LEN(E65)&lt;&gt;11),"BIC must be 8 or 11 characters long","")</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IF(LEN(H65)&gt;70,"Address cannot be longer than 70 characters","")</f>
        <v/>
      </c>
      <c r="I66" s="7" t="str">
        <f>IF(OR(LEN(I65)&lt;10,LEN(I65)&gt;34),"IBAN may be up to 34 characters long","")</f>
        <v>IBAN may be up to 34 characters long</v>
      </c>
      <c r="J66" s="7" t="str">
        <f>IF(ISBLANK(J65),"Code cannot be left blank","")</f>
        <v/>
      </c>
      <c r="K66" s="7" t="str">
        <f>IF(OR(LEN(K65)&lt;1,LEN(K65)&gt;140),"Transaction Details must be between 1 and 140 characters long","")</f>
        <v>Transaction Details must be between 1 and 140 characters long</v>
      </c>
      <c r="M66" s="1" t="s">
        <v>13</v>
      </c>
    </row>
    <row r="67" spans="1:13" x14ac:dyDescent="0.25">
      <c r="A67" s="13"/>
      <c r="B67" s="14"/>
      <c r="C67" s="17" t="s">
        <v>84</v>
      </c>
      <c r="D67" s="19"/>
      <c r="E67" s="62"/>
      <c r="F67" s="62"/>
      <c r="G67" s="62"/>
      <c r="H67" s="62"/>
      <c r="I67" s="62"/>
      <c r="J67" s="14" t="s">
        <v>46</v>
      </c>
      <c r="K67" s="15"/>
      <c r="M67" s="5" t="s">
        <v>12</v>
      </c>
    </row>
    <row r="68" spans="1:13" ht="45" x14ac:dyDescent="0.25">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IF(AND(LEN(E67)&lt;&gt;8,LEN(E67)&lt;&gt;11),"BIC must be 8 or 11 characters long","")</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IF(LEN(H67)&gt;70,"Address cannot be longer than 70 characters","")</f>
        <v/>
      </c>
      <c r="I68" s="7" t="str">
        <f>IF(OR(LEN(I67)&lt;10,LEN(I67)&gt;34),"IBAN may be up to 34 characters long","")</f>
        <v>IBAN may be up to 34 characters long</v>
      </c>
      <c r="J68" s="7" t="str">
        <f>IF(ISBLANK(J67),"Code cannot be left blank","")</f>
        <v/>
      </c>
      <c r="K68" s="7" t="str">
        <f>IF(OR(LEN(K67)&lt;1,LEN(K67)&gt;140),"Transaction Details must be between 1 and 140 characters long","")</f>
        <v>Transaction Details must be between 1 and 140 characters long</v>
      </c>
      <c r="M68" s="1" t="s">
        <v>13</v>
      </c>
    </row>
  </sheetData>
  <sheetProtection algorithmName="SHA-512" hashValue="7JqQfrfKKX3e1ilw1dhjmAvM28HYskjtd+BqZiAMBx6toZbsZyWXacWBONhUC7GDAaPolVPgpwZjSilVHgTmcg==" saltValue="bPEbI8Bz/flXV+S6BfoYtg==" spinCount="100000" sheet="1" formatColumns="0" selectLockedCells="1"/>
  <dataValidations count="9">
    <dataValidation type="textLength" allowBlank="1" showInputMessage="1" showErrorMessage="1" errorTitle="Credt Instr Rec: InstrId" error="This item must be between 1 and 35 characters in length " sqref="A5 A7 A9 A11 A13 A15 A17 A19 A21 A23 A25 A27 A29 A31 A33 A35 A37 A39 A41 A43 A45 A47 A49 A51 A53 A55 A57 A59 A61 A63 A65 A67" xr:uid="{00000000-0002-0000-0200-000000000000}">
      <formula1>1</formula1>
      <formula2>35</formula2>
    </dataValidation>
    <dataValidation type="decimal" allowBlank="1" showInputMessage="1" showErrorMessage="1" errorTitle="Credt Instr Rec: InstdAmt" error="This item must be between 0.01 and 9,999,999,999,999,999.99" sqref="D67 D7 D9 D11 D13 D15 D17 D19 D21 D23 D25 D27 D29 D31 D33 D35 D37 D39 D41 D43 D45 D47 D49 D51 D53 D55 D57 D59 D61 D63 D65 D5" xr:uid="{00000000-0002-0000-0200-000001000000}">
      <formula1>0.01</formula1>
      <formula2>9999999999999990</formula2>
    </dataValidation>
    <dataValidation type="textLength" allowBlank="1" showInputMessage="1" showErrorMessage="1" errorTitle="Credt Instr Rec: EndToEndId" error="This item must be between 1 and 35 characters in length " sqref="B7 B9 B11 B13 B15 B17 B19 B21 B23 B25 B27 B29 B31 B33 B35 B37 B39 B41 B43 B45 B47 B49 B51 B53 B55 B57 B59 B61 B63 B65 B67 B5" xr:uid="{00000000-0002-0000-0200-000002000000}">
      <formula1>1</formula1>
      <formula2>35</formula2>
    </dataValidation>
    <dataValidation allowBlank="1" showInputMessage="1" showErrorMessage="1" errorTitle="Credt Instr Rec: BIC" error="BIC should be either 8 or 11 characters in length" sqref="E5 E7 E9 E11 E13 E15 E17 E19 E21 E23 E25 E27 E29 E31 E33 E35 E37 E39 E41 E43 E45 E47 E49 E51 E53 E55 E57 E59 E61 E63 E65 E67" xr:uid="{00000000-0002-0000-0200-000003000000}"/>
    <dataValidation type="textLength" allowBlank="1" showInputMessage="1" showErrorMessage="1" errorTitle="Credt Instr Rec: Nm" error="This item must be between 1 and 70 characters in length " sqref="F67 F65 F9 F11 F13 F15 F17 F19 F21 F23 F25 F27 F29 F31 F33 F35 F37 F39 F41 F43 F45 F47 F49 F51 F53 F55 F57 F59 F61 F63" xr:uid="{00000000-0002-0000-0200-000004000000}">
      <formula1>1</formula1>
      <formula2>70</formula2>
    </dataValidation>
    <dataValidation type="textLength" showInputMessage="1" showErrorMessage="1" errorTitle="Credt Instr Rec: IBAN" error="This must be up to 34 characters in length_x000a_" sqref="I65 I5 I67 I9 I11 I13 I15 I17 I19 I21 I23 I25 I27 I29 I31 I33 I35 I37 I39 I41 I43 I45 I47 I49 I51 I53 I55 I57 I59 I61 I63 I7" xr:uid="{00000000-0002-0000-0200-000005000000}">
      <formula1>4</formula1>
      <formula2>34</formula2>
    </dataValidation>
    <dataValidation type="textLength" operator="lessThanOrEqual" allowBlank="1" showInputMessage="1" showErrorMessage="1" errorTitle="Credt Instr Rec: PstlAdr:AdrLine" error="This item cannot be longer than 70 characters" sqref="G5:H5 G67:H67 G9:H9 G11:H11 G13:H13 G15:H15 G17:H17 G19:H19 G21:H21 G23:H23 G25:H25 G27:H27 G29:H29 G31:H31 G33:H33 G35:H35 G37:H37 G39:H39 G41:H41 G43:H43 G45:H45 G47:H47 G49:H49 G51:H51 G53:H53 G55:H55 G57:H57 G59:H59 G61:H61 G63:H63 G65:H65 G7:H7" xr:uid="{00000000-0002-0000-0200-000006000000}">
      <formula1>70</formula1>
    </dataValidation>
    <dataValidation type="textLength" allowBlank="1" showInputMessage="1" showErrorMessage="1" errorTitle="Credt Instr Rec: Ustrd" error="This item must be between 1 and 140 characters in length " sqref="K5 K7 K9 K11 K13 K15 K17 K19 K21 K23 K25 K27 K29 K31 K33 K35 K37 K39 K41 K43 K45 K47 K49 K51 K53 K55 K57 K59 K61 K63 K65 K67" xr:uid="{00000000-0002-0000-0200-000007000000}">
      <formula1>1</formula1>
      <formula2>140</formula2>
    </dataValidation>
    <dataValidation type="textLength" showInputMessage="1" showErrorMessage="1" errorTitle="Pay Info Rec: PmtInfId" error="Thie length of this item must be between 1 and 35 characters long_x000a_" sqref="C5 C7 C9 C11 C13 C15 C17 C19 C21 C23 C25 C27 C29 C31 C33 C35 C37 C39 C41 C43 C45 C47 C49 C51 C53 C55 C57 C59 C61 C63 C65 C67" xr:uid="{00000000-0002-0000-0200-000008000000}">
      <formula1>1</formula1>
      <formula2>35</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errorTitle="Credt Instr Rec: Cd" error="Cannot be left blank" xr:uid="{00000000-0002-0000-0200-000009000000}">
          <x14:formula1>
            <xm:f>'Control Data (Hidden)'!$D$11:$J$11</xm:f>
          </x14:formula1>
          <xm:sqref>J5 J67 J65 J63 J61 J59 J57 J55 J53 J51 J49 J47 J45 J43 J41 J39 J35 J33 J31 J29 J27 J25 J23 J21 J19 J17 J15 J13 J11 J9 J7 J37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39997558519241921"/>
  </sheetPr>
  <dimension ref="A1:X318"/>
  <sheetViews>
    <sheetView topLeftCell="A4" workbookViewId="0">
      <selection activeCell="A2" sqref="A2"/>
    </sheetView>
  </sheetViews>
  <sheetFormatPr defaultRowHeight="15" x14ac:dyDescent="0.25"/>
  <cols>
    <col min="1" max="1" width="12.5703125" customWidth="1"/>
    <col min="2" max="2" width="15.28515625" customWidth="1"/>
    <col min="3" max="3" width="2.85546875" customWidth="1"/>
    <col min="15" max="15" width="12" bestFit="1" customWidth="1"/>
    <col min="17" max="17" width="2.28515625" customWidth="1"/>
  </cols>
  <sheetData>
    <row r="1" spans="1:24" ht="15.75" thickBot="1" x14ac:dyDescent="0.3">
      <c r="A1" s="21" t="s">
        <v>124</v>
      </c>
      <c r="B1" s="22" t="s">
        <v>98</v>
      </c>
      <c r="D1" s="72" t="s">
        <v>120</v>
      </c>
      <c r="E1" s="73" t="str">
        <f>'Credit Instruction Record'!A1</f>
        <v>InstrId</v>
      </c>
      <c r="F1" s="73" t="str">
        <f>'Credit Instruction Record'!B1</f>
        <v>EndToEndId</v>
      </c>
      <c r="G1" s="73" t="str">
        <f>'Credit Instruction Record'!C1</f>
        <v>Ccy</v>
      </c>
      <c r="H1" s="73" t="str">
        <f>'Credit Instruction Record'!D1</f>
        <v>InstdAmt</v>
      </c>
      <c r="I1" s="73" t="str">
        <f>'Credit Instruction Record'!E1</f>
        <v>BIC</v>
      </c>
      <c r="J1" s="73" t="str">
        <f>'Credit Instruction Record'!F1</f>
        <v>Nm</v>
      </c>
      <c r="K1" s="73" t="str">
        <f>'Credit Instruction Record'!G1</f>
        <v>PstlAdr:AdrLine</v>
      </c>
      <c r="L1" s="73" t="str">
        <f>'Credit Instruction Record'!H1</f>
        <v>PstlAdr:AdrLine</v>
      </c>
      <c r="M1" s="73" t="str">
        <f>'Credit Instruction Record'!I1</f>
        <v>IBAN</v>
      </c>
      <c r="N1" s="73" t="str">
        <f>'Credit Instruction Record'!J1</f>
        <v>Cd</v>
      </c>
      <c r="O1" s="73" t="str">
        <f>'Credit Instruction Record'!K1</f>
        <v>Ustrd</v>
      </c>
      <c r="P1" s="74" t="s">
        <v>249</v>
      </c>
    </row>
    <row r="2" spans="1:24" x14ac:dyDescent="0.25">
      <c r="A2" s="70" t="s">
        <v>100</v>
      </c>
      <c r="B2" t="str">
        <f ca="1">CONCATENATE("BOV_",TEXT(NOW(),"YYYY-MM-DD-HHmmSS"),"000_",'Header Record'!F5)</f>
        <v>BOV_2021-02-23-090216000_GAM002</v>
      </c>
      <c r="D2" s="75">
        <v>1</v>
      </c>
      <c r="E2" s="76" t="str">
        <f>IF(ISBLANK('Credit Instruction Record'!A5),"",'Credit Instruction Record'!A5)</f>
        <v/>
      </c>
      <c r="F2" s="76" t="str">
        <f>IF(ISBLANK('Credit Instruction Record'!B5),"",'Credit Instruction Record'!B5)</f>
        <v/>
      </c>
      <c r="G2" s="76" t="str">
        <f>IF(ISBLANK('Credit Instruction Record'!C5),"",'Credit Instruction Record'!C5)</f>
        <v>EUR</v>
      </c>
      <c r="H2" s="82" t="str">
        <f>IF(ISBLANK('Credit Instruction Record'!D5),"",'Credit Instruction Record'!D5)</f>
        <v/>
      </c>
      <c r="I2" s="76" t="str">
        <f>IF(ISBLANK('Credit Instruction Record'!E5),"",'Credit Instruction Record'!E5)</f>
        <v/>
      </c>
      <c r="J2" s="76" t="str">
        <f>IF(ISBLANK('Credit Instruction Record'!F5),"",'Credit Instruction Record'!F5)</f>
        <v/>
      </c>
      <c r="K2" s="76" t="str">
        <f>IF(ISBLANK('Credit Instruction Record'!G5),"",'Credit Instruction Record'!G5)</f>
        <v/>
      </c>
      <c r="L2" s="76" t="str">
        <f>IF(ISBLANK('Credit Instruction Record'!H5),"",'Credit Instruction Record'!H5)</f>
        <v/>
      </c>
      <c r="M2" s="76" t="str">
        <f>IF(ISBLANK('Credit Instruction Record'!I5),"",'Credit Instruction Record'!I5)</f>
        <v/>
      </c>
      <c r="N2" s="76" t="str">
        <f>IF(ISBLANK('Credit Instruction Record'!J5),"",'Credit Instruction Record'!J5)</f>
        <v>SUPP</v>
      </c>
      <c r="O2" s="76" t="str">
        <f>IF(ISBLANK('Credit Instruction Record'!K5),"",'Credit Instruction Record'!K5)</f>
        <v/>
      </c>
      <c r="P2" s="87" t="b">
        <f>M2=""</f>
        <v>1</v>
      </c>
      <c r="R2" s="97" t="s">
        <v>250</v>
      </c>
      <c r="S2" s="98"/>
      <c r="T2" s="98"/>
      <c r="U2" s="98"/>
      <c r="V2" s="98"/>
      <c r="W2" s="98"/>
      <c r="X2" s="99"/>
    </row>
    <row r="3" spans="1:24" x14ac:dyDescent="0.25">
      <c r="A3" s="89" t="str">
        <f>IF(ISBLANK(A2),"Cannot be left Blank","")</f>
        <v/>
      </c>
      <c r="B3" s="90"/>
      <c r="D3" s="75">
        <v>2</v>
      </c>
      <c r="E3" s="76" t="str">
        <f>IF(ISBLANK('Credit Instruction Record'!A7),"",'Credit Instruction Record'!A7)</f>
        <v/>
      </c>
      <c r="F3" s="76" t="str">
        <f>IF(ISBLANK('Credit Instruction Record'!B7),"",'Credit Instruction Record'!B7)</f>
        <v/>
      </c>
      <c r="G3" s="76" t="str">
        <f>IF(ISBLANK('Credit Instruction Record'!C7),"",'Credit Instruction Record'!C7)</f>
        <v>EUR</v>
      </c>
      <c r="H3" s="82" t="str">
        <f>IF(ISBLANK('Credit Instruction Record'!D7),"",'Credit Instruction Record'!D7)</f>
        <v/>
      </c>
      <c r="I3" s="76" t="str">
        <f>IF(ISBLANK('Credit Instruction Record'!E7),"",'Credit Instruction Record'!E7)</f>
        <v/>
      </c>
      <c r="J3" s="76" t="str">
        <f>IF(ISBLANK('Credit Instruction Record'!F7),"",'Credit Instruction Record'!F7)</f>
        <v/>
      </c>
      <c r="K3" s="76" t="str">
        <f>IF(ISBLANK('Credit Instruction Record'!G7),"",'Credit Instruction Record'!G7)</f>
        <v/>
      </c>
      <c r="L3" s="76" t="str">
        <f>IF(ISBLANK('Credit Instruction Record'!H7),"",'Credit Instruction Record'!H7)</f>
        <v/>
      </c>
      <c r="M3" s="76" t="str">
        <f>IF(ISBLANK('Credit Instruction Record'!I7),"",'Credit Instruction Record'!I7)</f>
        <v/>
      </c>
      <c r="N3" s="76" t="str">
        <f>IF(ISBLANK('Credit Instruction Record'!J7),"",'Credit Instruction Record'!J7)</f>
        <v>SUPP</v>
      </c>
      <c r="O3" s="76" t="str">
        <f>IF(ISBLANK('Credit Instruction Record'!K7),"",'Credit Instruction Record'!K7)</f>
        <v/>
      </c>
      <c r="P3" s="87" t="b">
        <f t="shared" ref="P3:P33" si="0">M3=""</f>
        <v>1</v>
      </c>
      <c r="R3" s="100"/>
      <c r="S3" s="101"/>
      <c r="T3" s="101"/>
      <c r="U3" s="101"/>
      <c r="V3" s="101"/>
      <c r="W3" s="101"/>
      <c r="X3" s="102"/>
    </row>
    <row r="4" spans="1:24" ht="30" x14ac:dyDescent="0.25">
      <c r="A4" s="91" t="s">
        <v>97</v>
      </c>
      <c r="B4" s="91" t="s">
        <v>132</v>
      </c>
      <c r="D4" s="75">
        <v>3</v>
      </c>
      <c r="E4" s="76" t="str">
        <f>IF(ISBLANK('Credit Instruction Record'!A9),"",'Credit Instruction Record'!A9)</f>
        <v/>
      </c>
      <c r="F4" s="76" t="str">
        <f>IF(ISBLANK('Credit Instruction Record'!B9),"",'Credit Instruction Record'!B9)</f>
        <v/>
      </c>
      <c r="G4" s="76" t="str">
        <f>IF(ISBLANK('Credit Instruction Record'!C9),"",'Credit Instruction Record'!C9)</f>
        <v>EUR</v>
      </c>
      <c r="H4" s="82" t="str">
        <f>IF(ISBLANK('Credit Instruction Record'!D9),"",'Credit Instruction Record'!D9)</f>
        <v/>
      </c>
      <c r="I4" s="76" t="str">
        <f>IF(ISBLANK('Credit Instruction Record'!E9),"",'Credit Instruction Record'!E9)</f>
        <v/>
      </c>
      <c r="J4" s="76" t="str">
        <f>IF(ISBLANK('Credit Instruction Record'!F9),"",'Credit Instruction Record'!F9)</f>
        <v/>
      </c>
      <c r="K4" s="76" t="str">
        <f>IF(ISBLANK('Credit Instruction Record'!G9),"",'Credit Instruction Record'!G9)</f>
        <v/>
      </c>
      <c r="L4" s="76" t="str">
        <f>IF(ISBLANK('Credit Instruction Record'!H9),"",'Credit Instruction Record'!H9)</f>
        <v>`</v>
      </c>
      <c r="M4" s="76" t="str">
        <f>IF(ISBLANK('Credit Instruction Record'!I9),"",'Credit Instruction Record'!I9)</f>
        <v/>
      </c>
      <c r="N4" s="76" t="str">
        <f>IF(ISBLANK('Credit Instruction Record'!J9),"",'Credit Instruction Record'!J9)</f>
        <v>SUPP</v>
      </c>
      <c r="O4" s="76" t="str">
        <f>IF(ISBLANK('Credit Instruction Record'!K9),"",'Credit Instruction Record'!K9)</f>
        <v/>
      </c>
      <c r="P4" s="87" t="b">
        <f t="shared" si="0"/>
        <v>1</v>
      </c>
      <c r="R4" s="100"/>
      <c r="S4" s="101"/>
      <c r="T4" s="101"/>
      <c r="U4" s="101"/>
      <c r="V4" s="101"/>
      <c r="W4" s="101"/>
      <c r="X4" s="102"/>
    </row>
    <row r="5" spans="1:24" x14ac:dyDescent="0.25">
      <c r="A5" s="92">
        <f>'Header Record'!C5</f>
        <v>0</v>
      </c>
      <c r="B5" s="81">
        <f>'Header Record'!D5</f>
        <v>0</v>
      </c>
      <c r="D5" s="75">
        <v>4</v>
      </c>
      <c r="E5" s="76" t="str">
        <f>IF(ISBLANK('Credit Instruction Record'!A11),"",'Credit Instruction Record'!A11)</f>
        <v/>
      </c>
      <c r="F5" s="76" t="str">
        <f>IF(ISBLANK('Credit Instruction Record'!B11),"",'Credit Instruction Record'!B11)</f>
        <v/>
      </c>
      <c r="G5" s="76" t="str">
        <f>IF(ISBLANK('Credit Instruction Record'!C11),"",'Credit Instruction Record'!C11)</f>
        <v>EUR</v>
      </c>
      <c r="H5" s="82" t="str">
        <f>IF(ISBLANK('Credit Instruction Record'!D11),"",'Credit Instruction Record'!D11)</f>
        <v/>
      </c>
      <c r="I5" s="76" t="str">
        <f>IF(ISBLANK('Credit Instruction Record'!E11),"",'Credit Instruction Record'!E11)</f>
        <v/>
      </c>
      <c r="J5" s="76" t="str">
        <f>IF(ISBLANK('Credit Instruction Record'!F11),"",'Credit Instruction Record'!F11)</f>
        <v/>
      </c>
      <c r="K5" s="76" t="str">
        <f>IF(ISBLANK('Credit Instruction Record'!G11),"",'Credit Instruction Record'!G11)</f>
        <v/>
      </c>
      <c r="L5" s="76" t="str">
        <f>IF(ISBLANK('Credit Instruction Record'!H11),"",'Credit Instruction Record'!H11)</f>
        <v/>
      </c>
      <c r="M5" s="76" t="str">
        <f>IF(ISBLANK('Credit Instruction Record'!I11),"",'Credit Instruction Record'!I11)</f>
        <v/>
      </c>
      <c r="N5" s="76" t="str">
        <f>IF(ISBLANK('Credit Instruction Record'!J11),"",'Credit Instruction Record'!J11)</f>
        <v>SUPP</v>
      </c>
      <c r="O5" s="76" t="str">
        <f>IF(ISBLANK('Credit Instruction Record'!K11),"",'Credit Instruction Record'!K11)</f>
        <v/>
      </c>
      <c r="P5" s="87" t="b">
        <f t="shared" si="0"/>
        <v>1</v>
      </c>
      <c r="R5" s="100"/>
      <c r="S5" s="101"/>
      <c r="T5" s="101"/>
      <c r="U5" s="101"/>
      <c r="V5" s="101"/>
      <c r="W5" s="101"/>
      <c r="X5" s="102"/>
    </row>
    <row r="6" spans="1:24" x14ac:dyDescent="0.25">
      <c r="A6" s="40"/>
      <c r="B6" s="40"/>
      <c r="C6" s="40"/>
      <c r="D6" s="75">
        <v>5</v>
      </c>
      <c r="E6" s="76" t="str">
        <f>IF(ISBLANK('Credit Instruction Record'!A13),"",'Credit Instruction Record'!A13)</f>
        <v/>
      </c>
      <c r="F6" s="76" t="str">
        <f>IF(ISBLANK('Credit Instruction Record'!B13),"",'Credit Instruction Record'!B13)</f>
        <v/>
      </c>
      <c r="G6" s="76" t="str">
        <f>IF(ISBLANK('Credit Instruction Record'!C13),"",'Credit Instruction Record'!C13)</f>
        <v>EUR</v>
      </c>
      <c r="H6" s="82" t="str">
        <f>IF(ISBLANK('Credit Instruction Record'!D13),"",'Credit Instruction Record'!D13)</f>
        <v/>
      </c>
      <c r="I6" s="76" t="str">
        <f>IF(ISBLANK('Credit Instruction Record'!E13),"",'Credit Instruction Record'!E13)</f>
        <v/>
      </c>
      <c r="J6" s="76" t="str">
        <f>IF(ISBLANK('Credit Instruction Record'!F13),"",'Credit Instruction Record'!F13)</f>
        <v/>
      </c>
      <c r="K6" s="76" t="str">
        <f>IF(ISBLANK('Credit Instruction Record'!G13),"",'Credit Instruction Record'!G13)</f>
        <v/>
      </c>
      <c r="L6" s="76" t="str">
        <f>IF(ISBLANK('Credit Instruction Record'!H13),"",'Credit Instruction Record'!H13)</f>
        <v/>
      </c>
      <c r="M6" s="76" t="str">
        <f>IF(ISBLANK('Credit Instruction Record'!I13),"",'Credit Instruction Record'!I13)</f>
        <v/>
      </c>
      <c r="N6" s="76" t="str">
        <f>IF(ISBLANK('Credit Instruction Record'!J13),"",'Credit Instruction Record'!J13)</f>
        <v>SUPP</v>
      </c>
      <c r="O6" s="76" t="str">
        <f>IF(ISBLANK('Credit Instruction Record'!K13),"",'Credit Instruction Record'!K13)</f>
        <v/>
      </c>
      <c r="P6" s="87" t="b">
        <f t="shared" si="0"/>
        <v>1</v>
      </c>
      <c r="R6" s="100"/>
      <c r="S6" s="101"/>
      <c r="T6" s="101"/>
      <c r="U6" s="101"/>
      <c r="V6" s="101"/>
      <c r="W6" s="101"/>
      <c r="X6" s="102"/>
    </row>
    <row r="7" spans="1:24" x14ac:dyDescent="0.25">
      <c r="A7" s="61"/>
      <c r="C7" s="40"/>
      <c r="D7" s="75">
        <v>6</v>
      </c>
      <c r="E7" s="76" t="str">
        <f>IF(ISBLANK('Credit Instruction Record'!A15),"",'Credit Instruction Record'!A15)</f>
        <v/>
      </c>
      <c r="F7" s="76" t="str">
        <f>IF(ISBLANK('Credit Instruction Record'!B15),"",'Credit Instruction Record'!B15)</f>
        <v/>
      </c>
      <c r="G7" s="76" t="str">
        <f>IF(ISBLANK('Credit Instruction Record'!C15),"",'Credit Instruction Record'!C15)</f>
        <v>EUR</v>
      </c>
      <c r="H7" s="82" t="str">
        <f>IF(ISBLANK('Credit Instruction Record'!D15),"",'Credit Instruction Record'!D15)</f>
        <v/>
      </c>
      <c r="I7" s="76" t="str">
        <f>IF(ISBLANK('Credit Instruction Record'!E15),"",'Credit Instruction Record'!E15)</f>
        <v/>
      </c>
      <c r="J7" s="76" t="str">
        <f>IF(ISBLANK('Credit Instruction Record'!F15),"",'Credit Instruction Record'!F15)</f>
        <v/>
      </c>
      <c r="K7" s="76" t="str">
        <f>IF(ISBLANK('Credit Instruction Record'!G15),"",'Credit Instruction Record'!G15)</f>
        <v/>
      </c>
      <c r="L7" s="76" t="str">
        <f>IF(ISBLANK('Credit Instruction Record'!H15),"",'Credit Instruction Record'!H15)</f>
        <v/>
      </c>
      <c r="M7" s="76" t="str">
        <f>IF(ISBLANK('Credit Instruction Record'!I15),"",'Credit Instruction Record'!I15)</f>
        <v/>
      </c>
      <c r="N7" s="76" t="str">
        <f>IF(ISBLANK('Credit Instruction Record'!J15),"",'Credit Instruction Record'!J15)</f>
        <v>SUPP</v>
      </c>
      <c r="O7" s="76" t="str">
        <f>IF(ISBLANK('Credit Instruction Record'!K15),"",'Credit Instruction Record'!K15)</f>
        <v/>
      </c>
      <c r="P7" s="87" t="b">
        <f t="shared" si="0"/>
        <v>1</v>
      </c>
      <c r="R7" s="100"/>
      <c r="S7" s="101"/>
      <c r="T7" s="101"/>
      <c r="U7" s="101"/>
      <c r="V7" s="101"/>
      <c r="W7" s="101"/>
      <c r="X7" s="102"/>
    </row>
    <row r="8" spans="1:24" x14ac:dyDescent="0.25">
      <c r="A8" s="79" t="s">
        <v>249</v>
      </c>
      <c r="B8" s="40" t="s">
        <v>339</v>
      </c>
      <c r="C8" s="40"/>
      <c r="D8" s="75">
        <v>7</v>
      </c>
      <c r="E8" s="76" t="str">
        <f>IF(ISBLANK('Credit Instruction Record'!A17),"",'Credit Instruction Record'!A17)</f>
        <v/>
      </c>
      <c r="F8" s="76" t="str">
        <f>IF(ISBLANK('Credit Instruction Record'!B17),"",'Credit Instruction Record'!B17)</f>
        <v/>
      </c>
      <c r="G8" s="76" t="str">
        <f>IF(ISBLANK('Credit Instruction Record'!C17),"",'Credit Instruction Record'!C17)</f>
        <v>EUR</v>
      </c>
      <c r="H8" s="82" t="str">
        <f>IF(ISBLANK('Credit Instruction Record'!D17),"",'Credit Instruction Record'!D17)</f>
        <v/>
      </c>
      <c r="I8" s="76" t="str">
        <f>IF(ISBLANK('Credit Instruction Record'!E17),"",'Credit Instruction Record'!E17)</f>
        <v/>
      </c>
      <c r="J8" s="76" t="str">
        <f>IF(ISBLANK('Credit Instruction Record'!F17),"",'Credit Instruction Record'!F17)</f>
        <v/>
      </c>
      <c r="K8" s="76" t="str">
        <f>IF(ISBLANK('Credit Instruction Record'!G17),"",'Credit Instruction Record'!G17)</f>
        <v>`</v>
      </c>
      <c r="L8" s="76" t="str">
        <f>IF(ISBLANK('Credit Instruction Record'!H17),"",'Credit Instruction Record'!H17)</f>
        <v/>
      </c>
      <c r="M8" s="76" t="str">
        <f>IF(ISBLANK('Credit Instruction Record'!I17),"",'Credit Instruction Record'!I17)</f>
        <v/>
      </c>
      <c r="N8" s="76" t="str">
        <f>IF(ISBLANK('Credit Instruction Record'!J17),"",'Credit Instruction Record'!J17)</f>
        <v>SUPP</v>
      </c>
      <c r="O8" s="76" t="str">
        <f>IF(ISBLANK('Credit Instruction Record'!K17),"",'Credit Instruction Record'!K17)</f>
        <v/>
      </c>
      <c r="P8" s="87" t="b">
        <f t="shared" si="0"/>
        <v>1</v>
      </c>
      <c r="R8" s="100"/>
      <c r="S8" s="101"/>
      <c r="T8" s="101"/>
      <c r="U8" s="101"/>
      <c r="V8" s="101"/>
      <c r="W8" s="101"/>
      <c r="X8" s="102"/>
    </row>
    <row r="9" spans="1:24" x14ac:dyDescent="0.25">
      <c r="C9" s="40"/>
      <c r="D9" s="75">
        <v>8</v>
      </c>
      <c r="E9" s="76" t="str">
        <f>IF(ISBLANK('Credit Instruction Record'!A19),"",'Credit Instruction Record'!A19)</f>
        <v/>
      </c>
      <c r="F9" s="76" t="str">
        <f>IF(ISBLANK('Credit Instruction Record'!B19),"",'Credit Instruction Record'!B19)</f>
        <v/>
      </c>
      <c r="G9" s="76" t="str">
        <f>IF(ISBLANK('Credit Instruction Record'!C19),"",'Credit Instruction Record'!C19)</f>
        <v>EUR</v>
      </c>
      <c r="H9" s="82" t="str">
        <f>IF(ISBLANK('Credit Instruction Record'!D19),"",'Credit Instruction Record'!D19)</f>
        <v/>
      </c>
      <c r="I9" s="76" t="str">
        <f>IF(ISBLANK('Credit Instruction Record'!E19),"",'Credit Instruction Record'!E19)</f>
        <v/>
      </c>
      <c r="J9" s="76" t="str">
        <f>IF(ISBLANK('Credit Instruction Record'!F19),"",'Credit Instruction Record'!F19)</f>
        <v/>
      </c>
      <c r="K9" s="76" t="str">
        <f>IF(ISBLANK('Credit Instruction Record'!G19),"",'Credit Instruction Record'!G19)</f>
        <v/>
      </c>
      <c r="L9" s="76" t="str">
        <f>IF(ISBLANK('Credit Instruction Record'!H19),"",'Credit Instruction Record'!H19)</f>
        <v/>
      </c>
      <c r="M9" s="76" t="str">
        <f>IF(ISBLANK('Credit Instruction Record'!I19),"",'Credit Instruction Record'!I19)</f>
        <v/>
      </c>
      <c r="N9" s="76" t="str">
        <f>IF(ISBLANK('Credit Instruction Record'!J19),"",'Credit Instruction Record'!J19)</f>
        <v>SUPP</v>
      </c>
      <c r="O9" s="76" t="str">
        <f>IF(ISBLANK('Credit Instruction Record'!K19),"",'Credit Instruction Record'!K19)</f>
        <v/>
      </c>
      <c r="P9" s="87" t="b">
        <f t="shared" si="0"/>
        <v>1</v>
      </c>
      <c r="R9" s="100"/>
      <c r="S9" s="101"/>
      <c r="T9" s="101"/>
      <c r="U9" s="101"/>
      <c r="V9" s="101"/>
      <c r="W9" s="101"/>
      <c r="X9" s="102"/>
    </row>
    <row r="10" spans="1:24" x14ac:dyDescent="0.25">
      <c r="A10" s="79" t="s">
        <v>121</v>
      </c>
      <c r="B10" s="40" t="s">
        <v>123</v>
      </c>
      <c r="C10" s="40"/>
      <c r="D10" s="75">
        <v>9</v>
      </c>
      <c r="E10" s="76" t="str">
        <f>IF(ISBLANK('Credit Instruction Record'!A21),"",'Credit Instruction Record'!A21)</f>
        <v/>
      </c>
      <c r="F10" s="76" t="str">
        <f>IF(ISBLANK('Credit Instruction Record'!B21),"",'Credit Instruction Record'!B21)</f>
        <v/>
      </c>
      <c r="G10" s="76" t="str">
        <f>IF(ISBLANK('Credit Instruction Record'!C21),"",'Credit Instruction Record'!C21)</f>
        <v>EUR</v>
      </c>
      <c r="H10" s="82" t="str">
        <f>IF(ISBLANK('Credit Instruction Record'!D21),"",'Credit Instruction Record'!D21)</f>
        <v/>
      </c>
      <c r="I10" s="76" t="str">
        <f>IF(ISBLANK('Credit Instruction Record'!E21),"",'Credit Instruction Record'!E21)</f>
        <v/>
      </c>
      <c r="J10" s="76" t="str">
        <f>IF(ISBLANK('Credit Instruction Record'!F21),"",'Credit Instruction Record'!F21)</f>
        <v/>
      </c>
      <c r="K10" s="76" t="str">
        <f>IF(ISBLANK('Credit Instruction Record'!G21),"",'Credit Instruction Record'!G21)</f>
        <v/>
      </c>
      <c r="L10" s="76" t="str">
        <f>IF(ISBLANK('Credit Instruction Record'!H21),"",'Credit Instruction Record'!H21)</f>
        <v/>
      </c>
      <c r="M10" s="76" t="str">
        <f>IF(ISBLANK('Credit Instruction Record'!I21),"",'Credit Instruction Record'!I21)</f>
        <v/>
      </c>
      <c r="N10" s="76" t="str">
        <f>IF(ISBLANK('Credit Instruction Record'!J21),"",'Credit Instruction Record'!J21)</f>
        <v>SUPP</v>
      </c>
      <c r="O10" s="76" t="str">
        <f>IF(ISBLANK('Credit Instruction Record'!K21),"",'Credit Instruction Record'!K21)</f>
        <v/>
      </c>
      <c r="P10" s="87" t="b">
        <f t="shared" si="0"/>
        <v>1</v>
      </c>
      <c r="R10" s="100"/>
      <c r="S10" s="101"/>
      <c r="T10" s="101"/>
      <c r="U10" s="101"/>
      <c r="V10" s="101"/>
      <c r="W10" s="101"/>
      <c r="X10" s="102"/>
    </row>
    <row r="11" spans="1:24" x14ac:dyDescent="0.25">
      <c r="A11" s="80"/>
      <c r="B11" s="81"/>
      <c r="C11" s="40"/>
      <c r="D11" s="75">
        <v>10</v>
      </c>
      <c r="E11" s="76" t="str">
        <f>IF(ISBLANK('Credit Instruction Record'!A23),"",'Credit Instruction Record'!A23)</f>
        <v/>
      </c>
      <c r="F11" s="76" t="str">
        <f>IF(ISBLANK('Credit Instruction Record'!B23),"",'Credit Instruction Record'!B23)</f>
        <v/>
      </c>
      <c r="G11" s="76" t="str">
        <f>IF(ISBLANK('Credit Instruction Record'!C23),"",'Credit Instruction Record'!C23)</f>
        <v>EUR</v>
      </c>
      <c r="H11" s="82" t="str">
        <f>IF(ISBLANK('Credit Instruction Record'!D23),"",'Credit Instruction Record'!D23)</f>
        <v/>
      </c>
      <c r="I11" s="76" t="str">
        <f>IF(ISBLANK('Credit Instruction Record'!E23),"",'Credit Instruction Record'!E23)</f>
        <v/>
      </c>
      <c r="J11" s="76" t="str">
        <f>IF(ISBLANK('Credit Instruction Record'!F23),"",'Credit Instruction Record'!F23)</f>
        <v/>
      </c>
      <c r="K11" s="76" t="str">
        <f>IF(ISBLANK('Credit Instruction Record'!G23),"",'Credit Instruction Record'!G23)</f>
        <v/>
      </c>
      <c r="L11" s="76" t="str">
        <f>IF(ISBLANK('Credit Instruction Record'!H23),"",'Credit Instruction Record'!H23)</f>
        <v/>
      </c>
      <c r="M11" s="76" t="str">
        <f>IF(ISBLANK('Credit Instruction Record'!I23),"",'Credit Instruction Record'!I23)</f>
        <v/>
      </c>
      <c r="N11" s="76" t="str">
        <f>IF(ISBLANK('Credit Instruction Record'!J23),"",'Credit Instruction Record'!J23)</f>
        <v>SUPP</v>
      </c>
      <c r="O11" s="76" t="str">
        <f>IF(ISBLANK('Credit Instruction Record'!K23),"",'Credit Instruction Record'!K23)</f>
        <v/>
      </c>
      <c r="P11" s="87" t="b">
        <f t="shared" si="0"/>
        <v>1</v>
      </c>
      <c r="R11" s="100"/>
      <c r="S11" s="101"/>
      <c r="T11" s="101"/>
      <c r="U11" s="101"/>
      <c r="V11" s="101"/>
      <c r="W11" s="101"/>
      <c r="X11" s="102"/>
    </row>
    <row r="12" spans="1:24" x14ac:dyDescent="0.25">
      <c r="A12" s="86"/>
      <c r="B12" s="81">
        <v>0</v>
      </c>
      <c r="C12" s="40"/>
      <c r="D12" s="75">
        <v>11</v>
      </c>
      <c r="E12" s="76" t="str">
        <f>IF(ISBLANK('Credit Instruction Record'!A25),"",'Credit Instruction Record'!A25)</f>
        <v/>
      </c>
      <c r="F12" s="76" t="str">
        <f>IF(ISBLANK('Credit Instruction Record'!B25),"",'Credit Instruction Record'!B25)</f>
        <v/>
      </c>
      <c r="G12" s="76" t="str">
        <f>IF(ISBLANK('Credit Instruction Record'!C25),"",'Credit Instruction Record'!C25)</f>
        <v>EUR</v>
      </c>
      <c r="H12" s="82" t="str">
        <f>IF(ISBLANK('Credit Instruction Record'!D25),"",'Credit Instruction Record'!D25)</f>
        <v/>
      </c>
      <c r="I12" s="76" t="str">
        <f>IF(ISBLANK('Credit Instruction Record'!E25),"",'Credit Instruction Record'!E25)</f>
        <v/>
      </c>
      <c r="J12" s="76" t="str">
        <f>IF(ISBLANK('Credit Instruction Record'!F25),"",'Credit Instruction Record'!F25)</f>
        <v/>
      </c>
      <c r="K12" s="76" t="str">
        <f>IF(ISBLANK('Credit Instruction Record'!G25),"",'Credit Instruction Record'!G25)</f>
        <v/>
      </c>
      <c r="L12" s="76" t="str">
        <f>IF(ISBLANK('Credit Instruction Record'!H25),"",'Credit Instruction Record'!H25)</f>
        <v/>
      </c>
      <c r="M12" s="76" t="str">
        <f>IF(ISBLANK('Credit Instruction Record'!I25),"",'Credit Instruction Record'!I25)</f>
        <v/>
      </c>
      <c r="N12" s="76" t="str">
        <f>IF(ISBLANK('Credit Instruction Record'!J25),"",'Credit Instruction Record'!J25)</f>
        <v>SUPP</v>
      </c>
      <c r="O12" s="76" t="str">
        <f>IF(ISBLANK('Credit Instruction Record'!K25),"",'Credit Instruction Record'!K25)</f>
        <v/>
      </c>
      <c r="P12" s="87" t="b">
        <f t="shared" si="0"/>
        <v>1</v>
      </c>
      <c r="R12" s="100"/>
      <c r="S12" s="101"/>
      <c r="T12" s="101"/>
      <c r="U12" s="101"/>
      <c r="V12" s="101"/>
      <c r="W12" s="101"/>
      <c r="X12" s="102"/>
    </row>
    <row r="13" spans="1:24" x14ac:dyDescent="0.25">
      <c r="A13" s="80" t="s">
        <v>122</v>
      </c>
      <c r="B13" s="81">
        <v>0</v>
      </c>
      <c r="C13" s="40"/>
      <c r="D13" s="75">
        <v>12</v>
      </c>
      <c r="E13" s="76" t="str">
        <f>IF(ISBLANK('Credit Instruction Record'!A27),"",'Credit Instruction Record'!A27)</f>
        <v/>
      </c>
      <c r="F13" s="76" t="str">
        <f>IF(ISBLANK('Credit Instruction Record'!B27),"",'Credit Instruction Record'!B27)</f>
        <v/>
      </c>
      <c r="G13" s="76" t="str">
        <f>IF(ISBLANK('Credit Instruction Record'!C27),"",'Credit Instruction Record'!C27)</f>
        <v>EUR</v>
      </c>
      <c r="H13" s="82" t="str">
        <f>IF(ISBLANK('Credit Instruction Record'!D27),"",'Credit Instruction Record'!D27)</f>
        <v/>
      </c>
      <c r="I13" s="76" t="str">
        <f>IF(ISBLANK('Credit Instruction Record'!E27),"",'Credit Instruction Record'!E27)</f>
        <v/>
      </c>
      <c r="J13" s="76" t="str">
        <f>IF(ISBLANK('Credit Instruction Record'!F27),"",'Credit Instruction Record'!F27)</f>
        <v/>
      </c>
      <c r="K13" s="76" t="str">
        <f>IF(ISBLANK('Credit Instruction Record'!G27),"",'Credit Instruction Record'!G27)</f>
        <v/>
      </c>
      <c r="L13" s="76" t="str">
        <f>IF(ISBLANK('Credit Instruction Record'!H27),"",'Credit Instruction Record'!H27)</f>
        <v/>
      </c>
      <c r="M13" s="76" t="str">
        <f>IF(ISBLANK('Credit Instruction Record'!I27),"",'Credit Instruction Record'!I27)</f>
        <v/>
      </c>
      <c r="N13" s="76" t="str">
        <f>IF(ISBLANK('Credit Instruction Record'!J27),"",'Credit Instruction Record'!J27)</f>
        <v>SUPP</v>
      </c>
      <c r="O13" s="76" t="str">
        <f>IF(ISBLANK('Credit Instruction Record'!K27),"",'Credit Instruction Record'!K27)</f>
        <v/>
      </c>
      <c r="P13" s="87" t="b">
        <f t="shared" si="0"/>
        <v>1</v>
      </c>
      <c r="R13" s="100"/>
      <c r="S13" s="101"/>
      <c r="T13" s="101"/>
      <c r="U13" s="101"/>
      <c r="V13" s="101"/>
      <c r="W13" s="101"/>
      <c r="X13" s="102"/>
    </row>
    <row r="14" spans="1:24" ht="15.75" thickBot="1" x14ac:dyDescent="0.3">
      <c r="C14" s="40"/>
      <c r="D14" s="75">
        <v>13</v>
      </c>
      <c r="E14" s="76" t="str">
        <f>IF(ISBLANK('Credit Instruction Record'!A29),"",'Credit Instruction Record'!A29)</f>
        <v/>
      </c>
      <c r="F14" s="76" t="str">
        <f>IF(ISBLANK('Credit Instruction Record'!B29),"",'Credit Instruction Record'!B29)</f>
        <v/>
      </c>
      <c r="G14" s="76" t="str">
        <f>IF(ISBLANK('Credit Instruction Record'!C29),"",'Credit Instruction Record'!C29)</f>
        <v>EUR</v>
      </c>
      <c r="H14" s="82" t="str">
        <f>IF(ISBLANK('Credit Instruction Record'!D29),"",'Credit Instruction Record'!D29)</f>
        <v/>
      </c>
      <c r="I14" s="76" t="str">
        <f>IF(ISBLANK('Credit Instruction Record'!E29),"",'Credit Instruction Record'!E29)</f>
        <v/>
      </c>
      <c r="J14" s="76" t="str">
        <f>IF(ISBLANK('Credit Instruction Record'!F29),"",'Credit Instruction Record'!F29)</f>
        <v/>
      </c>
      <c r="K14" s="76" t="str">
        <f>IF(ISBLANK('Credit Instruction Record'!G29),"",'Credit Instruction Record'!G29)</f>
        <v/>
      </c>
      <c r="L14" s="76" t="str">
        <f>IF(ISBLANK('Credit Instruction Record'!H29),"",'Credit Instruction Record'!H29)</f>
        <v/>
      </c>
      <c r="M14" s="76" t="str">
        <f>IF(ISBLANK('Credit Instruction Record'!I29),"",'Credit Instruction Record'!I29)</f>
        <v/>
      </c>
      <c r="N14" s="76" t="str">
        <f>IF(ISBLANK('Credit Instruction Record'!J29),"",'Credit Instruction Record'!J29)</f>
        <v>SUPP</v>
      </c>
      <c r="O14" s="76" t="str">
        <f>IF(ISBLANK('Credit Instruction Record'!K29),"",'Credit Instruction Record'!K29)</f>
        <v/>
      </c>
      <c r="P14" s="87" t="b">
        <f t="shared" si="0"/>
        <v>1</v>
      </c>
      <c r="R14" s="103"/>
      <c r="S14" s="104"/>
      <c r="T14" s="104"/>
      <c r="U14" s="104"/>
      <c r="V14" s="104"/>
      <c r="W14" s="104"/>
      <c r="X14" s="105"/>
    </row>
    <row r="15" spans="1:24" ht="15.75" thickBot="1" x14ac:dyDescent="0.3">
      <c r="C15" s="40"/>
      <c r="D15" s="75">
        <v>14</v>
      </c>
      <c r="E15" s="76" t="str">
        <f>IF(ISBLANK('Credit Instruction Record'!A31),"",'Credit Instruction Record'!A31)</f>
        <v/>
      </c>
      <c r="F15" s="76" t="str">
        <f>IF(ISBLANK('Credit Instruction Record'!B31),"",'Credit Instruction Record'!B31)</f>
        <v/>
      </c>
      <c r="G15" s="76" t="str">
        <f>IF(ISBLANK('Credit Instruction Record'!C31),"",'Credit Instruction Record'!C31)</f>
        <v>EUR</v>
      </c>
      <c r="H15" s="82" t="str">
        <f>IF(ISBLANK('Credit Instruction Record'!D31),"",'Credit Instruction Record'!D31)</f>
        <v/>
      </c>
      <c r="I15" s="76" t="str">
        <f>IF(ISBLANK('Credit Instruction Record'!E31),"",'Credit Instruction Record'!E31)</f>
        <v/>
      </c>
      <c r="J15" s="76" t="str">
        <f>IF(ISBLANK('Credit Instruction Record'!F31),"",'Credit Instruction Record'!F31)</f>
        <v/>
      </c>
      <c r="K15" s="76" t="str">
        <f>IF(ISBLANK('Credit Instruction Record'!G31),"",'Credit Instruction Record'!G31)</f>
        <v/>
      </c>
      <c r="L15" s="76" t="str">
        <f>IF(ISBLANK('Credit Instruction Record'!H31),"",'Credit Instruction Record'!H31)</f>
        <v/>
      </c>
      <c r="M15" s="76" t="str">
        <f>IF(ISBLANK('Credit Instruction Record'!I31),"",'Credit Instruction Record'!I31)</f>
        <v/>
      </c>
      <c r="N15" s="76" t="str">
        <f>IF(ISBLANK('Credit Instruction Record'!J31),"",'Credit Instruction Record'!J31)</f>
        <v>SUPP</v>
      </c>
      <c r="O15" s="76" t="str">
        <f>IF(ISBLANK('Credit Instruction Record'!K31),"",'Credit Instruction Record'!K31)</f>
        <v/>
      </c>
      <c r="P15" s="87" t="b">
        <f t="shared" si="0"/>
        <v>1</v>
      </c>
    </row>
    <row r="16" spans="1:24" x14ac:dyDescent="0.25">
      <c r="C16" s="40"/>
      <c r="D16" s="75">
        <v>15</v>
      </c>
      <c r="E16" s="76" t="str">
        <f>IF(ISBLANK('Credit Instruction Record'!A33),"",'Credit Instruction Record'!A33)</f>
        <v/>
      </c>
      <c r="F16" s="76" t="str">
        <f>IF(ISBLANK('Credit Instruction Record'!B33),"",'Credit Instruction Record'!B33)</f>
        <v/>
      </c>
      <c r="G16" s="76" t="str">
        <f>IF(ISBLANK('Credit Instruction Record'!C33),"",'Credit Instruction Record'!C33)</f>
        <v>EUR</v>
      </c>
      <c r="H16" s="82" t="str">
        <f>IF(ISBLANK('Credit Instruction Record'!D33),"",'Credit Instruction Record'!D33)</f>
        <v/>
      </c>
      <c r="I16" s="76" t="str">
        <f>IF(ISBLANK('Credit Instruction Record'!E33),"",'Credit Instruction Record'!E33)</f>
        <v/>
      </c>
      <c r="J16" s="76" t="str">
        <f>IF(ISBLANK('Credit Instruction Record'!F33),"",'Credit Instruction Record'!F33)</f>
        <v/>
      </c>
      <c r="K16" s="76" t="str">
        <f>IF(ISBLANK('Credit Instruction Record'!G33),"",'Credit Instruction Record'!G33)</f>
        <v/>
      </c>
      <c r="L16" s="76" t="str">
        <f>IF(ISBLANK('Credit Instruction Record'!H33),"",'Credit Instruction Record'!H33)</f>
        <v/>
      </c>
      <c r="M16" s="76" t="str">
        <f>IF(ISBLANK('Credit Instruction Record'!I33),"",'Credit Instruction Record'!I33)</f>
        <v/>
      </c>
      <c r="N16" s="76" t="str">
        <f>IF(ISBLANK('Credit Instruction Record'!J33),"",'Credit Instruction Record'!J33)</f>
        <v>SUPP</v>
      </c>
      <c r="O16" s="76" t="str">
        <f>IF(ISBLANK('Credit Instruction Record'!K33),"",'Credit Instruction Record'!K33)</f>
        <v/>
      </c>
      <c r="P16" s="87" t="b">
        <f t="shared" si="0"/>
        <v>1</v>
      </c>
      <c r="R16" s="106" t="s">
        <v>338</v>
      </c>
      <c r="S16" s="107"/>
      <c r="T16" s="107"/>
      <c r="U16" s="107"/>
      <c r="V16" s="107"/>
      <c r="W16" s="107"/>
      <c r="X16" s="108"/>
    </row>
    <row r="17" spans="3:24" x14ac:dyDescent="0.25">
      <c r="C17" s="40"/>
      <c r="D17" s="75">
        <v>16</v>
      </c>
      <c r="E17" s="76" t="str">
        <f>IF(ISBLANK('Credit Instruction Record'!A35),"",'Credit Instruction Record'!A35)</f>
        <v/>
      </c>
      <c r="F17" s="76" t="str">
        <f>IF(ISBLANK('Credit Instruction Record'!B35),"",'Credit Instruction Record'!B35)</f>
        <v/>
      </c>
      <c r="G17" s="76" t="str">
        <f>IF(ISBLANK('Credit Instruction Record'!C35),"",'Credit Instruction Record'!C35)</f>
        <v>EUR</v>
      </c>
      <c r="H17" s="82" t="str">
        <f>IF(ISBLANK('Credit Instruction Record'!D35),"",'Credit Instruction Record'!D35)</f>
        <v/>
      </c>
      <c r="I17" s="76" t="str">
        <f>IF(ISBLANK('Credit Instruction Record'!E35),"",'Credit Instruction Record'!E35)</f>
        <v/>
      </c>
      <c r="J17" s="76" t="str">
        <f>IF(ISBLANK('Credit Instruction Record'!F35),"",'Credit Instruction Record'!F35)</f>
        <v/>
      </c>
      <c r="K17" s="76" t="str">
        <f>IF(ISBLANK('Credit Instruction Record'!G35),"",'Credit Instruction Record'!G35)</f>
        <v/>
      </c>
      <c r="L17" s="76" t="str">
        <f>IF(ISBLANK('Credit Instruction Record'!H35),"",'Credit Instruction Record'!H35)</f>
        <v>`</v>
      </c>
      <c r="M17" s="76" t="str">
        <f>IF(ISBLANK('Credit Instruction Record'!I35),"",'Credit Instruction Record'!I35)</f>
        <v/>
      </c>
      <c r="N17" s="76" t="str">
        <f>IF(ISBLANK('Credit Instruction Record'!J35),"",'Credit Instruction Record'!J35)</f>
        <v>SUPP</v>
      </c>
      <c r="O17" s="76" t="str">
        <f>IF(ISBLANK('Credit Instruction Record'!K35),"",'Credit Instruction Record'!K35)</f>
        <v/>
      </c>
      <c r="P17" s="87" t="b">
        <f t="shared" si="0"/>
        <v>1</v>
      </c>
      <c r="R17" s="109"/>
      <c r="S17" s="110"/>
      <c r="T17" s="110"/>
      <c r="U17" s="110"/>
      <c r="V17" s="110"/>
      <c r="W17" s="110"/>
      <c r="X17" s="111"/>
    </row>
    <row r="18" spans="3:24" x14ac:dyDescent="0.25">
      <c r="C18" s="40"/>
      <c r="D18" s="75">
        <v>17</v>
      </c>
      <c r="E18" s="76" t="str">
        <f>IF(ISBLANK('Credit Instruction Record'!A37),"",'Credit Instruction Record'!A37)</f>
        <v/>
      </c>
      <c r="F18" s="76" t="str">
        <f>IF(ISBLANK('Credit Instruction Record'!B37),"",'Credit Instruction Record'!B37)</f>
        <v/>
      </c>
      <c r="G18" s="76" t="str">
        <f>IF(ISBLANK('Credit Instruction Record'!C37),"",'Credit Instruction Record'!C37)</f>
        <v>EUR</v>
      </c>
      <c r="H18" s="82" t="str">
        <f>IF(ISBLANK('Credit Instruction Record'!D37),"",'Credit Instruction Record'!D37)</f>
        <v/>
      </c>
      <c r="I18" s="76" t="str">
        <f>IF(ISBLANK('Credit Instruction Record'!E37),"",'Credit Instruction Record'!E37)</f>
        <v/>
      </c>
      <c r="J18" s="76" t="str">
        <f>IF(ISBLANK('Credit Instruction Record'!F37),"",'Credit Instruction Record'!F37)</f>
        <v/>
      </c>
      <c r="K18" s="76" t="str">
        <f>IF(ISBLANK('Credit Instruction Record'!G37),"",'Credit Instruction Record'!G37)</f>
        <v/>
      </c>
      <c r="L18" s="76" t="str">
        <f>IF(ISBLANK('Credit Instruction Record'!H37),"",'Credit Instruction Record'!H37)</f>
        <v/>
      </c>
      <c r="M18" s="76" t="str">
        <f>IF(ISBLANK('Credit Instruction Record'!I37),"",'Credit Instruction Record'!I37)</f>
        <v/>
      </c>
      <c r="N18" s="76" t="str">
        <f>IF(ISBLANK('Credit Instruction Record'!J37),"",'Credit Instruction Record'!J37)</f>
        <v>SUPP</v>
      </c>
      <c r="O18" s="76" t="str">
        <f>IF(ISBLANK('Credit Instruction Record'!K37),"",'Credit Instruction Record'!K37)</f>
        <v/>
      </c>
      <c r="P18" s="87" t="b">
        <f t="shared" si="0"/>
        <v>1</v>
      </c>
      <c r="R18" s="109"/>
      <c r="S18" s="110"/>
      <c r="T18" s="110"/>
      <c r="U18" s="110"/>
      <c r="V18" s="110"/>
      <c r="W18" s="110"/>
      <c r="X18" s="111"/>
    </row>
    <row r="19" spans="3:24" x14ac:dyDescent="0.25">
      <c r="C19" s="40"/>
      <c r="D19" s="75">
        <v>18</v>
      </c>
      <c r="E19" s="76" t="str">
        <f>IF(ISBLANK('Credit Instruction Record'!A39),"",'Credit Instruction Record'!A39)</f>
        <v/>
      </c>
      <c r="F19" s="76" t="str">
        <f>IF(ISBLANK('Credit Instruction Record'!B39),"",'Credit Instruction Record'!B39)</f>
        <v/>
      </c>
      <c r="G19" s="76" t="str">
        <f>IF(ISBLANK('Credit Instruction Record'!C39),"",'Credit Instruction Record'!C39)</f>
        <v>EUR</v>
      </c>
      <c r="H19" s="82" t="str">
        <f>IF(ISBLANK('Credit Instruction Record'!D39),"",'Credit Instruction Record'!D39)</f>
        <v/>
      </c>
      <c r="I19" s="76" t="str">
        <f>IF(ISBLANK('Credit Instruction Record'!E39),"",'Credit Instruction Record'!E39)</f>
        <v/>
      </c>
      <c r="J19" s="76" t="str">
        <f>IF(ISBLANK('Credit Instruction Record'!F39),"",'Credit Instruction Record'!F39)</f>
        <v/>
      </c>
      <c r="K19" s="76" t="str">
        <f>IF(ISBLANK('Credit Instruction Record'!G39),"",'Credit Instruction Record'!G39)</f>
        <v/>
      </c>
      <c r="L19" s="76" t="str">
        <f>IF(ISBLANK('Credit Instruction Record'!H39),"",'Credit Instruction Record'!H39)</f>
        <v/>
      </c>
      <c r="M19" s="76" t="str">
        <f>IF(ISBLANK('Credit Instruction Record'!I39),"",'Credit Instruction Record'!I39)</f>
        <v/>
      </c>
      <c r="N19" s="76" t="str">
        <f>IF(ISBLANK('Credit Instruction Record'!J39),"",'Credit Instruction Record'!J39)</f>
        <v>SUPP</v>
      </c>
      <c r="O19" s="76" t="str">
        <f>IF(ISBLANK('Credit Instruction Record'!K39),"",'Credit Instruction Record'!K39)</f>
        <v/>
      </c>
      <c r="P19" s="87" t="b">
        <f t="shared" si="0"/>
        <v>1</v>
      </c>
      <c r="R19" s="109"/>
      <c r="S19" s="110"/>
      <c r="T19" s="110"/>
      <c r="U19" s="110"/>
      <c r="V19" s="110"/>
      <c r="W19" s="110"/>
      <c r="X19" s="111"/>
    </row>
    <row r="20" spans="3:24" x14ac:dyDescent="0.25">
      <c r="C20" s="40"/>
      <c r="D20" s="75">
        <v>19</v>
      </c>
      <c r="E20" s="76" t="str">
        <f>IF(ISBLANK('Credit Instruction Record'!A41),"",'Credit Instruction Record'!A41)</f>
        <v/>
      </c>
      <c r="F20" s="76" t="str">
        <f>IF(ISBLANK('Credit Instruction Record'!B41),"",'Credit Instruction Record'!B41)</f>
        <v/>
      </c>
      <c r="G20" s="76" t="str">
        <f>IF(ISBLANK('Credit Instruction Record'!C41),"",'Credit Instruction Record'!C41)</f>
        <v>EUR</v>
      </c>
      <c r="H20" s="82" t="str">
        <f>IF(ISBLANK('Credit Instruction Record'!D41),"",'Credit Instruction Record'!D41)</f>
        <v/>
      </c>
      <c r="I20" s="76" t="str">
        <f>IF(ISBLANK('Credit Instruction Record'!E41),"",'Credit Instruction Record'!E41)</f>
        <v/>
      </c>
      <c r="J20" s="76" t="str">
        <f>IF(ISBLANK('Credit Instruction Record'!F41),"",'Credit Instruction Record'!F41)</f>
        <v/>
      </c>
      <c r="K20" s="76" t="str">
        <f>IF(ISBLANK('Credit Instruction Record'!G41),"",'Credit Instruction Record'!G41)</f>
        <v/>
      </c>
      <c r="L20" s="76" t="str">
        <f>IF(ISBLANK('Credit Instruction Record'!H41),"",'Credit Instruction Record'!H41)</f>
        <v/>
      </c>
      <c r="M20" s="76" t="str">
        <f>IF(ISBLANK('Credit Instruction Record'!I41),"",'Credit Instruction Record'!I41)</f>
        <v/>
      </c>
      <c r="N20" s="76" t="str">
        <f>IF(ISBLANK('Credit Instruction Record'!J41),"",'Credit Instruction Record'!J41)</f>
        <v>SUPP</v>
      </c>
      <c r="O20" s="76" t="str">
        <f>IF(ISBLANK('Credit Instruction Record'!K41),"",'Credit Instruction Record'!K41)</f>
        <v/>
      </c>
      <c r="P20" s="87" t="b">
        <f t="shared" si="0"/>
        <v>1</v>
      </c>
      <c r="R20" s="109"/>
      <c r="S20" s="110"/>
      <c r="T20" s="110"/>
      <c r="U20" s="110"/>
      <c r="V20" s="110"/>
      <c r="W20" s="110"/>
      <c r="X20" s="111"/>
    </row>
    <row r="21" spans="3:24" x14ac:dyDescent="0.25">
      <c r="C21" s="40"/>
      <c r="D21" s="75">
        <v>20</v>
      </c>
      <c r="E21" s="76" t="str">
        <f>IF(ISBLANK('Credit Instruction Record'!A43),"",'Credit Instruction Record'!A43)</f>
        <v/>
      </c>
      <c r="F21" s="76" t="str">
        <f>IF(ISBLANK('Credit Instruction Record'!B43),"",'Credit Instruction Record'!B43)</f>
        <v/>
      </c>
      <c r="G21" s="76" t="str">
        <f>IF(ISBLANK('Credit Instruction Record'!C43),"",'Credit Instruction Record'!C43)</f>
        <v>EUR</v>
      </c>
      <c r="H21" s="82" t="str">
        <f>IF(ISBLANK('Credit Instruction Record'!D43),"",'Credit Instruction Record'!D43)</f>
        <v/>
      </c>
      <c r="I21" s="76" t="str">
        <f>IF(ISBLANK('Credit Instruction Record'!E43),"",'Credit Instruction Record'!E43)</f>
        <v/>
      </c>
      <c r="J21" s="76" t="str">
        <f>IF(ISBLANK('Credit Instruction Record'!F43),"",'Credit Instruction Record'!F43)</f>
        <v/>
      </c>
      <c r="K21" s="76" t="str">
        <f>IF(ISBLANK('Credit Instruction Record'!G43),"",'Credit Instruction Record'!G43)</f>
        <v/>
      </c>
      <c r="L21" s="76" t="str">
        <f>IF(ISBLANK('Credit Instruction Record'!H43),"",'Credit Instruction Record'!H43)</f>
        <v/>
      </c>
      <c r="M21" s="76" t="str">
        <f>IF(ISBLANK('Credit Instruction Record'!I43),"",'Credit Instruction Record'!I43)</f>
        <v/>
      </c>
      <c r="N21" s="76" t="str">
        <f>IF(ISBLANK('Credit Instruction Record'!J43),"",'Credit Instruction Record'!J43)</f>
        <v>SUPP</v>
      </c>
      <c r="O21" s="76" t="str">
        <f>IF(ISBLANK('Credit Instruction Record'!K43),"",'Credit Instruction Record'!K43)</f>
        <v/>
      </c>
      <c r="P21" s="87" t="b">
        <f t="shared" si="0"/>
        <v>1</v>
      </c>
      <c r="R21" s="109"/>
      <c r="S21" s="110"/>
      <c r="T21" s="110"/>
      <c r="U21" s="110"/>
      <c r="V21" s="110"/>
      <c r="W21" s="110"/>
      <c r="X21" s="111"/>
    </row>
    <row r="22" spans="3:24" x14ac:dyDescent="0.25">
      <c r="C22" s="40"/>
      <c r="D22" s="75">
        <v>21</v>
      </c>
      <c r="E22" s="76" t="str">
        <f>IF(ISBLANK('Credit Instruction Record'!A45),"",'Credit Instruction Record'!A45)</f>
        <v/>
      </c>
      <c r="F22" s="76" t="str">
        <f>IF(ISBLANK('Credit Instruction Record'!B45),"",'Credit Instruction Record'!B45)</f>
        <v/>
      </c>
      <c r="G22" s="76" t="str">
        <f>IF(ISBLANK('Credit Instruction Record'!C45),"",'Credit Instruction Record'!C45)</f>
        <v>EUR</v>
      </c>
      <c r="H22" s="82" t="str">
        <f>IF(ISBLANK('Credit Instruction Record'!D45),"",'Credit Instruction Record'!D45)</f>
        <v/>
      </c>
      <c r="I22" s="76" t="str">
        <f>IF(ISBLANK('Credit Instruction Record'!E45),"",'Credit Instruction Record'!E45)</f>
        <v/>
      </c>
      <c r="J22" s="76" t="str">
        <f>IF(ISBLANK('Credit Instruction Record'!F45),"",'Credit Instruction Record'!F45)</f>
        <v/>
      </c>
      <c r="K22" s="76" t="str">
        <f>IF(ISBLANK('Credit Instruction Record'!G45),"",'Credit Instruction Record'!G45)</f>
        <v/>
      </c>
      <c r="L22" s="76" t="str">
        <f>IF(ISBLANK('Credit Instruction Record'!H45),"",'Credit Instruction Record'!H45)</f>
        <v/>
      </c>
      <c r="M22" s="76" t="str">
        <f>IF(ISBLANK('Credit Instruction Record'!I45),"",'Credit Instruction Record'!I45)</f>
        <v/>
      </c>
      <c r="N22" s="76" t="str">
        <f>IF(ISBLANK('Credit Instruction Record'!J45),"",'Credit Instruction Record'!J45)</f>
        <v>SUPP</v>
      </c>
      <c r="O22" s="76" t="str">
        <f>IF(ISBLANK('Credit Instruction Record'!K45),"",'Credit Instruction Record'!K45)</f>
        <v/>
      </c>
      <c r="P22" s="87" t="b">
        <f t="shared" si="0"/>
        <v>1</v>
      </c>
      <c r="R22" s="109"/>
      <c r="S22" s="110"/>
      <c r="T22" s="110"/>
      <c r="U22" s="110"/>
      <c r="V22" s="110"/>
      <c r="W22" s="110"/>
      <c r="X22" s="111"/>
    </row>
    <row r="23" spans="3:24" x14ac:dyDescent="0.25">
      <c r="C23" s="40"/>
      <c r="D23" s="75">
        <v>22</v>
      </c>
      <c r="E23" s="76" t="str">
        <f>IF(ISBLANK('Credit Instruction Record'!A47),"",'Credit Instruction Record'!A47)</f>
        <v/>
      </c>
      <c r="F23" s="76" t="str">
        <f>IF(ISBLANK('Credit Instruction Record'!B47),"",'Credit Instruction Record'!B47)</f>
        <v/>
      </c>
      <c r="G23" s="76" t="str">
        <f>IF(ISBLANK('Credit Instruction Record'!C47),"",'Credit Instruction Record'!C47)</f>
        <v>EUR</v>
      </c>
      <c r="H23" s="82" t="str">
        <f>IF(ISBLANK('Credit Instruction Record'!D47),"",'Credit Instruction Record'!D47)</f>
        <v/>
      </c>
      <c r="I23" s="76" t="str">
        <f>IF(ISBLANK('Credit Instruction Record'!E47),"",'Credit Instruction Record'!E47)</f>
        <v/>
      </c>
      <c r="J23" s="76" t="str">
        <f>IF(ISBLANK('Credit Instruction Record'!F47),"",'Credit Instruction Record'!F47)</f>
        <v/>
      </c>
      <c r="K23" s="76" t="str">
        <f>IF(ISBLANK('Credit Instruction Record'!G47),"",'Credit Instruction Record'!G47)</f>
        <v/>
      </c>
      <c r="L23" s="76" t="str">
        <f>IF(ISBLANK('Credit Instruction Record'!H47),"",'Credit Instruction Record'!H47)</f>
        <v/>
      </c>
      <c r="M23" s="76" t="str">
        <f>IF(ISBLANK('Credit Instruction Record'!I47),"",'Credit Instruction Record'!I47)</f>
        <v/>
      </c>
      <c r="N23" s="76" t="str">
        <f>IF(ISBLANK('Credit Instruction Record'!J47),"",'Credit Instruction Record'!J47)</f>
        <v>SUPP</v>
      </c>
      <c r="O23" s="76" t="str">
        <f>IF(ISBLANK('Credit Instruction Record'!K47),"",'Credit Instruction Record'!K47)</f>
        <v/>
      </c>
      <c r="P23" s="87" t="b">
        <f t="shared" si="0"/>
        <v>1</v>
      </c>
      <c r="R23" s="109"/>
      <c r="S23" s="110"/>
      <c r="T23" s="110"/>
      <c r="U23" s="110"/>
      <c r="V23" s="110"/>
      <c r="W23" s="110"/>
      <c r="X23" s="111"/>
    </row>
    <row r="24" spans="3:24" x14ac:dyDescent="0.25">
      <c r="C24" s="40"/>
      <c r="D24" s="75">
        <v>23</v>
      </c>
      <c r="E24" s="76" t="str">
        <f>IF(ISBLANK('Credit Instruction Record'!A49),"",'Credit Instruction Record'!A49)</f>
        <v/>
      </c>
      <c r="F24" s="76" t="str">
        <f>IF(ISBLANK('Credit Instruction Record'!B49),"",'Credit Instruction Record'!B49)</f>
        <v/>
      </c>
      <c r="G24" s="76" t="str">
        <f>IF(ISBLANK('Credit Instruction Record'!C49),"",'Credit Instruction Record'!C49)</f>
        <v>EUR</v>
      </c>
      <c r="H24" s="82" t="str">
        <f>IF(ISBLANK('Credit Instruction Record'!D49),"",'Credit Instruction Record'!D49)</f>
        <v/>
      </c>
      <c r="I24" s="76" t="str">
        <f>IF(ISBLANK('Credit Instruction Record'!E49),"",'Credit Instruction Record'!E49)</f>
        <v/>
      </c>
      <c r="J24" s="76" t="str">
        <f>IF(ISBLANK('Credit Instruction Record'!F49),"",'Credit Instruction Record'!F49)</f>
        <v/>
      </c>
      <c r="K24" s="76" t="str">
        <f>IF(ISBLANK('Credit Instruction Record'!G49),"",'Credit Instruction Record'!G49)</f>
        <v/>
      </c>
      <c r="L24" s="76" t="str">
        <f>IF(ISBLANK('Credit Instruction Record'!H49),"",'Credit Instruction Record'!H49)</f>
        <v/>
      </c>
      <c r="M24" s="76" t="str">
        <f>IF(ISBLANK('Credit Instruction Record'!I49),"",'Credit Instruction Record'!I49)</f>
        <v/>
      </c>
      <c r="N24" s="76" t="str">
        <f>IF(ISBLANK('Credit Instruction Record'!J49),"",'Credit Instruction Record'!J49)</f>
        <v>SUPP</v>
      </c>
      <c r="O24" s="76" t="str">
        <f>IF(ISBLANK('Credit Instruction Record'!K49),"",'Credit Instruction Record'!K49)</f>
        <v/>
      </c>
      <c r="P24" s="87" t="b">
        <f t="shared" si="0"/>
        <v>1</v>
      </c>
      <c r="R24" s="109"/>
      <c r="S24" s="110"/>
      <c r="T24" s="110"/>
      <c r="U24" s="110"/>
      <c r="V24" s="110"/>
      <c r="W24" s="110"/>
      <c r="X24" s="111"/>
    </row>
    <row r="25" spans="3:24" x14ac:dyDescent="0.25">
      <c r="C25" s="40"/>
      <c r="D25" s="75">
        <v>24</v>
      </c>
      <c r="E25" s="76" t="str">
        <f>IF(ISBLANK('Credit Instruction Record'!A51),"",'Credit Instruction Record'!A51)</f>
        <v/>
      </c>
      <c r="F25" s="76" t="str">
        <f>IF(ISBLANK('Credit Instruction Record'!B51),"",'Credit Instruction Record'!B51)</f>
        <v/>
      </c>
      <c r="G25" s="76" t="str">
        <f>IF(ISBLANK('Credit Instruction Record'!C51),"",'Credit Instruction Record'!C51)</f>
        <v>EUR</v>
      </c>
      <c r="H25" s="82" t="str">
        <f>IF(ISBLANK('Credit Instruction Record'!D51),"",'Credit Instruction Record'!D51)</f>
        <v/>
      </c>
      <c r="I25" s="76" t="str">
        <f>IF(ISBLANK('Credit Instruction Record'!E51),"",'Credit Instruction Record'!E51)</f>
        <v/>
      </c>
      <c r="J25" s="76" t="str">
        <f>IF(ISBLANK('Credit Instruction Record'!F51),"",'Credit Instruction Record'!F51)</f>
        <v/>
      </c>
      <c r="K25" s="76" t="str">
        <f>IF(ISBLANK('Credit Instruction Record'!G51),"",'Credit Instruction Record'!G51)</f>
        <v/>
      </c>
      <c r="L25" s="76" t="str">
        <f>IF(ISBLANK('Credit Instruction Record'!H51),"",'Credit Instruction Record'!H51)</f>
        <v/>
      </c>
      <c r="M25" s="76" t="str">
        <f>IF(ISBLANK('Credit Instruction Record'!I51),"",'Credit Instruction Record'!I51)</f>
        <v/>
      </c>
      <c r="N25" s="76" t="str">
        <f>IF(ISBLANK('Credit Instruction Record'!J51),"",'Credit Instruction Record'!J51)</f>
        <v>SUPP</v>
      </c>
      <c r="O25" s="76" t="str">
        <f>IF(ISBLANK('Credit Instruction Record'!K51),"",'Credit Instruction Record'!K51)</f>
        <v/>
      </c>
      <c r="P25" s="87" t="b">
        <f t="shared" si="0"/>
        <v>1</v>
      </c>
      <c r="R25" s="109"/>
      <c r="S25" s="110"/>
      <c r="T25" s="110"/>
      <c r="U25" s="110"/>
      <c r="V25" s="110"/>
      <c r="W25" s="110"/>
      <c r="X25" s="111"/>
    </row>
    <row r="26" spans="3:24" x14ac:dyDescent="0.25">
      <c r="C26" s="40"/>
      <c r="D26" s="75">
        <v>25</v>
      </c>
      <c r="E26" s="76" t="str">
        <f>IF(ISBLANK('Credit Instruction Record'!A53),"",'Credit Instruction Record'!A53)</f>
        <v/>
      </c>
      <c r="F26" s="76" t="str">
        <f>IF(ISBLANK('Credit Instruction Record'!B53),"",'Credit Instruction Record'!B53)</f>
        <v/>
      </c>
      <c r="G26" s="76" t="str">
        <f>IF(ISBLANK('Credit Instruction Record'!C53),"",'Credit Instruction Record'!C53)</f>
        <v>EUR</v>
      </c>
      <c r="H26" s="82" t="str">
        <f>IF(ISBLANK('Credit Instruction Record'!D53),"",'Credit Instruction Record'!D53)</f>
        <v/>
      </c>
      <c r="I26" s="76" t="str">
        <f>IF(ISBLANK('Credit Instruction Record'!E53),"",'Credit Instruction Record'!E53)</f>
        <v/>
      </c>
      <c r="J26" s="76" t="str">
        <f>IF(ISBLANK('Credit Instruction Record'!F53),"",'Credit Instruction Record'!F53)</f>
        <v/>
      </c>
      <c r="K26" s="76" t="str">
        <f>IF(ISBLANK('Credit Instruction Record'!G53),"",'Credit Instruction Record'!G53)</f>
        <v/>
      </c>
      <c r="L26" s="76" t="str">
        <f>IF(ISBLANK('Credit Instruction Record'!H53),"",'Credit Instruction Record'!H53)</f>
        <v/>
      </c>
      <c r="M26" s="76" t="str">
        <f>IF(ISBLANK('Credit Instruction Record'!I53),"",'Credit Instruction Record'!I53)</f>
        <v/>
      </c>
      <c r="N26" s="76" t="str">
        <f>IF(ISBLANK('Credit Instruction Record'!J53),"",'Credit Instruction Record'!J53)</f>
        <v>SUPP</v>
      </c>
      <c r="O26" s="76" t="str">
        <f>IF(ISBLANK('Credit Instruction Record'!K53),"",'Credit Instruction Record'!K53)</f>
        <v/>
      </c>
      <c r="P26" s="87" t="b">
        <f t="shared" si="0"/>
        <v>1</v>
      </c>
      <c r="R26" s="109"/>
      <c r="S26" s="110"/>
      <c r="T26" s="110"/>
      <c r="U26" s="110"/>
      <c r="V26" s="110"/>
      <c r="W26" s="110"/>
      <c r="X26" s="111"/>
    </row>
    <row r="27" spans="3:24" x14ac:dyDescent="0.25">
      <c r="C27" s="40"/>
      <c r="D27" s="75">
        <v>26</v>
      </c>
      <c r="E27" s="76" t="str">
        <f>IF(ISBLANK('Credit Instruction Record'!A55),"",'Credit Instruction Record'!A55)</f>
        <v/>
      </c>
      <c r="F27" s="76" t="str">
        <f>IF(ISBLANK('Credit Instruction Record'!B55),"",'Credit Instruction Record'!B55)</f>
        <v/>
      </c>
      <c r="G27" s="76" t="str">
        <f>IF(ISBLANK('Credit Instruction Record'!C55),"",'Credit Instruction Record'!C55)</f>
        <v>EUR</v>
      </c>
      <c r="H27" s="82" t="str">
        <f>IF(ISBLANK('Credit Instruction Record'!D55),"",'Credit Instruction Record'!D55)</f>
        <v/>
      </c>
      <c r="I27" s="76" t="str">
        <f>IF(ISBLANK('Credit Instruction Record'!E55),"",'Credit Instruction Record'!E55)</f>
        <v/>
      </c>
      <c r="J27" s="76" t="str">
        <f>IF(ISBLANK('Credit Instruction Record'!F55),"",'Credit Instruction Record'!F55)</f>
        <v/>
      </c>
      <c r="K27" s="76" t="str">
        <f>IF(ISBLANK('Credit Instruction Record'!G55),"",'Credit Instruction Record'!G55)</f>
        <v/>
      </c>
      <c r="L27" s="76" t="str">
        <f>IF(ISBLANK('Credit Instruction Record'!H55),"",'Credit Instruction Record'!H55)</f>
        <v/>
      </c>
      <c r="M27" s="76" t="str">
        <f>IF(ISBLANK('Credit Instruction Record'!I55),"",'Credit Instruction Record'!I55)</f>
        <v/>
      </c>
      <c r="N27" s="76" t="str">
        <f>IF(ISBLANK('Credit Instruction Record'!J55),"",'Credit Instruction Record'!J55)</f>
        <v>SUPP</v>
      </c>
      <c r="O27" s="76" t="str">
        <f>IF(ISBLANK('Credit Instruction Record'!K55),"",'Credit Instruction Record'!K55)</f>
        <v/>
      </c>
      <c r="P27" s="87" t="b">
        <f t="shared" si="0"/>
        <v>1</v>
      </c>
      <c r="R27" s="109"/>
      <c r="S27" s="110"/>
      <c r="T27" s="110"/>
      <c r="U27" s="110"/>
      <c r="V27" s="110"/>
      <c r="W27" s="110"/>
      <c r="X27" s="111"/>
    </row>
    <row r="28" spans="3:24" ht="15.75" thickBot="1" x14ac:dyDescent="0.3">
      <c r="C28" s="40"/>
      <c r="D28" s="75">
        <v>27</v>
      </c>
      <c r="E28" s="76" t="str">
        <f>IF(ISBLANK('Credit Instruction Record'!A57),"",'Credit Instruction Record'!A57)</f>
        <v/>
      </c>
      <c r="F28" s="76" t="str">
        <f>IF(ISBLANK('Credit Instruction Record'!B57),"",'Credit Instruction Record'!B57)</f>
        <v/>
      </c>
      <c r="G28" s="76" t="str">
        <f>IF(ISBLANK('Credit Instruction Record'!C57),"",'Credit Instruction Record'!C57)</f>
        <v>EUR</v>
      </c>
      <c r="H28" s="82" t="str">
        <f>IF(ISBLANK('Credit Instruction Record'!D57),"",'Credit Instruction Record'!D57)</f>
        <v/>
      </c>
      <c r="I28" s="76" t="str">
        <f>IF(ISBLANK('Credit Instruction Record'!E57),"",'Credit Instruction Record'!E57)</f>
        <v/>
      </c>
      <c r="J28" s="76" t="str">
        <f>IF(ISBLANK('Credit Instruction Record'!F57),"",'Credit Instruction Record'!F57)</f>
        <v/>
      </c>
      <c r="K28" s="76" t="str">
        <f>IF(ISBLANK('Credit Instruction Record'!G57),"",'Credit Instruction Record'!G57)</f>
        <v/>
      </c>
      <c r="L28" s="76" t="str">
        <f>IF(ISBLANK('Credit Instruction Record'!H57),"",'Credit Instruction Record'!H57)</f>
        <v/>
      </c>
      <c r="M28" s="76" t="str">
        <f>IF(ISBLANK('Credit Instruction Record'!I57),"",'Credit Instruction Record'!I57)</f>
        <v/>
      </c>
      <c r="N28" s="76" t="str">
        <f>IF(ISBLANK('Credit Instruction Record'!J57),"",'Credit Instruction Record'!J57)</f>
        <v>SUPP</v>
      </c>
      <c r="O28" s="76" t="str">
        <f>IF(ISBLANK('Credit Instruction Record'!K57),"",'Credit Instruction Record'!K57)</f>
        <v/>
      </c>
      <c r="P28" s="87" t="b">
        <f t="shared" si="0"/>
        <v>1</v>
      </c>
      <c r="R28" s="112"/>
      <c r="S28" s="113"/>
      <c r="T28" s="113"/>
      <c r="U28" s="113"/>
      <c r="V28" s="113"/>
      <c r="W28" s="113"/>
      <c r="X28" s="114"/>
    </row>
    <row r="29" spans="3:24" ht="15" customHeight="1" x14ac:dyDescent="0.25">
      <c r="C29" s="40"/>
      <c r="D29" s="75">
        <v>28</v>
      </c>
      <c r="E29" s="76" t="str">
        <f>IF(ISBLANK('Credit Instruction Record'!A59),"",'Credit Instruction Record'!A59)</f>
        <v/>
      </c>
      <c r="F29" s="76" t="str">
        <f>IF(ISBLANK('Credit Instruction Record'!B59),"",'Credit Instruction Record'!B59)</f>
        <v/>
      </c>
      <c r="G29" s="76" t="str">
        <f>IF(ISBLANK('Credit Instruction Record'!C59),"",'Credit Instruction Record'!C59)</f>
        <v>EUR</v>
      </c>
      <c r="H29" s="82" t="str">
        <f>IF(ISBLANK('Credit Instruction Record'!D59),"",'Credit Instruction Record'!D59)</f>
        <v/>
      </c>
      <c r="I29" s="76" t="str">
        <f>IF(ISBLANK('Credit Instruction Record'!E59),"",'Credit Instruction Record'!E59)</f>
        <v/>
      </c>
      <c r="J29" s="76" t="str">
        <f>IF(ISBLANK('Credit Instruction Record'!F59),"",'Credit Instruction Record'!F59)</f>
        <v/>
      </c>
      <c r="K29" s="76" t="str">
        <f>IF(ISBLANK('Credit Instruction Record'!G59),"",'Credit Instruction Record'!G59)</f>
        <v/>
      </c>
      <c r="L29" s="76" t="str">
        <f>IF(ISBLANK('Credit Instruction Record'!H59),"",'Credit Instruction Record'!H59)</f>
        <v/>
      </c>
      <c r="M29" s="76" t="str">
        <f>IF(ISBLANK('Credit Instruction Record'!I59),"",'Credit Instruction Record'!I59)</f>
        <v/>
      </c>
      <c r="N29" s="76" t="str">
        <f>IF(ISBLANK('Credit Instruction Record'!J59),"",'Credit Instruction Record'!J59)</f>
        <v>SUPP</v>
      </c>
      <c r="O29" s="76" t="str">
        <f>IF(ISBLANK('Credit Instruction Record'!K59),"",'Credit Instruction Record'!K59)</f>
        <v/>
      </c>
      <c r="P29" s="87" t="b">
        <f t="shared" si="0"/>
        <v>1</v>
      </c>
    </row>
    <row r="30" spans="3:24" x14ac:dyDescent="0.25">
      <c r="C30" s="40"/>
      <c r="D30" s="75">
        <v>29</v>
      </c>
      <c r="E30" s="76" t="str">
        <f>IF(ISBLANK('Credit Instruction Record'!A61),"",'Credit Instruction Record'!A61)</f>
        <v/>
      </c>
      <c r="F30" s="76" t="str">
        <f>IF(ISBLANK('Credit Instruction Record'!B61),"",'Credit Instruction Record'!B61)</f>
        <v/>
      </c>
      <c r="G30" s="76" t="str">
        <f>IF(ISBLANK('Credit Instruction Record'!C61),"",'Credit Instruction Record'!C61)</f>
        <v>EUR</v>
      </c>
      <c r="H30" s="82" t="str">
        <f>IF(ISBLANK('Credit Instruction Record'!D61),"",'Credit Instruction Record'!D61)</f>
        <v/>
      </c>
      <c r="I30" s="76" t="str">
        <f>IF(ISBLANK('Credit Instruction Record'!E61),"",'Credit Instruction Record'!E61)</f>
        <v/>
      </c>
      <c r="J30" s="76" t="str">
        <f>IF(ISBLANK('Credit Instruction Record'!F61),"",'Credit Instruction Record'!F61)</f>
        <v/>
      </c>
      <c r="K30" s="76" t="str">
        <f>IF(ISBLANK('Credit Instruction Record'!G61),"",'Credit Instruction Record'!G61)</f>
        <v/>
      </c>
      <c r="L30" s="76" t="str">
        <f>IF(ISBLANK('Credit Instruction Record'!H61),"",'Credit Instruction Record'!H61)</f>
        <v/>
      </c>
      <c r="M30" s="76" t="str">
        <f>IF(ISBLANK('Credit Instruction Record'!I61),"",'Credit Instruction Record'!I61)</f>
        <v/>
      </c>
      <c r="N30" s="76" t="str">
        <f>IF(ISBLANK('Credit Instruction Record'!J61),"",'Credit Instruction Record'!J61)</f>
        <v>SUPP</v>
      </c>
      <c r="O30" s="76" t="str">
        <f>IF(ISBLANK('Credit Instruction Record'!K61),"",'Credit Instruction Record'!K61)</f>
        <v/>
      </c>
      <c r="P30" s="87" t="b">
        <f t="shared" si="0"/>
        <v>1</v>
      </c>
    </row>
    <row r="31" spans="3:24" x14ac:dyDescent="0.25">
      <c r="C31" s="40"/>
      <c r="D31" s="75">
        <v>30</v>
      </c>
      <c r="E31" s="76" t="str">
        <f>IF(ISBLANK('Credit Instruction Record'!A63),"",'Credit Instruction Record'!A63)</f>
        <v/>
      </c>
      <c r="F31" s="76" t="str">
        <f>IF(ISBLANK('Credit Instruction Record'!B63),"",'Credit Instruction Record'!B63)</f>
        <v/>
      </c>
      <c r="G31" s="76" t="str">
        <f>IF(ISBLANK('Credit Instruction Record'!C63),"",'Credit Instruction Record'!C63)</f>
        <v>EUR</v>
      </c>
      <c r="H31" s="82" t="str">
        <f>IF(ISBLANK('Credit Instruction Record'!D63),"",'Credit Instruction Record'!D63)</f>
        <v/>
      </c>
      <c r="I31" s="76" t="str">
        <f>IF(ISBLANK('Credit Instruction Record'!E63),"",'Credit Instruction Record'!E63)</f>
        <v/>
      </c>
      <c r="J31" s="76" t="str">
        <f>IF(ISBLANK('Credit Instruction Record'!F63),"",'Credit Instruction Record'!F63)</f>
        <v/>
      </c>
      <c r="K31" s="76" t="str">
        <f>IF(ISBLANK('Credit Instruction Record'!G63),"",'Credit Instruction Record'!G63)</f>
        <v/>
      </c>
      <c r="L31" s="76" t="str">
        <f>IF(ISBLANK('Credit Instruction Record'!H63),"",'Credit Instruction Record'!H63)</f>
        <v/>
      </c>
      <c r="M31" s="76" t="str">
        <f>IF(ISBLANK('Credit Instruction Record'!I63),"",'Credit Instruction Record'!I63)</f>
        <v/>
      </c>
      <c r="N31" s="76" t="str">
        <f>IF(ISBLANK('Credit Instruction Record'!J63),"",'Credit Instruction Record'!J63)</f>
        <v>SUPP</v>
      </c>
      <c r="O31" s="76" t="str">
        <f>IF(ISBLANK('Credit Instruction Record'!K63),"",'Credit Instruction Record'!K63)</f>
        <v/>
      </c>
      <c r="P31" s="87" t="b">
        <f t="shared" si="0"/>
        <v>1</v>
      </c>
    </row>
    <row r="32" spans="3:24" x14ac:dyDescent="0.25">
      <c r="C32" s="40"/>
      <c r="D32" s="75">
        <v>31</v>
      </c>
      <c r="E32" s="76" t="str">
        <f>IF(ISBLANK('Credit Instruction Record'!A65),"",'Credit Instruction Record'!A65)</f>
        <v/>
      </c>
      <c r="F32" s="76" t="str">
        <f>IF(ISBLANK('Credit Instruction Record'!B65),"",'Credit Instruction Record'!B65)</f>
        <v/>
      </c>
      <c r="G32" s="76" t="str">
        <f>IF(ISBLANK('Credit Instruction Record'!C65),"",'Credit Instruction Record'!C65)</f>
        <v>EUR</v>
      </c>
      <c r="H32" s="82" t="str">
        <f>IF(ISBLANK('Credit Instruction Record'!D65),"",'Credit Instruction Record'!D65)</f>
        <v/>
      </c>
      <c r="I32" s="76" t="str">
        <f>IF(ISBLANK('Credit Instruction Record'!E65),"",'Credit Instruction Record'!E65)</f>
        <v/>
      </c>
      <c r="J32" s="76" t="str">
        <f>IF(ISBLANK('Credit Instruction Record'!F65),"",'Credit Instruction Record'!F65)</f>
        <v/>
      </c>
      <c r="K32" s="76" t="str">
        <f>IF(ISBLANK('Credit Instruction Record'!G65),"",'Credit Instruction Record'!G65)</f>
        <v/>
      </c>
      <c r="L32" s="76" t="str">
        <f>IF(ISBLANK('Credit Instruction Record'!H65),"",'Credit Instruction Record'!H65)</f>
        <v/>
      </c>
      <c r="M32" s="76" t="str">
        <f>IF(ISBLANK('Credit Instruction Record'!I65),"",'Credit Instruction Record'!I65)</f>
        <v/>
      </c>
      <c r="N32" s="76" t="str">
        <f>IF(ISBLANK('Credit Instruction Record'!J65),"",'Credit Instruction Record'!J65)</f>
        <v>SUPP</v>
      </c>
      <c r="O32" s="76" t="str">
        <f>IF(ISBLANK('Credit Instruction Record'!K65),"",'Credit Instruction Record'!K65)</f>
        <v/>
      </c>
      <c r="P32" s="87" t="b">
        <f t="shared" si="0"/>
        <v>1</v>
      </c>
    </row>
    <row r="33" spans="3:16" ht="15.75" thickBot="1" x14ac:dyDescent="0.3">
      <c r="C33" s="40"/>
      <c r="D33" s="77">
        <v>32</v>
      </c>
      <c r="E33" s="78" t="str">
        <f>IF(ISBLANK('Credit Instruction Record'!A67),"",'Credit Instruction Record'!A67)</f>
        <v/>
      </c>
      <c r="F33" s="78" t="str">
        <f>IF(ISBLANK('Credit Instruction Record'!B67),"",'Credit Instruction Record'!B67)</f>
        <v/>
      </c>
      <c r="G33" s="78" t="str">
        <f>IF(ISBLANK('Credit Instruction Record'!C67),"",'Credit Instruction Record'!C67)</f>
        <v>EUR</v>
      </c>
      <c r="H33" s="83" t="str">
        <f>IF(ISBLANK('Credit Instruction Record'!D67),"",'Credit Instruction Record'!D67)</f>
        <v/>
      </c>
      <c r="I33" s="78" t="str">
        <f>IF(ISBLANK('Credit Instruction Record'!E67),"",'Credit Instruction Record'!E67)</f>
        <v/>
      </c>
      <c r="J33" s="78" t="str">
        <f>IF(ISBLANK('Credit Instruction Record'!F67),"",'Credit Instruction Record'!F67)</f>
        <v/>
      </c>
      <c r="K33" s="78" t="str">
        <f>IF(ISBLANK('Credit Instruction Record'!G67),"",'Credit Instruction Record'!G67)</f>
        <v/>
      </c>
      <c r="L33" s="78" t="str">
        <f>IF(ISBLANK('Credit Instruction Record'!H67),"",'Credit Instruction Record'!H67)</f>
        <v/>
      </c>
      <c r="M33" s="78" t="str">
        <f>IF(ISBLANK('Credit Instruction Record'!I67),"",'Credit Instruction Record'!I67)</f>
        <v/>
      </c>
      <c r="N33" s="78" t="str">
        <f>IF(ISBLANK('Credit Instruction Record'!J67),"",'Credit Instruction Record'!J67)</f>
        <v>SUPP</v>
      </c>
      <c r="O33" s="78" t="str">
        <f>IF(ISBLANK('Credit Instruction Record'!K67),"",'Credit Instruction Record'!K67)</f>
        <v/>
      </c>
      <c r="P33" s="88" t="b">
        <f t="shared" si="0"/>
        <v>1</v>
      </c>
    </row>
    <row r="34" spans="3:16" x14ac:dyDescent="0.25">
      <c r="C34" s="40"/>
    </row>
    <row r="35" spans="3:16" x14ac:dyDescent="0.25">
      <c r="C35" s="40"/>
    </row>
    <row r="36" spans="3:16" x14ac:dyDescent="0.25">
      <c r="C36" s="40"/>
    </row>
    <row r="37" spans="3:16" x14ac:dyDescent="0.25">
      <c r="C37" s="40"/>
    </row>
    <row r="38" spans="3:16" x14ac:dyDescent="0.25">
      <c r="C38" s="40"/>
    </row>
    <row r="39" spans="3:16" x14ac:dyDescent="0.25">
      <c r="C39" s="40"/>
    </row>
    <row r="40" spans="3:16" x14ac:dyDescent="0.25">
      <c r="C40" s="40"/>
    </row>
    <row r="41" spans="3:16" x14ac:dyDescent="0.25">
      <c r="C41" s="40"/>
    </row>
    <row r="42" spans="3:16" x14ac:dyDescent="0.25">
      <c r="C42" s="40"/>
    </row>
    <row r="43" spans="3:16" x14ac:dyDescent="0.25">
      <c r="C43" s="40"/>
    </row>
    <row r="44" spans="3:16" x14ac:dyDescent="0.25">
      <c r="C44" s="40"/>
    </row>
    <row r="45" spans="3:16" x14ac:dyDescent="0.25">
      <c r="C45" s="40"/>
    </row>
    <row r="46" spans="3:16" x14ac:dyDescent="0.25">
      <c r="C46" s="40"/>
    </row>
    <row r="47" spans="3:16" x14ac:dyDescent="0.25">
      <c r="C47" s="40"/>
    </row>
    <row r="48" spans="3:16" x14ac:dyDescent="0.25">
      <c r="C48" s="40"/>
    </row>
    <row r="49" spans="3:3" x14ac:dyDescent="0.25">
      <c r="C49" s="40"/>
    </row>
    <row r="50" spans="3:3" x14ac:dyDescent="0.25">
      <c r="C50" s="40"/>
    </row>
    <row r="51" spans="3:3" x14ac:dyDescent="0.25">
      <c r="C51" s="40"/>
    </row>
    <row r="52" spans="3:3" x14ac:dyDescent="0.25">
      <c r="C52" s="40"/>
    </row>
    <row r="53" spans="3:3" x14ac:dyDescent="0.25">
      <c r="C53" s="40"/>
    </row>
    <row r="54" spans="3:3" x14ac:dyDescent="0.25">
      <c r="C54" s="40"/>
    </row>
    <row r="55" spans="3:3" x14ac:dyDescent="0.25">
      <c r="C55" s="40"/>
    </row>
    <row r="56" spans="3:3" x14ac:dyDescent="0.25">
      <c r="C56" s="40"/>
    </row>
    <row r="57" spans="3:3" x14ac:dyDescent="0.25">
      <c r="C57" s="40"/>
    </row>
    <row r="58" spans="3:3" x14ac:dyDescent="0.25">
      <c r="C58" s="40"/>
    </row>
    <row r="59" spans="3:3" x14ac:dyDescent="0.25">
      <c r="C59" s="40"/>
    </row>
    <row r="60" spans="3:3" x14ac:dyDescent="0.25">
      <c r="C60" s="40"/>
    </row>
    <row r="61" spans="3:3" x14ac:dyDescent="0.25">
      <c r="C61" s="40"/>
    </row>
    <row r="62" spans="3:3" x14ac:dyDescent="0.25">
      <c r="C62" s="40"/>
    </row>
    <row r="63" spans="3:3" x14ac:dyDescent="0.25">
      <c r="C63" s="40"/>
    </row>
    <row r="64" spans="3:3" x14ac:dyDescent="0.25">
      <c r="C64" s="40"/>
    </row>
    <row r="65" spans="1:3" x14ac:dyDescent="0.25">
      <c r="C65" s="40"/>
    </row>
    <row r="66" spans="1:3" x14ac:dyDescent="0.25">
      <c r="C66" s="40"/>
    </row>
    <row r="67" spans="1:3" x14ac:dyDescent="0.25">
      <c r="C67" s="40"/>
    </row>
    <row r="68" spans="1:3" x14ac:dyDescent="0.25">
      <c r="C68" s="40"/>
    </row>
    <row r="69" spans="1:3" x14ac:dyDescent="0.25">
      <c r="C69" s="40"/>
    </row>
    <row r="70" spans="1:3" x14ac:dyDescent="0.25">
      <c r="A70" s="40"/>
      <c r="B70" s="40"/>
      <c r="C70" s="40"/>
    </row>
    <row r="71" spans="1:3" x14ac:dyDescent="0.25">
      <c r="A71" s="40"/>
      <c r="B71" s="40"/>
      <c r="C71" s="40"/>
    </row>
    <row r="72" spans="1:3" x14ac:dyDescent="0.25">
      <c r="A72" s="40"/>
      <c r="B72" s="40"/>
      <c r="C72" s="40"/>
    </row>
    <row r="73" spans="1:3" x14ac:dyDescent="0.25">
      <c r="A73" s="40"/>
      <c r="B73" s="40"/>
      <c r="C73" s="40"/>
    </row>
    <row r="74" spans="1:3" x14ac:dyDescent="0.25">
      <c r="A74" s="40"/>
      <c r="B74" s="40"/>
      <c r="C74" s="40"/>
    </row>
    <row r="75" spans="1:3" x14ac:dyDescent="0.25">
      <c r="A75" s="40"/>
      <c r="B75" s="40"/>
      <c r="C75" s="40"/>
    </row>
    <row r="76" spans="1:3" x14ac:dyDescent="0.25">
      <c r="A76" s="40"/>
      <c r="B76" s="40"/>
      <c r="C76" s="40"/>
    </row>
    <row r="77" spans="1:3" x14ac:dyDescent="0.25">
      <c r="A77" s="40"/>
      <c r="B77" s="40"/>
      <c r="C77" s="40"/>
    </row>
    <row r="78" spans="1:3" x14ac:dyDescent="0.25">
      <c r="A78" s="40"/>
      <c r="B78" s="40"/>
      <c r="C78" s="40"/>
    </row>
    <row r="79" spans="1:3" x14ac:dyDescent="0.25">
      <c r="A79" s="40"/>
      <c r="B79" s="40"/>
      <c r="C79" s="40"/>
    </row>
    <row r="80" spans="1:3" x14ac:dyDescent="0.25">
      <c r="A80" s="40"/>
      <c r="B80" s="40"/>
      <c r="C80" s="40"/>
    </row>
    <row r="81" spans="1:3" x14ac:dyDescent="0.25">
      <c r="A81" s="40"/>
      <c r="B81" s="40"/>
      <c r="C81" s="40"/>
    </row>
    <row r="82" spans="1:3" x14ac:dyDescent="0.25">
      <c r="A82" s="40"/>
      <c r="B82" s="40"/>
      <c r="C82" s="40"/>
    </row>
    <row r="83" spans="1:3" x14ac:dyDescent="0.25">
      <c r="A83" s="40"/>
      <c r="B83" s="40"/>
      <c r="C83" s="40"/>
    </row>
    <row r="84" spans="1:3" x14ac:dyDescent="0.25">
      <c r="A84" s="40"/>
      <c r="B84" s="40"/>
      <c r="C84" s="40"/>
    </row>
    <row r="85" spans="1:3" x14ac:dyDescent="0.25">
      <c r="A85" s="40"/>
      <c r="B85" s="40"/>
      <c r="C85" s="40"/>
    </row>
    <row r="86" spans="1:3" x14ac:dyDescent="0.25">
      <c r="A86" s="40"/>
      <c r="B86" s="40"/>
      <c r="C86" s="40"/>
    </row>
    <row r="87" spans="1:3" x14ac:dyDescent="0.25">
      <c r="A87" s="40"/>
      <c r="B87" s="40"/>
      <c r="C87" s="40"/>
    </row>
    <row r="88" spans="1:3" x14ac:dyDescent="0.25">
      <c r="A88" s="40"/>
      <c r="B88" s="40"/>
      <c r="C88" s="40"/>
    </row>
    <row r="89" spans="1:3" x14ac:dyDescent="0.25">
      <c r="A89" s="40"/>
      <c r="B89" s="40"/>
      <c r="C89" s="40"/>
    </row>
    <row r="90" spans="1:3" x14ac:dyDescent="0.25">
      <c r="A90" s="40"/>
      <c r="B90" s="40"/>
      <c r="C90" s="40"/>
    </row>
    <row r="91" spans="1:3" x14ac:dyDescent="0.25">
      <c r="A91" s="40"/>
      <c r="B91" s="40"/>
      <c r="C91" s="40"/>
    </row>
    <row r="92" spans="1:3" x14ac:dyDescent="0.25">
      <c r="A92" s="40"/>
      <c r="B92" s="40"/>
      <c r="C92" s="40"/>
    </row>
    <row r="93" spans="1:3" x14ac:dyDescent="0.25">
      <c r="A93" s="40"/>
      <c r="B93" s="40"/>
      <c r="C93" s="40"/>
    </row>
    <row r="94" spans="1:3" x14ac:dyDescent="0.25">
      <c r="A94" s="40"/>
      <c r="B94" s="40"/>
      <c r="C94" s="40"/>
    </row>
    <row r="95" spans="1:3" x14ac:dyDescent="0.25">
      <c r="A95" s="40"/>
      <c r="B95" s="40"/>
      <c r="C95" s="40"/>
    </row>
    <row r="96" spans="1:3" x14ac:dyDescent="0.25">
      <c r="A96" s="40"/>
      <c r="B96" s="40"/>
      <c r="C96" s="40"/>
    </row>
    <row r="97" spans="1:3" x14ac:dyDescent="0.25">
      <c r="A97" s="40"/>
      <c r="B97" s="40"/>
      <c r="C97" s="40"/>
    </row>
    <row r="98" spans="1:3" x14ac:dyDescent="0.25">
      <c r="A98" s="40"/>
      <c r="B98" s="40"/>
      <c r="C98" s="40"/>
    </row>
    <row r="99" spans="1:3" x14ac:dyDescent="0.25">
      <c r="A99" s="40"/>
      <c r="B99" s="40"/>
      <c r="C99" s="40"/>
    </row>
    <row r="100" spans="1:3" x14ac:dyDescent="0.25">
      <c r="A100" s="40"/>
      <c r="B100" s="40"/>
      <c r="C100" s="40"/>
    </row>
    <row r="101" spans="1:3" x14ac:dyDescent="0.25">
      <c r="A101" s="40"/>
      <c r="B101" s="40"/>
      <c r="C101" s="40"/>
    </row>
    <row r="102" spans="1:3" x14ac:dyDescent="0.25">
      <c r="A102" s="40"/>
      <c r="B102" s="40"/>
      <c r="C102" s="40"/>
    </row>
    <row r="103" spans="1:3" x14ac:dyDescent="0.25">
      <c r="A103" s="40"/>
      <c r="B103" s="40"/>
      <c r="C103" s="40"/>
    </row>
    <row r="104" spans="1:3" x14ac:dyDescent="0.25">
      <c r="A104" s="40"/>
      <c r="B104" s="40"/>
      <c r="C104" s="40"/>
    </row>
    <row r="105" spans="1:3" x14ac:dyDescent="0.25">
      <c r="A105" s="40"/>
      <c r="B105" s="40"/>
      <c r="C105" s="40"/>
    </row>
    <row r="106" spans="1:3" x14ac:dyDescent="0.25">
      <c r="A106" s="40"/>
      <c r="B106" s="40"/>
      <c r="C106" s="40"/>
    </row>
    <row r="107" spans="1:3" x14ac:dyDescent="0.25">
      <c r="A107" s="40"/>
      <c r="B107" s="40"/>
      <c r="C107" s="40"/>
    </row>
    <row r="108" spans="1:3" x14ac:dyDescent="0.25">
      <c r="A108" s="40"/>
      <c r="B108" s="40"/>
      <c r="C108" s="40"/>
    </row>
    <row r="109" spans="1:3" x14ac:dyDescent="0.25">
      <c r="A109" s="40"/>
      <c r="B109" s="40"/>
      <c r="C109" s="40"/>
    </row>
    <row r="110" spans="1:3" x14ac:dyDescent="0.25">
      <c r="A110" s="40"/>
      <c r="B110" s="40"/>
      <c r="C110" s="40"/>
    </row>
    <row r="111" spans="1:3" x14ac:dyDescent="0.25">
      <c r="A111" s="40"/>
      <c r="B111" s="40"/>
      <c r="C111" s="40"/>
    </row>
    <row r="112" spans="1:3" x14ac:dyDescent="0.25">
      <c r="A112" s="40"/>
      <c r="B112" s="40"/>
      <c r="C112" s="40"/>
    </row>
    <row r="113" spans="1:3" x14ac:dyDescent="0.25">
      <c r="A113" s="40"/>
      <c r="B113" s="40"/>
      <c r="C113" s="40"/>
    </row>
    <row r="114" spans="1:3" x14ac:dyDescent="0.25">
      <c r="A114" s="40"/>
      <c r="B114" s="40"/>
      <c r="C114" s="40"/>
    </row>
    <row r="115" spans="1:3" x14ac:dyDescent="0.25">
      <c r="A115" s="40"/>
      <c r="B115" s="40"/>
      <c r="C115" s="40"/>
    </row>
    <row r="116" spans="1:3" x14ac:dyDescent="0.25">
      <c r="A116" s="40"/>
      <c r="B116" s="40"/>
      <c r="C116" s="40"/>
    </row>
    <row r="117" spans="1:3" x14ac:dyDescent="0.25">
      <c r="A117" s="40"/>
      <c r="B117" s="40"/>
      <c r="C117" s="40"/>
    </row>
    <row r="118" spans="1:3" x14ac:dyDescent="0.25">
      <c r="A118" s="40"/>
      <c r="B118" s="40"/>
      <c r="C118" s="40"/>
    </row>
    <row r="119" spans="1:3" x14ac:dyDescent="0.25">
      <c r="A119" s="40"/>
      <c r="B119" s="40"/>
      <c r="C119" s="40"/>
    </row>
    <row r="120" spans="1:3" x14ac:dyDescent="0.25">
      <c r="A120" s="40"/>
      <c r="B120" s="40"/>
      <c r="C120" s="40"/>
    </row>
    <row r="121" spans="1:3" x14ac:dyDescent="0.25">
      <c r="A121" s="40"/>
      <c r="B121" s="40"/>
      <c r="C121" s="40"/>
    </row>
    <row r="122" spans="1:3" x14ac:dyDescent="0.25">
      <c r="A122" s="40"/>
      <c r="B122" s="40"/>
      <c r="C122" s="40"/>
    </row>
    <row r="123" spans="1:3" x14ac:dyDescent="0.25">
      <c r="A123" s="40"/>
      <c r="B123" s="40"/>
      <c r="C123" s="40"/>
    </row>
    <row r="124" spans="1:3" x14ac:dyDescent="0.25">
      <c r="A124" s="40"/>
      <c r="B124" s="40"/>
      <c r="C124" s="40"/>
    </row>
    <row r="125" spans="1:3" x14ac:dyDescent="0.25">
      <c r="A125" s="40"/>
      <c r="B125" s="40"/>
      <c r="C125" s="40"/>
    </row>
    <row r="126" spans="1:3" x14ac:dyDescent="0.25">
      <c r="A126" s="40"/>
      <c r="B126" s="40"/>
      <c r="C126" s="40"/>
    </row>
    <row r="127" spans="1:3" x14ac:dyDescent="0.25">
      <c r="A127" s="40"/>
      <c r="B127" s="40"/>
      <c r="C127" s="40"/>
    </row>
    <row r="128" spans="1:3" x14ac:dyDescent="0.25">
      <c r="A128" s="40"/>
      <c r="B128" s="40"/>
      <c r="C128" s="40"/>
    </row>
    <row r="129" spans="1:3" x14ac:dyDescent="0.25">
      <c r="A129" s="40"/>
      <c r="B129" s="40"/>
      <c r="C129" s="40"/>
    </row>
    <row r="130" spans="1:3" x14ac:dyDescent="0.25">
      <c r="A130" s="40"/>
      <c r="B130" s="40"/>
      <c r="C130" s="40"/>
    </row>
    <row r="131" spans="1:3" x14ac:dyDescent="0.25">
      <c r="A131" s="40"/>
      <c r="B131" s="40"/>
      <c r="C131" s="40"/>
    </row>
    <row r="132" spans="1:3" x14ac:dyDescent="0.25">
      <c r="A132" s="40"/>
      <c r="B132" s="40"/>
      <c r="C132" s="40"/>
    </row>
    <row r="133" spans="1:3" x14ac:dyDescent="0.25">
      <c r="A133" s="40"/>
      <c r="B133" s="40"/>
      <c r="C133" s="40"/>
    </row>
    <row r="134" spans="1:3" x14ac:dyDescent="0.25">
      <c r="A134" s="40"/>
      <c r="B134" s="40"/>
      <c r="C134" s="40"/>
    </row>
    <row r="135" spans="1:3" x14ac:dyDescent="0.25">
      <c r="A135" s="40"/>
      <c r="B135" s="40"/>
      <c r="C135" s="40"/>
    </row>
    <row r="136" spans="1:3" x14ac:dyDescent="0.25">
      <c r="A136" s="40"/>
      <c r="B136" s="40"/>
      <c r="C136" s="40"/>
    </row>
    <row r="137" spans="1:3" x14ac:dyDescent="0.25">
      <c r="A137" s="40"/>
      <c r="B137" s="40"/>
      <c r="C137" s="40"/>
    </row>
    <row r="138" spans="1:3" x14ac:dyDescent="0.25">
      <c r="A138" s="40"/>
      <c r="B138" s="40"/>
      <c r="C138" s="40"/>
    </row>
    <row r="139" spans="1:3" x14ac:dyDescent="0.25">
      <c r="A139" s="40"/>
      <c r="B139" s="40"/>
      <c r="C139" s="40"/>
    </row>
    <row r="140" spans="1:3" x14ac:dyDescent="0.25">
      <c r="A140" s="40"/>
      <c r="B140" s="40"/>
      <c r="C140" s="40"/>
    </row>
    <row r="141" spans="1:3" x14ac:dyDescent="0.25">
      <c r="A141" s="40"/>
      <c r="B141" s="40"/>
      <c r="C141" s="40"/>
    </row>
    <row r="142" spans="1:3" x14ac:dyDescent="0.25">
      <c r="A142" s="40"/>
      <c r="B142" s="40"/>
      <c r="C142" s="40"/>
    </row>
    <row r="143" spans="1:3" x14ac:dyDescent="0.25">
      <c r="A143" s="40"/>
      <c r="B143" s="40"/>
      <c r="C143" s="40"/>
    </row>
    <row r="144" spans="1:3" x14ac:dyDescent="0.25">
      <c r="A144" s="40"/>
      <c r="B144" s="40"/>
      <c r="C144" s="40"/>
    </row>
    <row r="145" spans="1:3" x14ac:dyDescent="0.25">
      <c r="A145" s="40"/>
      <c r="B145" s="40"/>
      <c r="C145" s="40"/>
    </row>
    <row r="146" spans="1:3" x14ac:dyDescent="0.25">
      <c r="A146" s="40"/>
      <c r="B146" s="40"/>
      <c r="C146" s="40"/>
    </row>
    <row r="147" spans="1:3" x14ac:dyDescent="0.25">
      <c r="A147" s="40"/>
      <c r="B147" s="40"/>
      <c r="C147" s="40"/>
    </row>
    <row r="148" spans="1:3" x14ac:dyDescent="0.25">
      <c r="A148" s="40"/>
      <c r="B148" s="40"/>
      <c r="C148" s="40"/>
    </row>
    <row r="149" spans="1:3" x14ac:dyDescent="0.25">
      <c r="A149" s="40"/>
      <c r="B149" s="40"/>
      <c r="C149" s="40"/>
    </row>
    <row r="150" spans="1:3" x14ac:dyDescent="0.25">
      <c r="A150" s="40"/>
      <c r="B150" s="40"/>
      <c r="C150" s="40"/>
    </row>
    <row r="151" spans="1:3" x14ac:dyDescent="0.25">
      <c r="A151" s="40"/>
      <c r="B151" s="40"/>
      <c r="C151" s="40"/>
    </row>
    <row r="152" spans="1:3" x14ac:dyDescent="0.25">
      <c r="A152" s="40"/>
      <c r="B152" s="40"/>
      <c r="C152" s="40"/>
    </row>
    <row r="153" spans="1:3" x14ac:dyDescent="0.25">
      <c r="A153" s="40"/>
      <c r="B153" s="40"/>
      <c r="C153" s="40"/>
    </row>
    <row r="154" spans="1:3" x14ac:dyDescent="0.25">
      <c r="A154" s="40"/>
      <c r="B154" s="40"/>
      <c r="C154" s="40"/>
    </row>
    <row r="155" spans="1:3" x14ac:dyDescent="0.25">
      <c r="A155" s="40"/>
      <c r="B155" s="40"/>
      <c r="C155" s="40"/>
    </row>
    <row r="156" spans="1:3" x14ac:dyDescent="0.25">
      <c r="A156" s="40"/>
      <c r="B156" s="40"/>
      <c r="C156" s="40"/>
    </row>
    <row r="157" spans="1:3" x14ac:dyDescent="0.25">
      <c r="A157" s="40"/>
      <c r="B157" s="40"/>
      <c r="C157" s="40"/>
    </row>
    <row r="158" spans="1:3" x14ac:dyDescent="0.25">
      <c r="A158" s="40"/>
      <c r="B158" s="40"/>
      <c r="C158" s="40"/>
    </row>
    <row r="159" spans="1:3" x14ac:dyDescent="0.25">
      <c r="A159" s="40"/>
      <c r="B159" s="40"/>
      <c r="C159" s="40"/>
    </row>
    <row r="160" spans="1:3" x14ac:dyDescent="0.25">
      <c r="A160" s="40"/>
      <c r="B160" s="40"/>
      <c r="C160" s="40"/>
    </row>
    <row r="161" spans="1:3" x14ac:dyDescent="0.25">
      <c r="A161" s="40"/>
      <c r="B161" s="40"/>
      <c r="C161" s="40"/>
    </row>
    <row r="162" spans="1:3" x14ac:dyDescent="0.25">
      <c r="A162" s="40"/>
      <c r="B162" s="40"/>
      <c r="C162" s="40"/>
    </row>
    <row r="163" spans="1:3" x14ac:dyDescent="0.25">
      <c r="A163" s="40"/>
      <c r="B163" s="40"/>
      <c r="C163" s="40"/>
    </row>
    <row r="164" spans="1:3" x14ac:dyDescent="0.25">
      <c r="A164" s="40"/>
      <c r="B164" s="40"/>
      <c r="C164" s="40"/>
    </row>
    <row r="165" spans="1:3" x14ac:dyDescent="0.25">
      <c r="A165" s="40"/>
      <c r="B165" s="40"/>
      <c r="C165" s="40"/>
    </row>
    <row r="166" spans="1:3" x14ac:dyDescent="0.25">
      <c r="A166" s="40"/>
      <c r="B166" s="40"/>
      <c r="C166" s="40"/>
    </row>
    <row r="167" spans="1:3" x14ac:dyDescent="0.25">
      <c r="A167" s="40"/>
      <c r="B167" s="40"/>
      <c r="C167" s="40"/>
    </row>
    <row r="168" spans="1:3" x14ac:dyDescent="0.25">
      <c r="A168" s="40"/>
      <c r="B168" s="40"/>
      <c r="C168" s="40"/>
    </row>
    <row r="169" spans="1:3" x14ac:dyDescent="0.25">
      <c r="A169" s="40"/>
      <c r="B169" s="40"/>
      <c r="C169" s="40"/>
    </row>
    <row r="170" spans="1:3" x14ac:dyDescent="0.25">
      <c r="A170" s="40"/>
      <c r="B170" s="40"/>
      <c r="C170" s="40"/>
    </row>
    <row r="171" spans="1:3" x14ac:dyDescent="0.25">
      <c r="A171" s="40"/>
      <c r="B171" s="40"/>
      <c r="C171" s="40"/>
    </row>
    <row r="172" spans="1:3" x14ac:dyDescent="0.25">
      <c r="A172" s="40"/>
      <c r="B172" s="40"/>
      <c r="C172" s="40"/>
    </row>
    <row r="173" spans="1:3" x14ac:dyDescent="0.25">
      <c r="A173" s="40"/>
      <c r="B173" s="40"/>
      <c r="C173" s="40"/>
    </row>
    <row r="174" spans="1:3" x14ac:dyDescent="0.25">
      <c r="A174" s="40"/>
      <c r="B174" s="40"/>
      <c r="C174" s="40"/>
    </row>
    <row r="175" spans="1:3" x14ac:dyDescent="0.25">
      <c r="A175" s="40"/>
      <c r="B175" s="40"/>
      <c r="C175" s="40"/>
    </row>
    <row r="176" spans="1:3" x14ac:dyDescent="0.25">
      <c r="A176" s="40"/>
      <c r="B176" s="40"/>
      <c r="C176" s="40"/>
    </row>
    <row r="177" spans="1:3" x14ac:dyDescent="0.25">
      <c r="A177" s="40"/>
      <c r="B177" s="40"/>
      <c r="C177" s="40"/>
    </row>
    <row r="178" spans="1:3" x14ac:dyDescent="0.25">
      <c r="A178" s="40"/>
      <c r="B178" s="40"/>
      <c r="C178" s="40"/>
    </row>
    <row r="179" spans="1:3" x14ac:dyDescent="0.25">
      <c r="A179" s="40"/>
      <c r="B179" s="40"/>
      <c r="C179" s="40"/>
    </row>
    <row r="180" spans="1:3" x14ac:dyDescent="0.25">
      <c r="A180" s="40"/>
      <c r="B180" s="40"/>
      <c r="C180" s="40"/>
    </row>
    <row r="181" spans="1:3" x14ac:dyDescent="0.25">
      <c r="A181" s="40"/>
      <c r="B181" s="40"/>
      <c r="C181" s="40"/>
    </row>
    <row r="182" spans="1:3" x14ac:dyDescent="0.25">
      <c r="A182" s="40"/>
      <c r="B182" s="40"/>
      <c r="C182" s="40"/>
    </row>
    <row r="183" spans="1:3" x14ac:dyDescent="0.25">
      <c r="A183" s="40"/>
      <c r="B183" s="40"/>
      <c r="C183" s="40"/>
    </row>
    <row r="184" spans="1:3" x14ac:dyDescent="0.25">
      <c r="A184" s="40"/>
      <c r="B184" s="40"/>
      <c r="C184" s="40"/>
    </row>
    <row r="185" spans="1:3" x14ac:dyDescent="0.25">
      <c r="A185" s="40"/>
      <c r="B185" s="40"/>
      <c r="C185" s="40"/>
    </row>
    <row r="186" spans="1:3" x14ac:dyDescent="0.25">
      <c r="A186" s="40"/>
      <c r="B186" s="40"/>
      <c r="C186" s="40"/>
    </row>
    <row r="187" spans="1:3" x14ac:dyDescent="0.25">
      <c r="A187" s="40"/>
      <c r="B187" s="40"/>
      <c r="C187" s="40"/>
    </row>
    <row r="188" spans="1:3" x14ac:dyDescent="0.25">
      <c r="A188" s="40"/>
      <c r="B188" s="40"/>
      <c r="C188" s="40"/>
    </row>
    <row r="189" spans="1:3" x14ac:dyDescent="0.25">
      <c r="A189" s="40"/>
      <c r="B189" s="40"/>
      <c r="C189" s="40"/>
    </row>
    <row r="190" spans="1:3" x14ac:dyDescent="0.25">
      <c r="A190" s="40"/>
      <c r="B190" s="40"/>
      <c r="C190" s="40"/>
    </row>
    <row r="191" spans="1:3" x14ac:dyDescent="0.25">
      <c r="A191" s="40"/>
      <c r="B191" s="40"/>
      <c r="C191" s="40"/>
    </row>
    <row r="192" spans="1:3" x14ac:dyDescent="0.25">
      <c r="A192" s="40"/>
      <c r="B192" s="40"/>
      <c r="C192" s="40"/>
    </row>
    <row r="193" spans="1:3" x14ac:dyDescent="0.25">
      <c r="A193" s="40"/>
      <c r="B193" s="40"/>
      <c r="C193" s="40"/>
    </row>
    <row r="194" spans="1:3" x14ac:dyDescent="0.25">
      <c r="A194" s="40"/>
      <c r="B194" s="40"/>
      <c r="C194" s="40"/>
    </row>
    <row r="195" spans="1:3" x14ac:dyDescent="0.25">
      <c r="A195" s="40"/>
      <c r="B195" s="40"/>
      <c r="C195" s="40"/>
    </row>
    <row r="196" spans="1:3" x14ac:dyDescent="0.25">
      <c r="A196" s="40"/>
      <c r="B196" s="40"/>
      <c r="C196" s="40"/>
    </row>
    <row r="197" spans="1:3" x14ac:dyDescent="0.25">
      <c r="A197" s="40"/>
      <c r="B197" s="40"/>
      <c r="C197" s="40"/>
    </row>
    <row r="198" spans="1:3" x14ac:dyDescent="0.25">
      <c r="A198" s="40"/>
      <c r="B198" s="40"/>
      <c r="C198" s="40"/>
    </row>
    <row r="199" spans="1:3" x14ac:dyDescent="0.25">
      <c r="A199" s="40"/>
      <c r="B199" s="40"/>
      <c r="C199" s="40"/>
    </row>
    <row r="200" spans="1:3" x14ac:dyDescent="0.25">
      <c r="A200" s="40"/>
      <c r="B200" s="40"/>
      <c r="C200" s="40"/>
    </row>
    <row r="201" spans="1:3" x14ac:dyDescent="0.25">
      <c r="A201" s="40"/>
      <c r="B201" s="40"/>
      <c r="C201" s="40"/>
    </row>
    <row r="202" spans="1:3" x14ac:dyDescent="0.25">
      <c r="A202" s="40"/>
      <c r="B202" s="40"/>
      <c r="C202" s="40"/>
    </row>
    <row r="203" spans="1:3" x14ac:dyDescent="0.25">
      <c r="A203" s="40"/>
      <c r="B203" s="40"/>
      <c r="C203" s="40"/>
    </row>
    <row r="204" spans="1:3" x14ac:dyDescent="0.25">
      <c r="A204" s="40"/>
      <c r="B204" s="40"/>
      <c r="C204" s="40"/>
    </row>
    <row r="205" spans="1:3" x14ac:dyDescent="0.25">
      <c r="A205" s="40"/>
      <c r="B205" s="40"/>
      <c r="C205" s="40"/>
    </row>
    <row r="206" spans="1:3" x14ac:dyDescent="0.25">
      <c r="A206" s="40"/>
      <c r="B206" s="40"/>
      <c r="C206" s="40"/>
    </row>
    <row r="207" spans="1:3" x14ac:dyDescent="0.25">
      <c r="A207" s="40"/>
      <c r="B207" s="40"/>
      <c r="C207" s="40"/>
    </row>
    <row r="208" spans="1:3" x14ac:dyDescent="0.25">
      <c r="A208" s="40"/>
      <c r="B208" s="40"/>
      <c r="C208" s="40"/>
    </row>
    <row r="209" spans="1:3" x14ac:dyDescent="0.25">
      <c r="A209" s="40"/>
      <c r="B209" s="40"/>
      <c r="C209" s="40"/>
    </row>
    <row r="210" spans="1:3" x14ac:dyDescent="0.25">
      <c r="A210" s="40"/>
      <c r="B210" s="40"/>
      <c r="C210" s="40"/>
    </row>
    <row r="211" spans="1:3" x14ac:dyDescent="0.25">
      <c r="A211" s="40"/>
      <c r="B211" s="40"/>
      <c r="C211" s="40"/>
    </row>
    <row r="212" spans="1:3" x14ac:dyDescent="0.25">
      <c r="A212" s="40"/>
      <c r="B212" s="40"/>
      <c r="C212" s="40"/>
    </row>
    <row r="213" spans="1:3" x14ac:dyDescent="0.25">
      <c r="A213" s="40"/>
      <c r="B213" s="40"/>
      <c r="C213" s="40"/>
    </row>
    <row r="214" spans="1:3" x14ac:dyDescent="0.25">
      <c r="A214" s="40"/>
      <c r="B214" s="40"/>
      <c r="C214" s="40"/>
    </row>
    <row r="215" spans="1:3" x14ac:dyDescent="0.25">
      <c r="A215" s="40"/>
      <c r="B215" s="40"/>
      <c r="C215" s="40"/>
    </row>
    <row r="216" spans="1:3" x14ac:dyDescent="0.25">
      <c r="A216" s="40"/>
      <c r="B216" s="40"/>
      <c r="C216" s="40"/>
    </row>
    <row r="217" spans="1:3" x14ac:dyDescent="0.25">
      <c r="A217" s="40"/>
      <c r="B217" s="40"/>
      <c r="C217" s="40"/>
    </row>
    <row r="218" spans="1:3" x14ac:dyDescent="0.25">
      <c r="A218" s="40"/>
      <c r="B218" s="40"/>
      <c r="C218" s="40"/>
    </row>
    <row r="219" spans="1:3" x14ac:dyDescent="0.25">
      <c r="A219" s="40"/>
      <c r="B219" s="40"/>
      <c r="C219" s="40"/>
    </row>
    <row r="220" spans="1:3" x14ac:dyDescent="0.25">
      <c r="A220" s="40"/>
      <c r="B220" s="40"/>
      <c r="C220" s="40"/>
    </row>
    <row r="221" spans="1:3" x14ac:dyDescent="0.25">
      <c r="A221" s="40"/>
      <c r="B221" s="40"/>
      <c r="C221" s="40"/>
    </row>
    <row r="222" spans="1:3" x14ac:dyDescent="0.25">
      <c r="A222" s="40"/>
      <c r="B222" s="40"/>
      <c r="C222" s="40"/>
    </row>
    <row r="223" spans="1:3" x14ac:dyDescent="0.25">
      <c r="A223" s="40"/>
      <c r="B223" s="40"/>
      <c r="C223" s="40"/>
    </row>
    <row r="224" spans="1:3" x14ac:dyDescent="0.25">
      <c r="A224" s="40"/>
      <c r="B224" s="40"/>
      <c r="C224" s="40"/>
    </row>
    <row r="225" spans="1:3" x14ac:dyDescent="0.25">
      <c r="A225" s="40"/>
      <c r="B225" s="40"/>
      <c r="C225" s="40"/>
    </row>
    <row r="226" spans="1:3" x14ac:dyDescent="0.25">
      <c r="A226" s="40"/>
      <c r="B226" s="40"/>
      <c r="C226" s="40"/>
    </row>
    <row r="227" spans="1:3" x14ac:dyDescent="0.25">
      <c r="A227" s="40"/>
      <c r="B227" s="40"/>
      <c r="C227" s="40"/>
    </row>
    <row r="228" spans="1:3" x14ac:dyDescent="0.25">
      <c r="A228" s="40"/>
      <c r="B228" s="40"/>
      <c r="C228" s="40"/>
    </row>
    <row r="229" spans="1:3" x14ac:dyDescent="0.25">
      <c r="A229" s="40"/>
      <c r="B229" s="40"/>
      <c r="C229" s="40"/>
    </row>
    <row r="230" spans="1:3" x14ac:dyDescent="0.25">
      <c r="A230" s="40"/>
      <c r="B230" s="40"/>
      <c r="C230" s="40"/>
    </row>
    <row r="231" spans="1:3" x14ac:dyDescent="0.25">
      <c r="A231" s="40"/>
      <c r="B231" s="40"/>
      <c r="C231" s="40"/>
    </row>
    <row r="232" spans="1:3" x14ac:dyDescent="0.25">
      <c r="A232" s="40"/>
      <c r="B232" s="40"/>
      <c r="C232" s="40"/>
    </row>
    <row r="233" spans="1:3" x14ac:dyDescent="0.25">
      <c r="A233" s="40"/>
      <c r="B233" s="40"/>
      <c r="C233" s="40"/>
    </row>
    <row r="234" spans="1:3" x14ac:dyDescent="0.25">
      <c r="A234" s="40"/>
      <c r="B234" s="40"/>
      <c r="C234" s="40"/>
    </row>
    <row r="235" spans="1:3" x14ac:dyDescent="0.25">
      <c r="A235" s="40"/>
      <c r="B235" s="40"/>
      <c r="C235" s="40"/>
    </row>
    <row r="236" spans="1:3" x14ac:dyDescent="0.25">
      <c r="A236" s="40"/>
      <c r="B236" s="40"/>
      <c r="C236" s="40"/>
    </row>
    <row r="237" spans="1:3" x14ac:dyDescent="0.25">
      <c r="A237" s="40"/>
      <c r="B237" s="40"/>
      <c r="C237" s="40"/>
    </row>
    <row r="238" spans="1:3" x14ac:dyDescent="0.25">
      <c r="A238" s="40"/>
      <c r="B238" s="40"/>
      <c r="C238" s="40"/>
    </row>
    <row r="239" spans="1:3" x14ac:dyDescent="0.25">
      <c r="A239" s="40"/>
      <c r="B239" s="40"/>
      <c r="C239" s="40"/>
    </row>
    <row r="240" spans="1:3" x14ac:dyDescent="0.25">
      <c r="A240" s="40"/>
      <c r="B240" s="40"/>
      <c r="C240" s="40"/>
    </row>
    <row r="241" spans="1:3" x14ac:dyDescent="0.25">
      <c r="A241" s="40"/>
      <c r="B241" s="40"/>
      <c r="C241" s="40"/>
    </row>
    <row r="242" spans="1:3" x14ac:dyDescent="0.25">
      <c r="A242" s="40"/>
      <c r="B242" s="40"/>
      <c r="C242" s="40"/>
    </row>
    <row r="243" spans="1:3" x14ac:dyDescent="0.25">
      <c r="A243" s="40"/>
      <c r="B243" s="40"/>
      <c r="C243" s="40"/>
    </row>
    <row r="244" spans="1:3" x14ac:dyDescent="0.25">
      <c r="A244" s="40"/>
      <c r="B244" s="40"/>
      <c r="C244" s="40"/>
    </row>
    <row r="245" spans="1:3" x14ac:dyDescent="0.25">
      <c r="A245" s="40"/>
      <c r="B245" s="40"/>
      <c r="C245" s="40"/>
    </row>
    <row r="246" spans="1:3" x14ac:dyDescent="0.25">
      <c r="A246" s="40"/>
      <c r="B246" s="40"/>
      <c r="C246" s="40"/>
    </row>
    <row r="247" spans="1:3" x14ac:dyDescent="0.25">
      <c r="A247" s="40"/>
      <c r="B247" s="40"/>
      <c r="C247" s="40"/>
    </row>
    <row r="248" spans="1:3" x14ac:dyDescent="0.25">
      <c r="A248" s="40"/>
      <c r="B248" s="40"/>
      <c r="C248" s="40"/>
    </row>
    <row r="249" spans="1:3" x14ac:dyDescent="0.25">
      <c r="A249" s="40"/>
      <c r="B249" s="40"/>
      <c r="C249" s="40"/>
    </row>
    <row r="250" spans="1:3" x14ac:dyDescent="0.25">
      <c r="A250" s="40"/>
      <c r="B250" s="40"/>
      <c r="C250" s="40"/>
    </row>
    <row r="251" spans="1:3" x14ac:dyDescent="0.25">
      <c r="A251" s="40"/>
      <c r="B251" s="40"/>
      <c r="C251" s="40"/>
    </row>
    <row r="252" spans="1:3" x14ac:dyDescent="0.25">
      <c r="A252" s="40"/>
      <c r="B252" s="40"/>
      <c r="C252" s="40"/>
    </row>
    <row r="253" spans="1:3" x14ac:dyDescent="0.25">
      <c r="A253" s="40"/>
      <c r="B253" s="40"/>
      <c r="C253" s="40"/>
    </row>
    <row r="254" spans="1:3" x14ac:dyDescent="0.25">
      <c r="A254" s="40"/>
      <c r="B254" s="40"/>
      <c r="C254" s="40"/>
    </row>
    <row r="255" spans="1:3" x14ac:dyDescent="0.25">
      <c r="A255" s="40"/>
      <c r="B255" s="40"/>
      <c r="C255" s="40"/>
    </row>
    <row r="256" spans="1:3" x14ac:dyDescent="0.25">
      <c r="A256" s="40"/>
      <c r="B256" s="40"/>
      <c r="C256" s="40"/>
    </row>
    <row r="257" spans="1:3" x14ac:dyDescent="0.25">
      <c r="A257" s="40"/>
      <c r="B257" s="40"/>
      <c r="C257" s="40"/>
    </row>
    <row r="258" spans="1:3" x14ac:dyDescent="0.25">
      <c r="A258" s="40"/>
      <c r="B258" s="40"/>
      <c r="C258" s="40"/>
    </row>
    <row r="259" spans="1:3" x14ac:dyDescent="0.25">
      <c r="A259" s="40"/>
      <c r="B259" s="40"/>
      <c r="C259" s="40"/>
    </row>
    <row r="260" spans="1:3" x14ac:dyDescent="0.25">
      <c r="A260" s="40"/>
      <c r="B260" s="40"/>
      <c r="C260" s="40"/>
    </row>
    <row r="261" spans="1:3" x14ac:dyDescent="0.25">
      <c r="A261" s="40"/>
      <c r="B261" s="40"/>
      <c r="C261" s="40"/>
    </row>
    <row r="262" spans="1:3" x14ac:dyDescent="0.25">
      <c r="A262" s="40"/>
      <c r="B262" s="40"/>
      <c r="C262" s="40"/>
    </row>
    <row r="263" spans="1:3" x14ac:dyDescent="0.25">
      <c r="A263" s="40"/>
      <c r="B263" s="40"/>
      <c r="C263" s="40"/>
    </row>
    <row r="264" spans="1:3" x14ac:dyDescent="0.25">
      <c r="A264" s="40"/>
      <c r="B264" s="40"/>
      <c r="C264" s="40"/>
    </row>
    <row r="265" spans="1:3" x14ac:dyDescent="0.25">
      <c r="A265" s="40"/>
      <c r="B265" s="40"/>
      <c r="C265" s="40"/>
    </row>
    <row r="266" spans="1:3" x14ac:dyDescent="0.25">
      <c r="A266" s="40"/>
      <c r="B266" s="40"/>
      <c r="C266" s="40"/>
    </row>
    <row r="267" spans="1:3" x14ac:dyDescent="0.25">
      <c r="A267" s="40"/>
      <c r="B267" s="40"/>
      <c r="C267" s="40"/>
    </row>
    <row r="268" spans="1:3" x14ac:dyDescent="0.25">
      <c r="A268" s="40"/>
      <c r="B268" s="40"/>
      <c r="C268" s="40"/>
    </row>
    <row r="269" spans="1:3" x14ac:dyDescent="0.25">
      <c r="A269" s="40"/>
      <c r="B269" s="40"/>
      <c r="C269" s="40"/>
    </row>
    <row r="270" spans="1:3" x14ac:dyDescent="0.25">
      <c r="A270" s="40"/>
      <c r="B270" s="40"/>
      <c r="C270" s="40"/>
    </row>
    <row r="271" spans="1:3" x14ac:dyDescent="0.25">
      <c r="A271" s="40"/>
      <c r="B271" s="40"/>
      <c r="C271" s="40"/>
    </row>
    <row r="272" spans="1:3" x14ac:dyDescent="0.25">
      <c r="A272" s="40"/>
      <c r="B272" s="40"/>
      <c r="C272" s="40"/>
    </row>
    <row r="273" spans="1:3" x14ac:dyDescent="0.25">
      <c r="A273" s="40"/>
      <c r="B273" s="40"/>
      <c r="C273" s="40"/>
    </row>
    <row r="274" spans="1:3" x14ac:dyDescent="0.25">
      <c r="A274" s="40"/>
      <c r="B274" s="40"/>
      <c r="C274" s="40"/>
    </row>
    <row r="275" spans="1:3" x14ac:dyDescent="0.25">
      <c r="A275" s="40"/>
      <c r="B275" s="40"/>
      <c r="C275" s="40"/>
    </row>
    <row r="276" spans="1:3" x14ac:dyDescent="0.25">
      <c r="A276" s="40"/>
      <c r="B276" s="40"/>
      <c r="C276" s="40"/>
    </row>
    <row r="277" spans="1:3" x14ac:dyDescent="0.25">
      <c r="A277" s="40"/>
      <c r="B277" s="40"/>
      <c r="C277" s="40"/>
    </row>
    <row r="278" spans="1:3" x14ac:dyDescent="0.25">
      <c r="A278" s="40"/>
      <c r="B278" s="40"/>
      <c r="C278" s="40"/>
    </row>
    <row r="279" spans="1:3" x14ac:dyDescent="0.25">
      <c r="A279" s="40"/>
      <c r="B279" s="40"/>
      <c r="C279" s="40"/>
    </row>
    <row r="280" spans="1:3" x14ac:dyDescent="0.25">
      <c r="A280" s="40"/>
      <c r="B280" s="40"/>
      <c r="C280" s="40"/>
    </row>
    <row r="281" spans="1:3" x14ac:dyDescent="0.25">
      <c r="A281" s="40"/>
      <c r="B281" s="40"/>
      <c r="C281" s="40"/>
    </row>
    <row r="282" spans="1:3" x14ac:dyDescent="0.25">
      <c r="A282" s="40"/>
      <c r="B282" s="40"/>
      <c r="C282" s="40"/>
    </row>
    <row r="283" spans="1:3" x14ac:dyDescent="0.25">
      <c r="A283" s="40"/>
      <c r="B283" s="40"/>
      <c r="C283" s="40"/>
    </row>
    <row r="284" spans="1:3" x14ac:dyDescent="0.25">
      <c r="A284" s="40"/>
      <c r="B284" s="40"/>
      <c r="C284" s="40"/>
    </row>
    <row r="285" spans="1:3" x14ac:dyDescent="0.25">
      <c r="A285" s="40"/>
      <c r="B285" s="40"/>
      <c r="C285" s="40"/>
    </row>
    <row r="286" spans="1:3" x14ac:dyDescent="0.25">
      <c r="A286" s="40"/>
      <c r="B286" s="40"/>
      <c r="C286" s="40"/>
    </row>
    <row r="287" spans="1:3" x14ac:dyDescent="0.25">
      <c r="A287" s="40"/>
      <c r="B287" s="40"/>
      <c r="C287" s="40"/>
    </row>
    <row r="288" spans="1:3" x14ac:dyDescent="0.25">
      <c r="A288" s="40"/>
      <c r="B288" s="40"/>
      <c r="C288" s="40"/>
    </row>
    <row r="289" spans="1:3" x14ac:dyDescent="0.25">
      <c r="A289" s="40"/>
      <c r="B289" s="40"/>
      <c r="C289" s="40"/>
    </row>
    <row r="290" spans="1:3" x14ac:dyDescent="0.25">
      <c r="A290" s="40"/>
      <c r="B290" s="40"/>
      <c r="C290" s="40"/>
    </row>
    <row r="291" spans="1:3" x14ac:dyDescent="0.25">
      <c r="A291" s="40"/>
      <c r="B291" s="40"/>
      <c r="C291" s="40"/>
    </row>
    <row r="292" spans="1:3" x14ac:dyDescent="0.25">
      <c r="A292" s="40"/>
      <c r="B292" s="40"/>
      <c r="C292" s="40"/>
    </row>
    <row r="293" spans="1:3" x14ac:dyDescent="0.25">
      <c r="A293" s="40"/>
      <c r="B293" s="40"/>
      <c r="C293" s="40"/>
    </row>
    <row r="294" spans="1:3" x14ac:dyDescent="0.25">
      <c r="A294" s="40"/>
      <c r="B294" s="40"/>
      <c r="C294" s="40"/>
    </row>
    <row r="295" spans="1:3" x14ac:dyDescent="0.25">
      <c r="A295" s="40"/>
      <c r="B295" s="40"/>
      <c r="C295" s="40"/>
    </row>
    <row r="296" spans="1:3" x14ac:dyDescent="0.25">
      <c r="A296" s="40"/>
      <c r="B296" s="40"/>
      <c r="C296" s="40"/>
    </row>
    <row r="297" spans="1:3" x14ac:dyDescent="0.25">
      <c r="A297" s="40"/>
      <c r="B297" s="40"/>
      <c r="C297" s="40"/>
    </row>
    <row r="298" spans="1:3" x14ac:dyDescent="0.25">
      <c r="A298" s="40"/>
      <c r="B298" s="40"/>
      <c r="C298" s="40"/>
    </row>
    <row r="299" spans="1:3" x14ac:dyDescent="0.25">
      <c r="A299" s="40"/>
      <c r="B299" s="40"/>
      <c r="C299" s="40"/>
    </row>
    <row r="300" spans="1:3" x14ac:dyDescent="0.25">
      <c r="A300" s="40"/>
      <c r="B300" s="40"/>
      <c r="C300" s="40"/>
    </row>
    <row r="301" spans="1:3" x14ac:dyDescent="0.25">
      <c r="A301" s="40"/>
      <c r="B301" s="40"/>
      <c r="C301" s="40"/>
    </row>
    <row r="302" spans="1:3" x14ac:dyDescent="0.25">
      <c r="A302" s="40"/>
      <c r="B302" s="40"/>
      <c r="C302" s="40"/>
    </row>
    <row r="303" spans="1:3" x14ac:dyDescent="0.25">
      <c r="A303" s="40"/>
      <c r="B303" s="40"/>
      <c r="C303" s="40"/>
    </row>
    <row r="304" spans="1:3" x14ac:dyDescent="0.25">
      <c r="A304" s="40"/>
      <c r="B304" s="40"/>
      <c r="C304" s="40"/>
    </row>
    <row r="305" spans="1:3" x14ac:dyDescent="0.25">
      <c r="A305" s="40"/>
      <c r="B305" s="40"/>
      <c r="C305" s="40"/>
    </row>
    <row r="306" spans="1:3" x14ac:dyDescent="0.25">
      <c r="A306" s="40"/>
      <c r="B306" s="40"/>
      <c r="C306" s="40"/>
    </row>
    <row r="307" spans="1:3" x14ac:dyDescent="0.25">
      <c r="A307" s="40"/>
      <c r="B307" s="40"/>
      <c r="C307" s="40"/>
    </row>
    <row r="308" spans="1:3" x14ac:dyDescent="0.25">
      <c r="A308" s="40"/>
      <c r="B308" s="40"/>
      <c r="C308" s="40"/>
    </row>
    <row r="309" spans="1:3" x14ac:dyDescent="0.25">
      <c r="A309" s="40"/>
      <c r="B309" s="40"/>
      <c r="C309" s="40"/>
    </row>
    <row r="310" spans="1:3" x14ac:dyDescent="0.25">
      <c r="A310" s="40"/>
      <c r="B310" s="40"/>
      <c r="C310" s="40"/>
    </row>
    <row r="311" spans="1:3" x14ac:dyDescent="0.25">
      <c r="A311" s="40"/>
      <c r="B311" s="40"/>
      <c r="C311" s="40"/>
    </row>
    <row r="312" spans="1:3" x14ac:dyDescent="0.25">
      <c r="A312" s="40"/>
      <c r="B312" s="40"/>
      <c r="C312" s="40"/>
    </row>
    <row r="313" spans="1:3" x14ac:dyDescent="0.25">
      <c r="A313" s="40"/>
      <c r="B313" s="40"/>
      <c r="C313" s="40"/>
    </row>
    <row r="314" spans="1:3" x14ac:dyDescent="0.25">
      <c r="A314" s="40"/>
      <c r="B314" s="40"/>
      <c r="C314" s="40"/>
    </row>
    <row r="315" spans="1:3" x14ac:dyDescent="0.25">
      <c r="A315" s="40"/>
      <c r="B315" s="40"/>
      <c r="C315" s="40"/>
    </row>
    <row r="316" spans="1:3" x14ac:dyDescent="0.25">
      <c r="A316" s="40"/>
      <c r="B316" s="40"/>
      <c r="C316" s="40"/>
    </row>
    <row r="317" spans="1:3" x14ac:dyDescent="0.25">
      <c r="A317" s="40"/>
      <c r="B317" s="40"/>
      <c r="C317" s="40"/>
    </row>
    <row r="318" spans="1:3" x14ac:dyDescent="0.25">
      <c r="A318" s="40"/>
      <c r="B318" s="40"/>
      <c r="C318" s="40"/>
    </row>
  </sheetData>
  <sheetProtection password="DB10" sheet="1" objects="1" scenarios="1" selectLockedCells="1"/>
  <mergeCells count="2">
    <mergeCell ref="R2:X14"/>
    <mergeCell ref="R16:X28"/>
  </mergeCells>
  <dataValidations count="1">
    <dataValidation type="textLength" showInputMessage="1" showErrorMessage="1" errorTitle="Security: Zip Password" error="The Zip password field cannot be left blank" sqref="A2" xr:uid="{00000000-0002-0000-0300-000000000000}">
      <formula1>1</formula1>
      <formula2>256</formula2>
    </dataValidation>
  </dataValidation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84"/>
  <sheetViews>
    <sheetView workbookViewId="0">
      <selection activeCell="D10" sqref="D10"/>
    </sheetView>
  </sheetViews>
  <sheetFormatPr defaultRowHeight="15" x14ac:dyDescent="0.25"/>
  <cols>
    <col min="1" max="1" width="25.28515625" style="61" bestFit="1" customWidth="1"/>
    <col min="2" max="2" width="12" style="61" bestFit="1" customWidth="1"/>
    <col min="3" max="3" width="38.28515625" style="61" bestFit="1" customWidth="1"/>
    <col min="4" max="4" width="34.7109375" style="61" bestFit="1" customWidth="1"/>
    <col min="5" max="5" width="15.5703125" style="61" customWidth="1"/>
    <col min="6" max="6" width="35.28515625" style="61" bestFit="1" customWidth="1"/>
    <col min="7" max="7" width="18.42578125" style="61" bestFit="1" customWidth="1"/>
    <col min="8" max="8" width="1.140625" style="61" customWidth="1"/>
    <col min="9" max="14" width="9.28515625" style="40"/>
    <col min="15" max="26" width="9.28515625" style="61"/>
  </cols>
  <sheetData>
    <row r="1" spans="1:26" s="67" customFormat="1" ht="31.5" x14ac:dyDescent="0.25">
      <c r="A1" s="64" t="s">
        <v>108</v>
      </c>
      <c r="B1" s="64" t="s">
        <v>36</v>
      </c>
      <c r="C1" s="65" t="s">
        <v>10</v>
      </c>
      <c r="D1" s="68" t="s">
        <v>113</v>
      </c>
      <c r="E1" s="68" t="s">
        <v>114</v>
      </c>
      <c r="F1" s="64" t="s">
        <v>34</v>
      </c>
      <c r="G1" s="68" t="s">
        <v>115</v>
      </c>
      <c r="H1" s="66"/>
      <c r="I1" s="69"/>
      <c r="J1" s="69"/>
      <c r="K1" s="69"/>
      <c r="L1" s="69"/>
      <c r="M1" s="69"/>
      <c r="N1" s="69"/>
      <c r="O1" s="66"/>
      <c r="P1" s="66"/>
      <c r="Q1" s="66"/>
      <c r="R1" s="66"/>
      <c r="S1" s="66"/>
      <c r="T1" s="66"/>
      <c r="U1" s="66"/>
      <c r="V1" s="66"/>
      <c r="W1" s="66"/>
      <c r="X1" s="66"/>
      <c r="Y1" s="66"/>
      <c r="Z1" s="66"/>
    </row>
    <row r="2" spans="1:26" x14ac:dyDescent="0.25">
      <c r="A2" t="s">
        <v>251</v>
      </c>
      <c r="B2" t="s">
        <v>85</v>
      </c>
      <c r="C2" t="s">
        <v>133</v>
      </c>
      <c r="E2"/>
      <c r="F2" t="s">
        <v>134</v>
      </c>
      <c r="G2" s="93" t="s">
        <v>109</v>
      </c>
    </row>
    <row r="3" spans="1:26" ht="15.75" thickBot="1" x14ac:dyDescent="0.3">
      <c r="A3" t="s">
        <v>137</v>
      </c>
      <c r="B3" t="s">
        <v>85</v>
      </c>
      <c r="C3" t="s">
        <v>137</v>
      </c>
      <c r="E3"/>
      <c r="F3" t="s">
        <v>138</v>
      </c>
      <c r="G3" s="93" t="s">
        <v>109</v>
      </c>
    </row>
    <row r="4" spans="1:26" x14ac:dyDescent="0.25">
      <c r="A4" t="s">
        <v>252</v>
      </c>
      <c r="B4" t="s">
        <v>85</v>
      </c>
      <c r="C4" t="s">
        <v>135</v>
      </c>
      <c r="E4"/>
      <c r="F4" t="s">
        <v>136</v>
      </c>
      <c r="G4" s="93" t="s">
        <v>109</v>
      </c>
      <c r="I4" s="115" t="s">
        <v>131</v>
      </c>
      <c r="J4" s="116"/>
      <c r="K4" s="116"/>
      <c r="L4" s="116"/>
      <c r="M4" s="117"/>
    </row>
    <row r="5" spans="1:26" x14ac:dyDescent="0.25">
      <c r="A5" t="s">
        <v>253</v>
      </c>
      <c r="B5" t="s">
        <v>85</v>
      </c>
      <c r="C5" t="s">
        <v>139</v>
      </c>
      <c r="E5"/>
      <c r="F5" t="s">
        <v>140</v>
      </c>
      <c r="G5" s="93" t="s">
        <v>109</v>
      </c>
      <c r="I5" s="118"/>
      <c r="J5" s="119"/>
      <c r="K5" s="119"/>
      <c r="L5" s="119"/>
      <c r="M5" s="120"/>
    </row>
    <row r="6" spans="1:26" x14ac:dyDescent="0.25">
      <c r="A6" t="s">
        <v>144</v>
      </c>
      <c r="B6" t="s">
        <v>143</v>
      </c>
      <c r="C6" t="s">
        <v>144</v>
      </c>
      <c r="E6"/>
      <c r="F6" t="s">
        <v>145</v>
      </c>
      <c r="G6" s="93" t="s">
        <v>146</v>
      </c>
      <c r="I6" s="118"/>
      <c r="J6" s="119"/>
      <c r="K6" s="119"/>
      <c r="L6" s="119"/>
      <c r="M6" s="120"/>
    </row>
    <row r="7" spans="1:26" x14ac:dyDescent="0.25">
      <c r="A7" t="s">
        <v>147</v>
      </c>
      <c r="B7" t="s">
        <v>85</v>
      </c>
      <c r="C7" t="s">
        <v>147</v>
      </c>
      <c r="E7"/>
      <c r="F7" t="s">
        <v>148</v>
      </c>
      <c r="G7" s="93" t="s">
        <v>109</v>
      </c>
      <c r="I7" s="118"/>
      <c r="J7" s="119"/>
      <c r="K7" s="119"/>
      <c r="L7" s="119"/>
      <c r="M7" s="120"/>
    </row>
    <row r="8" spans="1:26" x14ac:dyDescent="0.25">
      <c r="A8" t="s">
        <v>254</v>
      </c>
      <c r="B8" t="s">
        <v>85</v>
      </c>
      <c r="C8" t="s">
        <v>149</v>
      </c>
      <c r="E8"/>
      <c r="F8" t="s">
        <v>150</v>
      </c>
      <c r="G8" s="93" t="s">
        <v>109</v>
      </c>
      <c r="I8" s="118"/>
      <c r="J8" s="119"/>
      <c r="K8" s="119"/>
      <c r="L8" s="119"/>
      <c r="M8" s="120"/>
    </row>
    <row r="9" spans="1:26" x14ac:dyDescent="0.25">
      <c r="A9" t="s">
        <v>255</v>
      </c>
      <c r="B9" t="s">
        <v>152</v>
      </c>
      <c r="C9" t="s">
        <v>151</v>
      </c>
      <c r="E9"/>
      <c r="F9" t="s">
        <v>153</v>
      </c>
      <c r="G9" s="93" t="s">
        <v>154</v>
      </c>
      <c r="I9" s="118"/>
      <c r="J9" s="119"/>
      <c r="K9" s="119"/>
      <c r="L9" s="119"/>
      <c r="M9" s="120"/>
    </row>
    <row r="10" spans="1:26" x14ac:dyDescent="0.25">
      <c r="A10" t="s">
        <v>256</v>
      </c>
      <c r="B10" t="s">
        <v>85</v>
      </c>
      <c r="C10" t="s">
        <v>155</v>
      </c>
      <c r="E10"/>
      <c r="F10" t="s">
        <v>156</v>
      </c>
      <c r="G10" s="93" t="s">
        <v>109</v>
      </c>
      <c r="I10" s="118"/>
      <c r="J10" s="119"/>
      <c r="K10" s="119"/>
      <c r="L10" s="119"/>
      <c r="M10" s="120"/>
    </row>
    <row r="11" spans="1:26" x14ac:dyDescent="0.25">
      <c r="A11" t="s">
        <v>257</v>
      </c>
      <c r="B11" t="s">
        <v>85</v>
      </c>
      <c r="C11" t="s">
        <v>157</v>
      </c>
      <c r="E11"/>
      <c r="F11" t="s">
        <v>158</v>
      </c>
      <c r="G11" s="93" t="s">
        <v>109</v>
      </c>
      <c r="I11" s="118"/>
      <c r="J11" s="119"/>
      <c r="K11" s="119"/>
      <c r="L11" s="119"/>
      <c r="M11" s="120"/>
    </row>
    <row r="12" spans="1:26" ht="15.75" thickBot="1" x14ac:dyDescent="0.3">
      <c r="A12" t="s">
        <v>258</v>
      </c>
      <c r="B12" t="s">
        <v>152</v>
      </c>
      <c r="C12" t="s">
        <v>159</v>
      </c>
      <c r="E12"/>
      <c r="F12" t="s">
        <v>160</v>
      </c>
      <c r="G12" s="93" t="s">
        <v>154</v>
      </c>
      <c r="I12" s="121"/>
      <c r="J12" s="122"/>
      <c r="K12" s="122"/>
      <c r="L12" s="122"/>
      <c r="M12" s="123"/>
    </row>
    <row r="13" spans="1:26" x14ac:dyDescent="0.25">
      <c r="A13" t="s">
        <v>259</v>
      </c>
      <c r="B13" t="s">
        <v>85</v>
      </c>
      <c r="C13" t="s">
        <v>161</v>
      </c>
      <c r="E13"/>
      <c r="F13" t="s">
        <v>162</v>
      </c>
      <c r="G13" s="93" t="s">
        <v>109</v>
      </c>
    </row>
    <row r="14" spans="1:26" x14ac:dyDescent="0.25">
      <c r="A14" t="s">
        <v>163</v>
      </c>
      <c r="B14" t="s">
        <v>164</v>
      </c>
      <c r="C14" t="s">
        <v>163</v>
      </c>
      <c r="E14"/>
      <c r="F14" t="s">
        <v>165</v>
      </c>
      <c r="G14" s="93" t="s">
        <v>166</v>
      </c>
    </row>
    <row r="15" spans="1:26" x14ac:dyDescent="0.25">
      <c r="A15" s="94" t="s">
        <v>167</v>
      </c>
      <c r="B15" t="s">
        <v>85</v>
      </c>
      <c r="C15" s="94" t="s">
        <v>167</v>
      </c>
      <c r="E15" s="94"/>
      <c r="F15" s="94" t="s">
        <v>168</v>
      </c>
      <c r="G15" s="93" t="s">
        <v>109</v>
      </c>
    </row>
    <row r="16" spans="1:26" x14ac:dyDescent="0.25">
      <c r="A16" t="s">
        <v>260</v>
      </c>
      <c r="B16" t="s">
        <v>85</v>
      </c>
      <c r="C16" t="s">
        <v>171</v>
      </c>
      <c r="E16"/>
      <c r="F16" t="s">
        <v>172</v>
      </c>
      <c r="G16" s="93" t="s">
        <v>109</v>
      </c>
    </row>
    <row r="17" spans="1:7" x14ac:dyDescent="0.25">
      <c r="A17" t="s">
        <v>169</v>
      </c>
      <c r="B17" t="s">
        <v>85</v>
      </c>
      <c r="C17" t="s">
        <v>169</v>
      </c>
      <c r="E17"/>
      <c r="F17" t="s">
        <v>170</v>
      </c>
      <c r="G17" s="93" t="s">
        <v>109</v>
      </c>
    </row>
    <row r="18" spans="1:7" x14ac:dyDescent="0.25">
      <c r="A18" s="94" t="s">
        <v>261</v>
      </c>
      <c r="B18" s="94"/>
      <c r="C18" s="3" t="s">
        <v>262</v>
      </c>
      <c r="E18" s="3"/>
      <c r="F18" s="3"/>
      <c r="G18" s="95"/>
    </row>
    <row r="19" spans="1:7" x14ac:dyDescent="0.25">
      <c r="A19" t="s">
        <v>263</v>
      </c>
      <c r="B19" t="s">
        <v>85</v>
      </c>
      <c r="C19" t="s">
        <v>173</v>
      </c>
      <c r="E19"/>
      <c r="F19" t="s">
        <v>174</v>
      </c>
      <c r="G19" s="93" t="s">
        <v>109</v>
      </c>
    </row>
    <row r="20" spans="1:7" x14ac:dyDescent="0.25">
      <c r="A20" t="s">
        <v>264</v>
      </c>
      <c r="B20" t="s">
        <v>85</v>
      </c>
      <c r="C20" t="s">
        <v>175</v>
      </c>
      <c r="E20"/>
      <c r="F20" t="s">
        <v>176</v>
      </c>
      <c r="G20" s="93" t="s">
        <v>109</v>
      </c>
    </row>
    <row r="21" spans="1:7" x14ac:dyDescent="0.25">
      <c r="A21" t="s">
        <v>265</v>
      </c>
      <c r="B21" s="94" t="s">
        <v>85</v>
      </c>
      <c r="C21" t="s">
        <v>177</v>
      </c>
      <c r="E21"/>
      <c r="F21" t="s">
        <v>178</v>
      </c>
      <c r="G21" s="95" t="s">
        <v>109</v>
      </c>
    </row>
    <row r="22" spans="1:7" x14ac:dyDescent="0.25">
      <c r="A22" t="s">
        <v>266</v>
      </c>
      <c r="B22" t="s">
        <v>152</v>
      </c>
      <c r="C22" t="s">
        <v>183</v>
      </c>
      <c r="E22"/>
      <c r="F22" t="s">
        <v>184</v>
      </c>
      <c r="G22" s="93" t="s">
        <v>154</v>
      </c>
    </row>
    <row r="23" spans="1:7" x14ac:dyDescent="0.25">
      <c r="A23" t="s">
        <v>267</v>
      </c>
      <c r="B23" t="s">
        <v>152</v>
      </c>
      <c r="C23" t="s">
        <v>181</v>
      </c>
      <c r="E23"/>
      <c r="F23" t="s">
        <v>182</v>
      </c>
      <c r="G23" s="93" t="s">
        <v>154</v>
      </c>
    </row>
    <row r="24" spans="1:7" x14ac:dyDescent="0.25">
      <c r="A24" t="s">
        <v>268</v>
      </c>
      <c r="B24" t="s">
        <v>152</v>
      </c>
      <c r="C24" t="s">
        <v>179</v>
      </c>
      <c r="E24"/>
      <c r="F24" t="s">
        <v>180</v>
      </c>
      <c r="G24" s="93" t="s">
        <v>154</v>
      </c>
    </row>
    <row r="25" spans="1:7" x14ac:dyDescent="0.25">
      <c r="A25" t="s">
        <v>269</v>
      </c>
      <c r="B25" t="s">
        <v>85</v>
      </c>
      <c r="C25" t="s">
        <v>185</v>
      </c>
      <c r="E25"/>
      <c r="F25" t="s">
        <v>340</v>
      </c>
      <c r="G25" s="93" t="s">
        <v>109</v>
      </c>
    </row>
    <row r="26" spans="1:7" x14ac:dyDescent="0.25">
      <c r="A26" s="94" t="s">
        <v>270</v>
      </c>
      <c r="B26" s="94"/>
      <c r="C26" s="3" t="s">
        <v>271</v>
      </c>
      <c r="E26" s="3"/>
      <c r="F26" s="3"/>
      <c r="G26" s="95"/>
    </row>
    <row r="27" spans="1:7" x14ac:dyDescent="0.25">
      <c r="A27" s="94" t="s">
        <v>272</v>
      </c>
      <c r="B27" s="94"/>
      <c r="C27" s="3" t="s">
        <v>273</v>
      </c>
      <c r="E27" s="3"/>
      <c r="F27" s="3"/>
      <c r="G27" s="95"/>
    </row>
    <row r="28" spans="1:7" x14ac:dyDescent="0.25">
      <c r="A28" t="s">
        <v>274</v>
      </c>
      <c r="B28" t="s">
        <v>85</v>
      </c>
      <c r="C28" t="s">
        <v>189</v>
      </c>
      <c r="E28"/>
      <c r="F28" t="s">
        <v>190</v>
      </c>
      <c r="G28" s="93" t="s">
        <v>109</v>
      </c>
    </row>
    <row r="29" spans="1:7" x14ac:dyDescent="0.25">
      <c r="A29" t="s">
        <v>275</v>
      </c>
      <c r="B29" t="s">
        <v>85</v>
      </c>
      <c r="C29" t="s">
        <v>193</v>
      </c>
      <c r="E29"/>
      <c r="F29" t="s">
        <v>192</v>
      </c>
      <c r="G29" s="93" t="s">
        <v>109</v>
      </c>
    </row>
    <row r="30" spans="1:7" x14ac:dyDescent="0.25">
      <c r="A30" t="s">
        <v>276</v>
      </c>
      <c r="B30" t="s">
        <v>85</v>
      </c>
      <c r="C30" t="s">
        <v>191</v>
      </c>
      <c r="E30"/>
      <c r="F30" t="s">
        <v>192</v>
      </c>
      <c r="G30" s="93" t="s">
        <v>109</v>
      </c>
    </row>
    <row r="31" spans="1:7" x14ac:dyDescent="0.25">
      <c r="A31" t="s">
        <v>194</v>
      </c>
      <c r="B31" t="s">
        <v>85</v>
      </c>
      <c r="C31" t="s">
        <v>194</v>
      </c>
      <c r="E31"/>
      <c r="F31" t="s">
        <v>192</v>
      </c>
      <c r="G31" s="93" t="s">
        <v>109</v>
      </c>
    </row>
    <row r="32" spans="1:7" x14ac:dyDescent="0.25">
      <c r="A32" t="s">
        <v>195</v>
      </c>
      <c r="B32" t="s">
        <v>85</v>
      </c>
      <c r="C32" t="s">
        <v>195</v>
      </c>
      <c r="E32"/>
      <c r="F32" t="s">
        <v>196</v>
      </c>
      <c r="G32" s="93" t="s">
        <v>109</v>
      </c>
    </row>
    <row r="33" spans="1:7" x14ac:dyDescent="0.25">
      <c r="A33" t="s">
        <v>277</v>
      </c>
      <c r="B33" t="s">
        <v>85</v>
      </c>
      <c r="C33" t="s">
        <v>197</v>
      </c>
      <c r="E33"/>
      <c r="F33" t="s">
        <v>198</v>
      </c>
      <c r="G33" s="93" t="s">
        <v>109</v>
      </c>
    </row>
    <row r="34" spans="1:7" x14ac:dyDescent="0.25">
      <c r="A34" s="94" t="s">
        <v>278</v>
      </c>
      <c r="B34"/>
      <c r="C34" s="3" t="s">
        <v>279</v>
      </c>
      <c r="E34" s="3"/>
      <c r="F34" s="3"/>
      <c r="G34" s="93"/>
    </row>
    <row r="35" spans="1:7" x14ac:dyDescent="0.25">
      <c r="A35" t="s">
        <v>280</v>
      </c>
      <c r="B35" s="94" t="s">
        <v>85</v>
      </c>
      <c r="C35" t="s">
        <v>187</v>
      </c>
      <c r="E35"/>
      <c r="F35" t="s">
        <v>188</v>
      </c>
      <c r="G35" s="95" t="s">
        <v>109</v>
      </c>
    </row>
    <row r="36" spans="1:7" x14ac:dyDescent="0.25">
      <c r="A36" t="s">
        <v>281</v>
      </c>
      <c r="B36" t="s">
        <v>85</v>
      </c>
      <c r="C36" t="s">
        <v>141</v>
      </c>
      <c r="E36"/>
      <c r="F36" t="s">
        <v>142</v>
      </c>
      <c r="G36" s="93" t="s">
        <v>109</v>
      </c>
    </row>
    <row r="37" spans="1:7" x14ac:dyDescent="0.25">
      <c r="A37" t="s">
        <v>282</v>
      </c>
      <c r="B37" t="s">
        <v>199</v>
      </c>
      <c r="C37" t="s">
        <v>200</v>
      </c>
      <c r="E37"/>
      <c r="F37" t="s">
        <v>201</v>
      </c>
      <c r="G37" s="93" t="s">
        <v>202</v>
      </c>
    </row>
    <row r="38" spans="1:7" x14ac:dyDescent="0.25">
      <c r="A38" s="94" t="s">
        <v>283</v>
      </c>
      <c r="B38" t="s">
        <v>85</v>
      </c>
      <c r="C38" s="3" t="s">
        <v>283</v>
      </c>
      <c r="E38" s="3"/>
      <c r="F38" s="3" t="s">
        <v>341</v>
      </c>
      <c r="G38" s="93"/>
    </row>
    <row r="39" spans="1:7" x14ac:dyDescent="0.25">
      <c r="A39" t="s">
        <v>203</v>
      </c>
      <c r="B39" t="s">
        <v>152</v>
      </c>
      <c r="C39" t="s">
        <v>203</v>
      </c>
      <c r="E39"/>
      <c r="F39" t="s">
        <v>204</v>
      </c>
      <c r="G39" s="93" t="s">
        <v>154</v>
      </c>
    </row>
    <row r="40" spans="1:7" x14ac:dyDescent="0.25">
      <c r="A40" t="s">
        <v>284</v>
      </c>
      <c r="B40"/>
      <c r="C40" t="s">
        <v>285</v>
      </c>
      <c r="E40"/>
      <c r="F40" t="s">
        <v>286</v>
      </c>
      <c r="G40" s="93"/>
    </row>
    <row r="41" spans="1:7" x14ac:dyDescent="0.25">
      <c r="A41" s="94" t="s">
        <v>287</v>
      </c>
      <c r="B41"/>
      <c r="C41" s="3" t="s">
        <v>288</v>
      </c>
      <c r="E41" s="3"/>
      <c r="F41" s="3"/>
      <c r="G41" s="93"/>
    </row>
    <row r="42" spans="1:7" x14ac:dyDescent="0.25">
      <c r="A42" s="94" t="s">
        <v>289</v>
      </c>
      <c r="B42" t="s">
        <v>85</v>
      </c>
      <c r="C42" s="94" t="s">
        <v>205</v>
      </c>
      <c r="E42" s="94"/>
      <c r="F42" s="94" t="s">
        <v>206</v>
      </c>
      <c r="G42" s="93" t="s">
        <v>109</v>
      </c>
    </row>
    <row r="43" spans="1:7" x14ac:dyDescent="0.25">
      <c r="A43" t="s">
        <v>290</v>
      </c>
      <c r="B43" t="s">
        <v>85</v>
      </c>
      <c r="C43" t="s">
        <v>207</v>
      </c>
      <c r="E43"/>
      <c r="F43" t="s">
        <v>208</v>
      </c>
      <c r="G43" s="96" t="s">
        <v>109</v>
      </c>
    </row>
    <row r="44" spans="1:7" x14ac:dyDescent="0.25">
      <c r="A44" t="s">
        <v>291</v>
      </c>
      <c r="B44" t="s">
        <v>143</v>
      </c>
      <c r="C44" t="s">
        <v>211</v>
      </c>
      <c r="E44"/>
      <c r="F44" t="s">
        <v>212</v>
      </c>
      <c r="G44" s="93" t="s">
        <v>146</v>
      </c>
    </row>
    <row r="45" spans="1:7" x14ac:dyDescent="0.25">
      <c r="A45" t="s">
        <v>292</v>
      </c>
      <c r="B45" t="s">
        <v>85</v>
      </c>
      <c r="C45" t="s">
        <v>219</v>
      </c>
      <c r="E45"/>
      <c r="F45" t="s">
        <v>136</v>
      </c>
      <c r="G45" s="93" t="s">
        <v>109</v>
      </c>
    </row>
    <row r="46" spans="1:7" x14ac:dyDescent="0.25">
      <c r="A46" t="s">
        <v>293</v>
      </c>
      <c r="B46" t="s">
        <v>85</v>
      </c>
      <c r="C46" t="s">
        <v>244</v>
      </c>
      <c r="E46"/>
      <c r="F46" t="s">
        <v>134</v>
      </c>
      <c r="G46" s="93" t="s">
        <v>109</v>
      </c>
    </row>
    <row r="47" spans="1:7" x14ac:dyDescent="0.25">
      <c r="A47" t="s">
        <v>294</v>
      </c>
      <c r="B47" t="s">
        <v>85</v>
      </c>
      <c r="C47" t="s">
        <v>234</v>
      </c>
      <c r="E47"/>
      <c r="F47" t="s">
        <v>138</v>
      </c>
      <c r="G47" s="93" t="s">
        <v>109</v>
      </c>
    </row>
    <row r="48" spans="1:7" x14ac:dyDescent="0.25">
      <c r="A48" t="s">
        <v>295</v>
      </c>
      <c r="B48"/>
      <c r="C48" t="s">
        <v>296</v>
      </c>
      <c r="E48"/>
      <c r="F48" t="s">
        <v>286</v>
      </c>
      <c r="G48" s="93"/>
    </row>
    <row r="49" spans="1:7" x14ac:dyDescent="0.25">
      <c r="A49" t="s">
        <v>297</v>
      </c>
      <c r="B49"/>
      <c r="C49" s="3" t="s">
        <v>297</v>
      </c>
      <c r="E49" s="3"/>
      <c r="F49" s="3"/>
      <c r="G49" s="93"/>
    </row>
    <row r="50" spans="1:7" x14ac:dyDescent="0.25">
      <c r="A50" t="s">
        <v>298</v>
      </c>
      <c r="B50"/>
      <c r="C50" s="3" t="s">
        <v>299</v>
      </c>
      <c r="E50"/>
      <c r="F50"/>
      <c r="G50" s="93"/>
    </row>
    <row r="51" spans="1:7" x14ac:dyDescent="0.25">
      <c r="A51" t="s">
        <v>300</v>
      </c>
      <c r="B51" t="s">
        <v>85</v>
      </c>
      <c r="C51" t="s">
        <v>233</v>
      </c>
      <c r="E51"/>
      <c r="F51" t="s">
        <v>140</v>
      </c>
      <c r="G51" s="93" t="s">
        <v>109</v>
      </c>
    </row>
    <row r="52" spans="1:7" x14ac:dyDescent="0.25">
      <c r="A52" t="s">
        <v>301</v>
      </c>
      <c r="B52" t="s">
        <v>143</v>
      </c>
      <c r="C52" t="s">
        <v>243</v>
      </c>
      <c r="E52"/>
      <c r="F52" t="s">
        <v>145</v>
      </c>
      <c r="G52" s="93" t="s">
        <v>146</v>
      </c>
    </row>
    <row r="53" spans="1:7" x14ac:dyDescent="0.25">
      <c r="A53" t="s">
        <v>302</v>
      </c>
      <c r="B53" t="s">
        <v>85</v>
      </c>
      <c r="C53" t="s">
        <v>242</v>
      </c>
      <c r="E53"/>
      <c r="F53" t="s">
        <v>150</v>
      </c>
      <c r="G53" s="93" t="s">
        <v>109</v>
      </c>
    </row>
    <row r="54" spans="1:7" x14ac:dyDescent="0.25">
      <c r="A54" t="s">
        <v>303</v>
      </c>
      <c r="B54" t="s">
        <v>152</v>
      </c>
      <c r="C54" t="s">
        <v>223</v>
      </c>
      <c r="E54"/>
      <c r="F54" t="s">
        <v>153</v>
      </c>
      <c r="G54" s="93" t="s">
        <v>154</v>
      </c>
    </row>
    <row r="55" spans="1:7" x14ac:dyDescent="0.25">
      <c r="A55" t="s">
        <v>304</v>
      </c>
      <c r="B55" t="s">
        <v>85</v>
      </c>
      <c r="C55" t="s">
        <v>222</v>
      </c>
      <c r="E55"/>
      <c r="F55" t="s">
        <v>156</v>
      </c>
      <c r="G55" s="93" t="s">
        <v>109</v>
      </c>
    </row>
    <row r="56" spans="1:7" x14ac:dyDescent="0.25">
      <c r="A56" t="s">
        <v>305</v>
      </c>
      <c r="B56" t="s">
        <v>85</v>
      </c>
      <c r="C56" t="s">
        <v>237</v>
      </c>
      <c r="E56"/>
      <c r="F56" t="s">
        <v>162</v>
      </c>
      <c r="G56" s="93" t="s">
        <v>109</v>
      </c>
    </row>
    <row r="57" spans="1:7" x14ac:dyDescent="0.25">
      <c r="A57" t="s">
        <v>306</v>
      </c>
      <c r="B57" t="s">
        <v>164</v>
      </c>
      <c r="C57" t="s">
        <v>240</v>
      </c>
      <c r="E57"/>
      <c r="F57" t="s">
        <v>165</v>
      </c>
      <c r="G57" s="93" t="s">
        <v>166</v>
      </c>
    </row>
    <row r="58" spans="1:7" x14ac:dyDescent="0.25">
      <c r="A58" t="s">
        <v>307</v>
      </c>
      <c r="B58" t="s">
        <v>85</v>
      </c>
      <c r="C58" s="94" t="s">
        <v>226</v>
      </c>
      <c r="E58" s="94"/>
      <c r="F58" s="94" t="s">
        <v>168</v>
      </c>
      <c r="G58" s="93" t="s">
        <v>109</v>
      </c>
    </row>
    <row r="59" spans="1:7" x14ac:dyDescent="0.25">
      <c r="A59" t="s">
        <v>308</v>
      </c>
      <c r="B59" t="s">
        <v>85</v>
      </c>
      <c r="C59" t="s">
        <v>228</v>
      </c>
      <c r="E59"/>
      <c r="F59" t="s">
        <v>174</v>
      </c>
      <c r="G59" s="93" t="s">
        <v>109</v>
      </c>
    </row>
    <row r="60" spans="1:7" x14ac:dyDescent="0.25">
      <c r="A60" t="s">
        <v>309</v>
      </c>
      <c r="B60" t="s">
        <v>85</v>
      </c>
      <c r="C60" t="s">
        <v>229</v>
      </c>
      <c r="E60"/>
      <c r="F60" t="s">
        <v>176</v>
      </c>
      <c r="G60" s="93" t="s">
        <v>109</v>
      </c>
    </row>
    <row r="61" spans="1:7" x14ac:dyDescent="0.25">
      <c r="A61" t="s">
        <v>310</v>
      </c>
      <c r="B61" t="s">
        <v>85</v>
      </c>
      <c r="C61" t="s">
        <v>236</v>
      </c>
      <c r="E61"/>
      <c r="F61" t="s">
        <v>176</v>
      </c>
      <c r="G61" s="93" t="s">
        <v>109</v>
      </c>
    </row>
    <row r="62" spans="1:7" x14ac:dyDescent="0.25">
      <c r="A62" t="s">
        <v>311</v>
      </c>
      <c r="B62" t="s">
        <v>85</v>
      </c>
      <c r="C62" t="s">
        <v>217</v>
      </c>
      <c r="E62"/>
      <c r="F62" t="s">
        <v>176</v>
      </c>
      <c r="G62" s="93" t="s">
        <v>109</v>
      </c>
    </row>
    <row r="63" spans="1:7" x14ac:dyDescent="0.25">
      <c r="A63" t="s">
        <v>312</v>
      </c>
      <c r="B63" t="s">
        <v>152</v>
      </c>
      <c r="C63" t="s">
        <v>225</v>
      </c>
      <c r="E63"/>
      <c r="F63" t="s">
        <v>184</v>
      </c>
      <c r="G63" s="93" t="s">
        <v>154</v>
      </c>
    </row>
    <row r="64" spans="1:7" x14ac:dyDescent="0.25">
      <c r="A64" t="s">
        <v>313</v>
      </c>
      <c r="B64" t="s">
        <v>152</v>
      </c>
      <c r="C64" t="s">
        <v>215</v>
      </c>
      <c r="E64"/>
      <c r="F64" t="s">
        <v>182</v>
      </c>
      <c r="G64" s="93" t="s">
        <v>154</v>
      </c>
    </row>
    <row r="65" spans="1:7" x14ac:dyDescent="0.25">
      <c r="A65" t="s">
        <v>314</v>
      </c>
      <c r="B65" t="s">
        <v>152</v>
      </c>
      <c r="C65" t="s">
        <v>221</v>
      </c>
      <c r="E65"/>
      <c r="F65" t="s">
        <v>180</v>
      </c>
      <c r="G65" s="93" t="s">
        <v>154</v>
      </c>
    </row>
    <row r="66" spans="1:7" x14ac:dyDescent="0.25">
      <c r="A66" t="s">
        <v>315</v>
      </c>
      <c r="B66" t="s">
        <v>85</v>
      </c>
      <c r="C66" t="s">
        <v>227</v>
      </c>
      <c r="E66"/>
      <c r="F66" t="s">
        <v>186</v>
      </c>
      <c r="G66" s="93" t="s">
        <v>109</v>
      </c>
    </row>
    <row r="67" spans="1:7" x14ac:dyDescent="0.25">
      <c r="A67" t="s">
        <v>316</v>
      </c>
      <c r="B67" t="s">
        <v>85</v>
      </c>
      <c r="C67" t="s">
        <v>218</v>
      </c>
      <c r="E67"/>
      <c r="F67" t="s">
        <v>192</v>
      </c>
      <c r="G67" s="93" t="s">
        <v>109</v>
      </c>
    </row>
    <row r="68" spans="1:7" x14ac:dyDescent="0.25">
      <c r="A68" t="s">
        <v>317</v>
      </c>
      <c r="B68" t="s">
        <v>85</v>
      </c>
      <c r="C68" t="s">
        <v>213</v>
      </c>
      <c r="E68"/>
      <c r="F68" t="s">
        <v>196</v>
      </c>
      <c r="G68" s="93" t="s">
        <v>109</v>
      </c>
    </row>
    <row r="69" spans="1:7" x14ac:dyDescent="0.25">
      <c r="A69" t="s">
        <v>318</v>
      </c>
      <c r="B69" s="94" t="s">
        <v>85</v>
      </c>
      <c r="C69" t="s">
        <v>224</v>
      </c>
      <c r="E69"/>
      <c r="F69" t="s">
        <v>188</v>
      </c>
      <c r="G69" s="95" t="s">
        <v>109</v>
      </c>
    </row>
    <row r="70" spans="1:7" x14ac:dyDescent="0.25">
      <c r="A70" t="s">
        <v>318</v>
      </c>
      <c r="B70" t="s">
        <v>85</v>
      </c>
      <c r="C70" t="s">
        <v>235</v>
      </c>
      <c r="E70"/>
      <c r="F70" t="s">
        <v>158</v>
      </c>
      <c r="G70" s="93" t="s">
        <v>109</v>
      </c>
    </row>
    <row r="71" spans="1:7" x14ac:dyDescent="0.25">
      <c r="A71" t="s">
        <v>319</v>
      </c>
      <c r="B71" t="s">
        <v>85</v>
      </c>
      <c r="C71" t="s">
        <v>241</v>
      </c>
      <c r="E71"/>
      <c r="F71" t="s">
        <v>142</v>
      </c>
      <c r="G71" s="93" t="s">
        <v>109</v>
      </c>
    </row>
    <row r="72" spans="1:7" x14ac:dyDescent="0.25">
      <c r="A72" t="s">
        <v>320</v>
      </c>
      <c r="B72" t="s">
        <v>199</v>
      </c>
      <c r="C72" t="s">
        <v>214</v>
      </c>
      <c r="E72"/>
      <c r="F72" t="s">
        <v>201</v>
      </c>
      <c r="G72" s="93" t="s">
        <v>202</v>
      </c>
    </row>
    <row r="73" spans="1:7" x14ac:dyDescent="0.25">
      <c r="A73" t="s">
        <v>321</v>
      </c>
      <c r="B73"/>
      <c r="C73" t="s">
        <v>322</v>
      </c>
      <c r="E73"/>
      <c r="F73" t="s">
        <v>286</v>
      </c>
      <c r="G73" s="93"/>
    </row>
    <row r="74" spans="1:7" x14ac:dyDescent="0.25">
      <c r="A74" t="s">
        <v>323</v>
      </c>
      <c r="B74" t="s">
        <v>152</v>
      </c>
      <c r="C74" t="s">
        <v>232</v>
      </c>
      <c r="E74"/>
      <c r="F74" t="s">
        <v>204</v>
      </c>
      <c r="G74" s="93" t="s">
        <v>154</v>
      </c>
    </row>
    <row r="75" spans="1:7" x14ac:dyDescent="0.25">
      <c r="A75" t="s">
        <v>324</v>
      </c>
      <c r="B75" t="s">
        <v>85</v>
      </c>
      <c r="C75" t="s">
        <v>220</v>
      </c>
      <c r="E75"/>
      <c r="F75" t="s">
        <v>208</v>
      </c>
      <c r="G75" s="93" t="s">
        <v>109</v>
      </c>
    </row>
    <row r="76" spans="1:7" x14ac:dyDescent="0.25">
      <c r="A76" t="s">
        <v>325</v>
      </c>
      <c r="B76" t="s">
        <v>164</v>
      </c>
      <c r="C76" t="s">
        <v>216</v>
      </c>
      <c r="E76"/>
      <c r="F76" t="s">
        <v>210</v>
      </c>
      <c r="G76" s="93" t="s">
        <v>166</v>
      </c>
    </row>
    <row r="77" spans="1:7" x14ac:dyDescent="0.25">
      <c r="A77" t="s">
        <v>326</v>
      </c>
      <c r="B77" t="s">
        <v>85</v>
      </c>
      <c r="C77" t="s">
        <v>238</v>
      </c>
      <c r="E77"/>
      <c r="F77" t="s">
        <v>239</v>
      </c>
      <c r="G77" s="93" t="s">
        <v>109</v>
      </c>
    </row>
    <row r="78" spans="1:7" x14ac:dyDescent="0.25">
      <c r="A78" t="s">
        <v>327</v>
      </c>
      <c r="B78"/>
      <c r="C78" s="3" t="s">
        <v>328</v>
      </c>
      <c r="E78"/>
      <c r="F78"/>
      <c r="G78" s="93"/>
    </row>
    <row r="79" spans="1:7" x14ac:dyDescent="0.25">
      <c r="A79" t="s">
        <v>329</v>
      </c>
      <c r="B79" t="s">
        <v>85</v>
      </c>
      <c r="C79" t="s">
        <v>230</v>
      </c>
      <c r="E79"/>
      <c r="F79" t="s">
        <v>231</v>
      </c>
      <c r="G79" s="93" t="s">
        <v>109</v>
      </c>
    </row>
    <row r="80" spans="1:7" x14ac:dyDescent="0.25">
      <c r="A80" t="s">
        <v>330</v>
      </c>
      <c r="B80"/>
      <c r="C80" s="3" t="s">
        <v>331</v>
      </c>
      <c r="E80"/>
      <c r="F80"/>
      <c r="G80" s="93"/>
    </row>
    <row r="81" spans="1:7" x14ac:dyDescent="0.25">
      <c r="A81" t="s">
        <v>332</v>
      </c>
      <c r="B81"/>
      <c r="C81" s="3" t="s">
        <v>333</v>
      </c>
      <c r="E81"/>
      <c r="F81"/>
      <c r="G81" s="93"/>
    </row>
    <row r="82" spans="1:7" x14ac:dyDescent="0.25">
      <c r="A82" t="s">
        <v>334</v>
      </c>
      <c r="B82" t="s">
        <v>164</v>
      </c>
      <c r="C82" t="s">
        <v>209</v>
      </c>
      <c r="E82"/>
      <c r="F82" t="s">
        <v>210</v>
      </c>
      <c r="G82" s="93" t="s">
        <v>166</v>
      </c>
    </row>
    <row r="83" spans="1:7" x14ac:dyDescent="0.25">
      <c r="A83" t="s">
        <v>335</v>
      </c>
      <c r="B83" t="s">
        <v>85</v>
      </c>
      <c r="C83" t="s">
        <v>245</v>
      </c>
      <c r="E83"/>
      <c r="F83" t="s">
        <v>239</v>
      </c>
      <c r="G83" s="93" t="s">
        <v>109</v>
      </c>
    </row>
    <row r="84" spans="1:7" x14ac:dyDescent="0.25">
      <c r="A84" t="s">
        <v>336</v>
      </c>
      <c r="B84" t="s">
        <v>85</v>
      </c>
      <c r="C84" t="s">
        <v>246</v>
      </c>
      <c r="E84"/>
      <c r="F84" t="s">
        <v>231</v>
      </c>
      <c r="G84" s="93" t="s">
        <v>109</v>
      </c>
    </row>
  </sheetData>
  <sortState xmlns:xlrd2="http://schemas.microsoft.com/office/spreadsheetml/2017/richdata2" ref="A2:G70">
    <sortCondition ref="A2:A70"/>
  </sortState>
  <mergeCells count="1">
    <mergeCell ref="I4:M12"/>
  </mergeCell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Y20"/>
  <sheetViews>
    <sheetView workbookViewId="0">
      <selection activeCell="A22" sqref="A22:L54"/>
    </sheetView>
  </sheetViews>
  <sheetFormatPr defaultRowHeight="15" x14ac:dyDescent="0.25"/>
  <cols>
    <col min="1" max="1" width="27" bestFit="1" customWidth="1"/>
    <col min="2" max="2" width="19.28515625" customWidth="1"/>
    <col min="3" max="3" width="10.7109375" bestFit="1" customWidth="1"/>
    <col min="13" max="13" width="95.5703125" customWidth="1"/>
  </cols>
  <sheetData>
    <row r="1" spans="1:25" ht="15.75" thickBot="1" x14ac:dyDescent="0.3">
      <c r="A1" s="38" t="s">
        <v>95</v>
      </c>
      <c r="B1" s="39" t="s">
        <v>94</v>
      </c>
      <c r="C1" s="130" t="s">
        <v>125</v>
      </c>
      <c r="D1" s="130"/>
      <c r="E1" s="130"/>
      <c r="F1" s="130"/>
      <c r="G1" s="130"/>
      <c r="H1" s="130"/>
      <c r="I1" s="131"/>
      <c r="J1" s="40"/>
      <c r="K1" s="40"/>
      <c r="L1" t="s">
        <v>90</v>
      </c>
      <c r="M1" t="s">
        <v>126</v>
      </c>
    </row>
    <row r="2" spans="1:25" ht="15.75" thickBot="1" x14ac:dyDescent="0.3">
      <c r="A2" s="40"/>
      <c r="B2" s="40"/>
      <c r="C2" s="40"/>
      <c r="D2" s="40"/>
      <c r="E2" s="40"/>
      <c r="F2" s="40"/>
      <c r="G2" s="40"/>
      <c r="H2" s="40"/>
      <c r="I2" s="40"/>
      <c r="J2" s="40"/>
      <c r="K2" s="40"/>
      <c r="L2" t="s">
        <v>87</v>
      </c>
      <c r="M2" s="71" t="s">
        <v>127</v>
      </c>
      <c r="N2" s="71"/>
      <c r="O2" s="71"/>
      <c r="P2" s="71"/>
      <c r="Q2" s="71"/>
      <c r="R2" s="71"/>
      <c r="S2" s="71"/>
      <c r="T2" s="71"/>
      <c r="U2" s="71"/>
      <c r="V2" s="71"/>
      <c r="W2" s="71"/>
      <c r="X2" s="71"/>
      <c r="Y2" s="71"/>
    </row>
    <row r="3" spans="1:25" ht="15.75" thickBot="1" x14ac:dyDescent="0.3">
      <c r="A3" s="38" t="s">
        <v>96</v>
      </c>
      <c r="B3" s="41" t="s">
        <v>102</v>
      </c>
      <c r="C3" s="40"/>
      <c r="D3" s="40"/>
      <c r="E3" s="40"/>
      <c r="F3" s="40"/>
      <c r="G3" s="40"/>
      <c r="H3" s="40"/>
      <c r="I3" s="40"/>
      <c r="J3" s="40"/>
      <c r="K3" s="40"/>
      <c r="L3" t="s">
        <v>125</v>
      </c>
      <c r="M3" t="s">
        <v>129</v>
      </c>
    </row>
    <row r="4" spans="1:25" ht="15.75" thickBot="1" x14ac:dyDescent="0.3">
      <c r="A4" s="40"/>
      <c r="B4" s="40"/>
      <c r="C4" s="40"/>
      <c r="D4" s="40"/>
      <c r="E4" s="40"/>
      <c r="F4" s="40"/>
      <c r="G4" s="40"/>
      <c r="H4" s="40"/>
      <c r="I4" s="40"/>
      <c r="J4" s="40"/>
      <c r="K4" s="40"/>
      <c r="M4" t="s">
        <v>128</v>
      </c>
    </row>
    <row r="5" spans="1:25" ht="368.25" customHeight="1" x14ac:dyDescent="0.25">
      <c r="A5" s="42" t="s">
        <v>88</v>
      </c>
      <c r="B5" s="43" t="s">
        <v>89</v>
      </c>
      <c r="C5" s="124" t="s">
        <v>103</v>
      </c>
      <c r="D5" s="124"/>
      <c r="E5" s="124"/>
      <c r="F5" s="124"/>
      <c r="G5" s="124"/>
      <c r="H5" s="124"/>
      <c r="I5" s="125"/>
      <c r="J5" s="40"/>
      <c r="K5" s="40"/>
      <c r="M5" s="20" t="s">
        <v>130</v>
      </c>
    </row>
    <row r="6" spans="1:25" x14ac:dyDescent="0.25">
      <c r="A6" s="44"/>
      <c r="B6" s="45" t="s">
        <v>90</v>
      </c>
      <c r="C6" s="126" t="s">
        <v>91</v>
      </c>
      <c r="D6" s="126"/>
      <c r="E6" s="126"/>
      <c r="F6" s="126"/>
      <c r="G6" s="126"/>
      <c r="H6" s="126"/>
      <c r="I6" s="127"/>
      <c r="J6" s="40"/>
      <c r="K6" s="40"/>
    </row>
    <row r="7" spans="1:25" ht="15.75" thickBot="1" x14ac:dyDescent="0.3">
      <c r="A7" s="46"/>
      <c r="B7" s="47" t="s">
        <v>92</v>
      </c>
      <c r="C7" s="128" t="s">
        <v>93</v>
      </c>
      <c r="D7" s="128"/>
      <c r="E7" s="128"/>
      <c r="F7" s="128"/>
      <c r="G7" s="128"/>
      <c r="H7" s="128"/>
      <c r="I7" s="129"/>
      <c r="J7" s="40"/>
      <c r="K7" s="40"/>
    </row>
    <row r="8" spans="1:25" ht="15.75" thickBot="1" x14ac:dyDescent="0.3">
      <c r="A8" s="40"/>
      <c r="B8" s="40"/>
      <c r="C8" s="40"/>
      <c r="D8" s="40"/>
      <c r="E8" s="40"/>
      <c r="F8" s="40"/>
      <c r="G8" s="40"/>
      <c r="H8" s="40"/>
      <c r="I8" s="40"/>
      <c r="J8" s="40"/>
      <c r="K8" s="40"/>
    </row>
    <row r="9" spans="1:25" ht="15.75" thickBot="1" x14ac:dyDescent="0.3">
      <c r="A9" s="38" t="s">
        <v>24</v>
      </c>
      <c r="B9" s="48" t="s">
        <v>21</v>
      </c>
      <c r="C9" s="39"/>
      <c r="D9" s="49" t="s">
        <v>25</v>
      </c>
      <c r="E9" s="50" t="s">
        <v>26</v>
      </c>
      <c r="F9" s="40"/>
      <c r="G9" s="40"/>
      <c r="H9" s="40"/>
      <c r="I9" s="40"/>
      <c r="J9" s="40"/>
      <c r="K9" s="40"/>
    </row>
    <row r="10" spans="1:25" ht="15.75" thickBot="1" x14ac:dyDescent="0.3">
      <c r="A10" s="40"/>
      <c r="B10" s="51"/>
      <c r="C10" s="40"/>
      <c r="D10" s="52"/>
      <c r="E10" s="53"/>
      <c r="F10" s="40"/>
      <c r="G10" s="40"/>
      <c r="H10" s="40"/>
      <c r="I10" s="40"/>
      <c r="J10" s="40"/>
      <c r="K10" s="40"/>
    </row>
    <row r="11" spans="1:25" x14ac:dyDescent="0.25">
      <c r="A11" s="54" t="s">
        <v>38</v>
      </c>
      <c r="B11" s="55" t="s">
        <v>39</v>
      </c>
      <c r="C11" s="55"/>
      <c r="D11" s="55" t="s">
        <v>40</v>
      </c>
      <c r="E11" s="55" t="s">
        <v>41</v>
      </c>
      <c r="F11" s="55" t="s">
        <v>42</v>
      </c>
      <c r="G11" s="55" t="s">
        <v>43</v>
      </c>
      <c r="H11" s="55" t="s">
        <v>44</v>
      </c>
      <c r="I11" s="55" t="s">
        <v>45</v>
      </c>
      <c r="J11" s="55" t="s">
        <v>46</v>
      </c>
      <c r="K11" s="56"/>
    </row>
    <row r="12" spans="1:25" ht="15.75" thickBot="1" x14ac:dyDescent="0.3">
      <c r="A12" s="46"/>
      <c r="B12" s="47"/>
      <c r="C12" s="47"/>
      <c r="D12" s="47" t="s">
        <v>47</v>
      </c>
      <c r="E12" s="47" t="s">
        <v>48</v>
      </c>
      <c r="F12" s="47" t="s">
        <v>49</v>
      </c>
      <c r="G12" s="47" t="s">
        <v>50</v>
      </c>
      <c r="H12" s="47" t="s">
        <v>51</v>
      </c>
      <c r="I12" s="47" t="s">
        <v>52</v>
      </c>
      <c r="J12" s="47" t="s">
        <v>53</v>
      </c>
      <c r="K12" s="57"/>
    </row>
    <row r="13" spans="1:25" ht="15.75" thickBot="1" x14ac:dyDescent="0.3">
      <c r="A13" s="40"/>
      <c r="B13" s="40"/>
      <c r="C13" s="40"/>
      <c r="D13" s="40"/>
      <c r="E13" s="40"/>
      <c r="F13" s="40"/>
      <c r="G13" s="40"/>
      <c r="H13" s="40"/>
      <c r="I13" s="40"/>
      <c r="J13" s="40"/>
      <c r="K13" s="40"/>
    </row>
    <row r="14" spans="1:25" ht="15.75" thickBot="1" x14ac:dyDescent="0.3">
      <c r="A14" s="38" t="s">
        <v>82</v>
      </c>
      <c r="B14" s="58">
        <f>DATE(2021,1,1)</f>
        <v>44197</v>
      </c>
      <c r="C14" s="59">
        <f>DATE(2030,12,31)</f>
        <v>47848</v>
      </c>
      <c r="D14" s="40"/>
      <c r="E14" s="40"/>
      <c r="F14" s="40"/>
      <c r="G14" s="40"/>
      <c r="H14" s="40"/>
      <c r="I14" s="40"/>
      <c r="J14" s="40"/>
      <c r="K14" s="40"/>
    </row>
    <row r="15" spans="1:25" ht="15.75" thickBot="1" x14ac:dyDescent="0.3">
      <c r="A15" s="40"/>
      <c r="B15" s="40"/>
      <c r="C15" s="40"/>
      <c r="D15" s="40"/>
      <c r="E15" s="40"/>
      <c r="F15" s="40"/>
      <c r="G15" s="40"/>
      <c r="H15" s="40"/>
      <c r="I15" s="40"/>
      <c r="J15" s="40"/>
      <c r="K15" s="40"/>
    </row>
    <row r="16" spans="1:25" ht="15.75" thickBot="1" x14ac:dyDescent="0.3">
      <c r="A16" s="38" t="s">
        <v>101</v>
      </c>
      <c r="B16" s="39" t="str">
        <f ca="1">CONCATENATE(DEC2HEX(RANDBETWEEN(0,4294967295),8),"-", DEC2HEX(RANDBETWEEN(0,42949),4),"-",DEC2HEX(RANDBETWEEN(0,42949),4),"-", DEC2HEX(RANDBETWEEN(0,42949),4),"-",DEC2HEX(RANDBETWEEN(0,4294967295),8),"-",DEC2HEX(RANDBETWEEN(0,42949),4))</f>
        <v>D560411B-3636-3A16-0D5E-B6A0D5AC-0B71</v>
      </c>
      <c r="C16" s="39"/>
      <c r="D16" s="41"/>
      <c r="E16" s="40"/>
      <c r="F16" s="40"/>
      <c r="G16" s="40"/>
      <c r="H16" s="40"/>
      <c r="I16" s="40"/>
      <c r="J16" s="40"/>
      <c r="K16" s="40"/>
    </row>
    <row r="17" spans="1:11" ht="15.75" thickBot="1" x14ac:dyDescent="0.3">
      <c r="A17" s="40"/>
      <c r="B17" s="40"/>
      <c r="C17" s="40"/>
      <c r="D17" s="40"/>
      <c r="E17" s="40"/>
      <c r="F17" s="40"/>
      <c r="G17" s="40"/>
      <c r="H17" s="40"/>
      <c r="I17" s="40"/>
      <c r="J17" s="40"/>
      <c r="K17" s="40"/>
    </row>
    <row r="18" spans="1:11" ht="15.75" thickBot="1" x14ac:dyDescent="0.3">
      <c r="A18" s="38" t="s">
        <v>104</v>
      </c>
      <c r="B18" s="39" t="str">
        <f ca="1">CONCATENATE("M",YEAR('Header Record'!B5),TEXT(MONTH('Header Record'!B5),"mm"),TEXT(DAY('Header Record'!B5),"dd"),"-",LEFT('Control Data (Hidden)'!B16,23))</f>
        <v>M20210123-D560411B-3636-3A16-0D5E</v>
      </c>
      <c r="C18" s="39"/>
      <c r="D18" s="41"/>
      <c r="E18" s="40"/>
      <c r="F18" s="40"/>
      <c r="G18" s="40"/>
      <c r="H18" s="40"/>
      <c r="I18" s="40"/>
      <c r="J18" s="40"/>
      <c r="K18" s="40"/>
    </row>
    <row r="19" spans="1:11" ht="15.75" thickBot="1" x14ac:dyDescent="0.3">
      <c r="A19" s="40"/>
      <c r="B19" s="40"/>
      <c r="C19" s="40"/>
      <c r="D19" s="40"/>
      <c r="E19" s="40"/>
      <c r="F19" s="40"/>
      <c r="G19" s="40"/>
      <c r="H19" s="40"/>
      <c r="I19" s="40"/>
      <c r="J19" s="40"/>
      <c r="K19" s="40"/>
    </row>
    <row r="20" spans="1:11" ht="15.75" thickBot="1" x14ac:dyDescent="0.3">
      <c r="A20" s="38" t="s">
        <v>107</v>
      </c>
      <c r="B20" s="39" t="str">
        <f ca="1">CONCATENATE("P",YEAR('Header Record'!B5),TEXT(MONTH('Header Record'!B5),"mm"),TEXT(DAY('Header Record'!B5),"dd"),"-",LEFT('Control Data (Hidden)'!B16,23))</f>
        <v>P20210123-D560411B-3636-3A16-0D5E</v>
      </c>
      <c r="C20" s="39"/>
      <c r="D20" s="41"/>
      <c r="E20" s="40"/>
      <c r="F20" s="40"/>
      <c r="G20" s="40"/>
      <c r="H20" s="40"/>
      <c r="I20" s="40"/>
      <c r="J20" s="40"/>
      <c r="K20" s="40"/>
    </row>
  </sheetData>
  <sheetProtection formatColumns="0" selectLockedCells="1"/>
  <mergeCells count="4">
    <mergeCell ref="C5:I5"/>
    <mergeCell ref="C6:I6"/>
    <mergeCell ref="C7:I7"/>
    <mergeCell ref="C1:I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Syncovery</dc:creator>
  <cp:lastModifiedBy>chribonn</cp:lastModifiedBy>
  <dcterms:created xsi:type="dcterms:W3CDTF">2020-09-21T07:24:46Z</dcterms:created>
  <dcterms:modified xsi:type="dcterms:W3CDTF">2021-02-23T08:02:20Z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