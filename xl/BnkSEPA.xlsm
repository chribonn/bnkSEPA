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backupFile="1" codeName="ThisWorkbook"/>
  <mc:AlternateContent xmlns:mc="http://schemas.openxmlformats.org/markup-compatibility/2006">
    <mc:Choice Requires="x15">
      <x15ac:absPath xmlns:x15ac="http://schemas.microsoft.com/office/spreadsheetml/2010/11/ac" url="D:\Users\ACB_Admin\Downloads\"/>
    </mc:Choice>
  </mc:AlternateContent>
  <workbookProtection workbookAlgorithmName="SHA-512" workbookHashValue="rPTDg40orCsgVlCQkrLh3JPPkcdWbN9081Bicgcj5RVoAajWo1VJgBQ13bBlw0tGHvEhnOuHW+2IzZ8YLC/Bmw==" workbookSaltValue="p4CoK1cIxBGPynbcYS8Kdw==" workbookSpinCount="100000" lockStructure="1"/>
  <bookViews>
    <workbookView xWindow="-120" yWindow="-120" windowWidth="29040" windowHeight="15840" tabRatio="508" firstSheet="1" activeTab="2"/>
  </bookViews>
  <sheets>
    <sheet name="Header Record" sheetId="1" state="hidden"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52511"/>
  <pivotCaches>
    <pivotCache cacheId="45"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3" l="1"/>
  <c r="B14" i="3"/>
  <c r="D5" i="2" l="1"/>
  <c r="E5" i="2"/>
  <c r="I6" i="2" l="1"/>
  <c r="A2" i="5"/>
  <c r="C5" i="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C6" i="2"/>
  <c r="E6" i="1"/>
  <c r="B6" i="1"/>
  <c r="F6" i="1" l="1"/>
</calcChain>
</file>

<file path=xl/sharedStrings.xml><?xml version="1.0" encoding="utf-8"?>
<sst xmlns="http://schemas.openxmlformats.org/spreadsheetml/2006/main" count="352" uniqueCount="155">
  <si>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</si>
  <si>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</si>
  <si>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</si>
  <si>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</si>
  <si>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</si>
  <si>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</si>
  <si>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</si>
  <si>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</si>
  <si>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</si>
  <si>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</si>
  <si>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</si>
  <si>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</si>
  <si>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</si>
  <si>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</si>
  <si>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</si>
  <si>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</si>
  <si>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</si>
  <si>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</si>
  <si>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</si>
  <si>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</si>
  <si>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</si>
  <si>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</si>
  <si>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</si>
  <si>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</si>
  <si>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</si>
  <si>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</si>
  <si>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</si>
  <si>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</si>
  <si>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</si>
  <si>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</si>
  <si>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</si>
  <si>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</si>
  <si>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</si>
  <si>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</si>
  <si>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</si>
  <si>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</si>
  <si>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</si>
  <si>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</si>
  <si>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</si>
  <si>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</si>
  <si>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</si>
  <si>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</si>
  <si>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</si>
  <si>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</si>
  <si>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</si>
  <si>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</si>
  <si>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</si>
  <si>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</si>
  <si>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</si>
  <si>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</si>
  <si>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</si>
  <si>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</si>
  <si>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</si>
  <si>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</si>
  <si>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</si>
  <si>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</si>
  <si>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</si>
  <si>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</si>
  <si>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</si>
  <si>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</si>
  <si>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</si>
  <si>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</si>
  <si>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</si>
  <si>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</si>
  <si>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</si>
  <si>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</si>
  <si>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</si>
  <si>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</si>
  <si>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</si>
  <si>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</si>
  <si>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</si>
  <si>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</si>
  <si>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</si>
  <si>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</si>
  <si>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</si>
  <si>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</si>
  <si>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</si>
  <si>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</si>
  <si>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</si>
  <si>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</si>
  <si>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</si>
  <si>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</si>
  <si>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</si>
  <si>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</si>
  <si>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</si>
  <si>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</si>
  <si>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</si>
  <si>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Document Name</t>
  </si>
  <si>
    <t>Version</t>
  </si>
  <si>
    <t>7.0</t>
  </si>
  <si>
    <t xml:space="preserve">Last updated: </t>
  </si>
  <si>
    <t xml:space="preserve"> Version</t>
  </si>
  <si>
    <t>This Excel SpreadSheet</t>
  </si>
  <si>
    <t>©</t>
  </si>
  <si>
    <t>Number of transactions</t>
  </si>
  <si>
    <t>FileName</t>
  </si>
  <si>
    <t>GUID</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</si>
  <si>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</si>
  <si>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</si>
  <si>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</si>
  <si>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</si>
  <si>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</si>
  <si>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</si>
  <si>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</si>
  <si>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</si>
  <si>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</si>
  <si>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</si>
  <si>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</si>
  <si>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</si>
  <si>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</si>
  <si>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</si>
  <si>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</si>
  <si>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</si>
  <si>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</si>
  <si>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</si>
  <si>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</si>
  <si>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</si>
  <si>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</si>
  <si>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</si>
  <si>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</si>
  <si>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</si>
  <si>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</si>
  <si>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</si>
  <si>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</si>
  <si>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</si>
  <si>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</si>
  <si>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</si>
  <si>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</si>
  <si>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</si>
  <si>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</si>
  <si>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</si>
  <si>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</si>
  <si>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</si>
  <si>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</si>
  <si>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</si>
  <si>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</si>
  <si>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</si>
  <si>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</si>
  <si>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</si>
  <si>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</si>
  <si>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</si>
  <si>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</si>
  <si>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</si>
  <si>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</si>
  <si>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</si>
  <si>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</si>
  <si>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</si>
  <si>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</si>
  <si>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</si>
  <si>
    <t>1.37.01</t>
  </si>
  <si>
    <t>* Increased row count</t>
  </si>
  <si>
    <t>ACB, 2020-2023</t>
  </si>
  <si>
    <t>1.38.01</t>
  </si>
  <si>
    <t xml:space="preserve">Payments Business Electronic Banking Services 
SEPA Credit Transfers file layout
Pain.001.001.03 v 8.5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</si>
  <si>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 xml:space="preserve">* Updates as described by SEPA Credit Transfers file layout Pain.001.001.03 v 8.5 dated 01/09/2023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</si>
</sst>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0" fillId="0" borderId="2" xfId="0" applyBorder="1" applyProtection="1"/>
    <xf numFmtId="0" fontId="0" fillId="0" borderId="3" xfId="0" applyBorder="1" applyProtection="1"/>
    <xf numFmtId="0" fontId="3" fillId="0" borderId="0" xfId="0" applyFont="1" applyAlignment="1">
      <alignment horizontal="center" vertical="center"/>
    </xf>
    <xf numFmtId="0" fontId="0" fillId="0" borderId="0" xfId="0" applyFill="1" applyAlignment="1" applyProtection="1">
      <alignment horizontal="center"/>
      <protection hidden="1"/>
    </xf>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226219</xdr:colOff>
      <xdr:row>2</xdr:row>
      <xdr:rowOff>500062</xdr:rowOff>
    </xdr:from>
    <xdr:to>
      <xdr:col>18</xdr:col>
      <xdr:colOff>154781</xdr:colOff>
      <xdr:row>2</xdr:row>
      <xdr:rowOff>1440656</xdr:rowOff>
    </xdr:to>
    <xdr:sp macro="[0]!Sheet3.ClearSheet" textlink="">
      <xdr:nvSpPr>
        <xdr:cNvPr id="2" name="Rectangle: Rounded Corners 1">
          <a:extLst>
            <a:ext uri="{FF2B5EF4-FFF2-40B4-BE49-F238E27FC236}">
              <a16:creationId xmlns="" xmlns:a16="http://schemas.microsoft.com/office/drawing/2014/main"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yncovery" refreshedDate="45192.456353703703" createdVersion="5" refreshedVersion="5" minRefreshableVersion="3" recordCount="51">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5" applyNumberFormats="0" applyBorderFormats="0" applyFontFormats="0" applyPatternFormats="0" applyAlignmentFormats="0" applyWidthHeightFormats="1" dataCaption="Values" updatedVersion="5"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EC6C6"/>
  </sheetPr>
  <dimension ref="A1:H9"/>
  <sheetViews>
    <sheetView workbookViewId="0">
      <selection activeCell="A5" sqref="A5"/>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hidden="1"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98</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72</v>
      </c>
      <c r="H3" s="2" t="s">
        <v>65</v>
      </c>
    </row>
    <row r="4" spans="1:8" s="2" customFormat="1" ht="15.75" thickBot="1" x14ac:dyDescent="0.3">
      <c r="A4" s="2" t="s">
        <v>67</v>
      </c>
      <c r="C4" s="3"/>
      <c r="D4" s="3"/>
      <c r="E4" s="21" t="s">
        <v>71</v>
      </c>
      <c r="F4" s="2" t="s">
        <v>73</v>
      </c>
      <c r="H4" s="2" t="s">
        <v>68</v>
      </c>
    </row>
    <row r="5" spans="1:8" s="5" customFormat="1" ht="15.75" thickBot="1" x14ac:dyDescent="0.3">
      <c r="A5" s="34"/>
      <c r="B5" s="57">
        <f ca="1">NOW()</f>
        <v>45192.456353819442</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134</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algorithmName="SHA-512" hashValue="s0SzwNn6aTtBcXtjriociKrG6MVSFCbZNzXbATr5DIughq5rYETLJjSrRAIu4fkClqHaY7miLRc2j6AcjgJrCA==" saltValue="9cyDtuxMd47OeZiRYG8UjA=="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formula1>36</formula1>
    </dataValidation>
    <dataValidation type="textLength" allowBlank="1" showInputMessage="1" showErrorMessage="1" errorTitle="Header Record: Nm" error="The value must be between 1 and 70 characters in length_x000a_" sqref="E5">
      <formula1>1</formula1>
      <formula2>70</formula2>
    </dataValidation>
    <dataValidation type="textLength" showInputMessage="1" showErrorMessage="1" errorTitle="Header Record: Id" error="This value is provide by the bank" sqref="F5">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O22"/>
  <sheetViews>
    <sheetView workbookViewId="0">
      <selection activeCell="A5" sqref="A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33.140625" customWidth="1"/>
    <col min="10" max="10" width="19.28515625" customWidth="1"/>
    <col min="11" max="11" width="13" customWidth="1"/>
    <col min="12" max="12" width="11.7109375" style="3" customWidth="1"/>
    <col min="13" max="13" width="10.42578125" customWidth="1"/>
  </cols>
  <sheetData>
    <row r="1" spans="1:15" s="1" customFormat="1" x14ac:dyDescent="0.25">
      <c r="A1" s="1" t="s">
        <v>15</v>
      </c>
      <c r="B1" s="3" t="s">
        <v>77</v>
      </c>
      <c r="C1" s="1" t="s">
        <v>21</v>
      </c>
      <c r="D1" s="3" t="s">
        <v>2</v>
      </c>
      <c r="E1" s="3" t="s">
        <v>4</v>
      </c>
      <c r="F1" s="3" t="s">
        <v>38</v>
      </c>
      <c r="G1" s="1" t="s">
        <v>27</v>
      </c>
      <c r="H1" s="1" t="s">
        <v>6</v>
      </c>
      <c r="I1" s="1" t="s">
        <v>30</v>
      </c>
      <c r="J1" s="1" t="s">
        <v>30</v>
      </c>
      <c r="K1" s="1" t="s">
        <v>33</v>
      </c>
      <c r="L1" s="3" t="s">
        <v>82</v>
      </c>
      <c r="M1" s="1" t="s">
        <v>35</v>
      </c>
      <c r="O1" t="s">
        <v>10</v>
      </c>
    </row>
    <row r="2" spans="1:15" s="1" customFormat="1" ht="120" x14ac:dyDescent="0.25">
      <c r="A2" s="1" t="s">
        <v>99</v>
      </c>
      <c r="B2" s="4" t="s">
        <v>78</v>
      </c>
      <c r="C2" s="1" t="s">
        <v>22</v>
      </c>
      <c r="D2" s="4" t="s">
        <v>3</v>
      </c>
      <c r="E2" s="4" t="s">
        <v>5</v>
      </c>
      <c r="F2" s="4" t="s">
        <v>78</v>
      </c>
      <c r="G2" s="1" t="s">
        <v>28</v>
      </c>
      <c r="H2" s="1" t="s">
        <v>7</v>
      </c>
      <c r="I2" s="1" t="s">
        <v>143</v>
      </c>
      <c r="J2" s="1" t="s">
        <v>31</v>
      </c>
      <c r="K2" s="1" t="s">
        <v>34</v>
      </c>
      <c r="L2" s="4" t="s">
        <v>78</v>
      </c>
      <c r="M2" s="1" t="s">
        <v>36</v>
      </c>
      <c r="O2" s="2" t="s">
        <v>11</v>
      </c>
    </row>
    <row r="3" spans="1:15" s="1" customFormat="1" ht="75" x14ac:dyDescent="0.25">
      <c r="A3" s="1" t="s">
        <v>74</v>
      </c>
      <c r="B3" s="4"/>
      <c r="C3" s="1" t="s">
        <v>23</v>
      </c>
      <c r="D3" s="4" t="s">
        <v>76</v>
      </c>
      <c r="E3" s="4" t="s">
        <v>19</v>
      </c>
      <c r="F3" s="4"/>
      <c r="G3" s="1" t="s">
        <v>29</v>
      </c>
      <c r="H3" s="1" t="s">
        <v>20</v>
      </c>
      <c r="I3" s="1" t="s">
        <v>144</v>
      </c>
      <c r="J3" s="1" t="s">
        <v>32</v>
      </c>
      <c r="L3" s="4"/>
      <c r="O3" s="2" t="s">
        <v>65</v>
      </c>
    </row>
    <row r="4" spans="1:15" s="1" customFormat="1" x14ac:dyDescent="0.25">
      <c r="A4" s="1" t="s">
        <v>75</v>
      </c>
      <c r="B4" s="4"/>
      <c r="C4" s="1" t="s">
        <v>69</v>
      </c>
      <c r="D4" s="4" t="s">
        <v>70</v>
      </c>
      <c r="E4" s="4"/>
      <c r="F4" s="4"/>
      <c r="L4" s="4"/>
      <c r="O4" s="1" t="s">
        <v>68</v>
      </c>
    </row>
    <row r="5" spans="1:15" s="1" customFormat="1" x14ac:dyDescent="0.25">
      <c r="A5" s="13"/>
      <c r="B5" s="16" t="s">
        <v>79</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F5" s="16" t="s">
        <v>80</v>
      </c>
      <c r="G5" s="17">
        <v>44742</v>
      </c>
      <c r="H5" s="14" t="s">
        <v>132</v>
      </c>
      <c r="I5" s="14" t="s">
        <v>145</v>
      </c>
      <c r="J5" s="14"/>
      <c r="K5" s="70" t="s">
        <v>133</v>
      </c>
      <c r="L5" s="16" t="s">
        <v>83</v>
      </c>
      <c r="M5" s="71" t="s">
        <v>84</v>
      </c>
      <c r="O5" s="5" t="s">
        <v>12</v>
      </c>
    </row>
    <row r="6" spans="1:15" s="9" customFormat="1" x14ac:dyDescent="0.25">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27" t="str">
        <f>IF(OR(LEN(I5)&lt;1,LEN(I5)&gt;70),"Address must be between 1 and 70 characters long","")</f>
        <v/>
      </c>
      <c r="J6" s="27" t="str">
        <f>IF(LEN(J5)&gt;70,"Address cannot be longer than 70 characters","")</f>
        <v/>
      </c>
      <c r="K6" s="27" t="str">
        <f>IF(OR(LEN(K5)&lt;10,LEN(K5)&gt;34),"IBAN may be up to 34 characters long","")</f>
        <v/>
      </c>
      <c r="L6" s="26"/>
      <c r="M6" s="28" t="str">
        <f>IF(AND(LEN(M5)&lt;&gt;8,LEN(M5)&lt;&gt;11),"BIC must be 8 or 11 characters long","")</f>
        <v/>
      </c>
      <c r="N6" s="7"/>
      <c r="O6" s="1" t="s">
        <v>13</v>
      </c>
    </row>
    <row r="7" spans="1:15" s="1" customFormat="1" x14ac:dyDescent="0.25">
      <c r="A7" s="29"/>
      <c r="B7" s="30"/>
      <c r="C7" s="31"/>
      <c r="D7" s="30"/>
      <c r="E7" s="30"/>
      <c r="F7" s="30"/>
      <c r="G7" s="32" t="str">
        <f ca="1">IF(G5=TODAY(),"Files must be submitted before 11:30am to be processed on the same day. Files submitted after 2:30pm will incur additional charges","")</f>
        <v/>
      </c>
      <c r="H7" s="31"/>
      <c r="I7" s="31"/>
      <c r="J7" s="31"/>
      <c r="K7" s="31"/>
      <c r="L7" s="30"/>
      <c r="M7" s="33"/>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formatColumns="0" selectLockedCells="1"/>
  <dataValidations count="7">
    <dataValidation type="textLength" showInputMessage="1" showErrorMessage="1" errorTitle="Pay Info Rec: PmtInfId" error="Thie length of this item must be between 1 and 35 characters long_x000a_" sqref="B5 F5 L5">
      <formula1>1</formula1>
      <formula2>35</formula2>
    </dataValidation>
    <dataValidation type="textLength" showInputMessage="1" showErrorMessage="1" errorTitle="Pay Info Rec: Nm" error="Name must be between 1 and 70 characters long." sqref="H5">
      <formula1>1</formula1>
      <formula2>70</formula2>
    </dataValidation>
    <dataValidation type="textLength" operator="lessThanOrEqual" allowBlank="1" showInputMessage="1" showErrorMessage="1" errorTitle="Pay Info Rec: PstlAdr:AdrLine" error="This item cannot be longer than 70 characters" sqref="J5">
      <formula1>70</formula1>
    </dataValidation>
    <dataValidation type="textLength" showInputMessage="1" showErrorMessage="1" errorTitle="Pay Info Rec: IBAN" error="This must be up to 34 characters in length_x000a_" sqref="K5">
      <formula1>4</formula1>
      <formula2>34</formula2>
    </dataValidation>
    <dataValidation type="textLength" showInputMessage="1" showErrorMessage="1" errorTitle="Pay Info Rec: BIC" error="BIC should be either 8 or 11 characters in length" sqref="M5">
      <formula1>8</formula1>
      <formula2>11</formula2>
    </dataValidation>
    <dataValidation type="textLength" operator="lessThan" showInputMessage="1" showErrorMessage="1" errorTitle="Pay Info Rec: PmtInfId" error="Thie length of this item must be between 1 and 35 characters long_x000a_" sqref="A5">
      <formula1>36</formula1>
    </dataValidation>
    <dataValidation type="textLength" showInputMessage="1" showErrorMessage="1" errorTitle="Pay Info Rec: AdrLine" error="Address Line 1 must be between 1 and 70 characters long." sqref="I5">
      <formula1>1</formula1>
      <formula2>70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14:formula1>
            <xm:f>'Control Data (Hidden)'!$D$9:$E$9</xm:f>
          </x14:formula1>
          <xm:sqref>C5</xm:sqref>
        </x14:dataValidation>
        <x14:dataValidation type="date" allowBlank="1" showInputMessage="1" showErrorMessage="1" errorTitle="Pay Info Rec: ReqdExctnDt" error="The date is invalid">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1:M106"/>
  <sheetViews>
    <sheetView tabSelected="1" zoomScale="85" zoomScaleNormal="85" workbookViewId="0">
      <pane ySplit="4" topLeftCell="A5" activePane="bottomLeft" state="frozen"/>
      <selection activeCell="A5" sqref="A5"/>
      <selection pane="bottomLeft" activeCell="B5" sqref="B5"/>
    </sheetView>
  </sheetViews>
  <sheetFormatPr defaultRowHeight="15" x14ac:dyDescent="0.25"/>
  <cols>
    <col min="1" max="1" width="39.28515625" customWidth="1"/>
    <col min="2" max="2" width="25.28515625" customWidth="1"/>
    <col min="3" max="3" width="13.28515625" style="3"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53</v>
      </c>
      <c r="B1" s="1" t="s">
        <v>55</v>
      </c>
      <c r="C1" s="3" t="s">
        <v>82</v>
      </c>
      <c r="D1" s="1" t="s">
        <v>57</v>
      </c>
      <c r="E1" s="1" t="s">
        <v>35</v>
      </c>
      <c r="F1" s="1" t="s">
        <v>6</v>
      </c>
      <c r="G1" s="1" t="s">
        <v>30</v>
      </c>
      <c r="H1" s="1" t="s">
        <v>30</v>
      </c>
      <c r="I1" s="1" t="s">
        <v>33</v>
      </c>
      <c r="J1" s="1" t="s">
        <v>38</v>
      </c>
      <c r="K1" s="1" t="s">
        <v>62</v>
      </c>
      <c r="M1" t="s">
        <v>10</v>
      </c>
    </row>
    <row r="2" spans="1:13" s="1" customFormat="1" ht="120" x14ac:dyDescent="0.25">
      <c r="A2" s="1" t="s">
        <v>54</v>
      </c>
      <c r="B2" s="1" t="s">
        <v>56</v>
      </c>
      <c r="C2" s="4" t="s">
        <v>78</v>
      </c>
      <c r="D2" s="1" t="s">
        <v>58</v>
      </c>
      <c r="E2" s="1" t="s">
        <v>59</v>
      </c>
      <c r="F2" s="1" t="s">
        <v>60</v>
      </c>
      <c r="G2" s="1" t="s">
        <v>103</v>
      </c>
      <c r="H2" s="1" t="s">
        <v>104</v>
      </c>
      <c r="I2" s="1" t="s">
        <v>61</v>
      </c>
      <c r="J2" s="1" t="s">
        <v>85</v>
      </c>
      <c r="K2" s="1" t="s">
        <v>63</v>
      </c>
      <c r="M2" s="2" t="s">
        <v>11</v>
      </c>
    </row>
    <row r="3" spans="1:13" s="1" customFormat="1" ht="210" x14ac:dyDescent="0.25">
      <c r="A3" s="1" t="s">
        <v>17</v>
      </c>
      <c r="B3" s="1" t="s">
        <v>17</v>
      </c>
      <c r="C3" s="4"/>
      <c r="D3" s="1" t="s">
        <v>19</v>
      </c>
      <c r="E3" s="59" t="s">
        <v>111</v>
      </c>
      <c r="F3" s="1" t="s">
        <v>102</v>
      </c>
      <c r="G3" s="1" t="s">
        <v>108</v>
      </c>
      <c r="H3" s="1" t="s">
        <v>109</v>
      </c>
      <c r="I3" s="59" t="s">
        <v>110</v>
      </c>
      <c r="K3" s="1" t="s">
        <v>64</v>
      </c>
      <c r="M3" s="2" t="s">
        <v>65</v>
      </c>
    </row>
    <row r="4" spans="1:13" s="1" customFormat="1" x14ac:dyDescent="0.25">
      <c r="A4" s="1" t="s">
        <v>67</v>
      </c>
      <c r="B4" s="1" t="s">
        <v>67</v>
      </c>
      <c r="C4" s="4"/>
      <c r="D4" s="10" t="s">
        <v>66</v>
      </c>
      <c r="M4" s="1" t="s">
        <v>68</v>
      </c>
    </row>
    <row r="5" spans="1:13" x14ac:dyDescent="0.25">
      <c r="A5" s="58"/>
      <c r="B5" s="58"/>
      <c r="C5" s="37" t="s">
        <v>83</v>
      </c>
      <c r="D5" s="58"/>
      <c r="E5" s="58"/>
      <c r="F5" s="58"/>
      <c r="G5" s="58"/>
      <c r="H5" s="58"/>
      <c r="I5" s="58"/>
      <c r="J5" s="58"/>
      <c r="K5" s="58"/>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25">
      <c r="A7" s="58"/>
      <c r="B7" s="58"/>
      <c r="C7" s="37" t="s">
        <v>83</v>
      </c>
      <c r="D7" s="58"/>
      <c r="E7" s="58"/>
      <c r="F7" s="58"/>
      <c r="G7" s="58"/>
      <c r="H7" s="58"/>
      <c r="I7" s="58"/>
      <c r="J7" s="58"/>
      <c r="K7" s="58"/>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25">
      <c r="A9" s="58"/>
      <c r="B9" s="58"/>
      <c r="C9" s="37" t="s">
        <v>83</v>
      </c>
      <c r="D9" s="58"/>
      <c r="E9" s="58"/>
      <c r="F9" s="58"/>
      <c r="G9" s="58"/>
      <c r="H9" s="58"/>
      <c r="I9" s="58"/>
      <c r="J9" s="58"/>
      <c r="K9" s="58"/>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25">
      <c r="A11" s="58"/>
      <c r="B11" s="58"/>
      <c r="C11" s="37" t="s">
        <v>83</v>
      </c>
      <c r="D11" s="58"/>
      <c r="E11" s="58"/>
      <c r="F11" s="58"/>
      <c r="G11" s="58"/>
      <c r="H11" s="58"/>
      <c r="I11" s="58"/>
      <c r="J11" s="58"/>
      <c r="K11" s="58"/>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25">
      <c r="A13" s="58"/>
      <c r="B13" s="58"/>
      <c r="C13" s="37" t="s">
        <v>83</v>
      </c>
      <c r="D13" s="58"/>
      <c r="E13" s="58"/>
      <c r="F13" s="58"/>
      <c r="G13" s="58"/>
      <c r="H13" s="58"/>
      <c r="I13" s="58"/>
      <c r="J13" s="58"/>
      <c r="K13" s="58"/>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25">
      <c r="A15" s="58"/>
      <c r="B15" s="58"/>
      <c r="C15" s="37" t="s">
        <v>83</v>
      </c>
      <c r="D15" s="58"/>
      <c r="E15" s="58"/>
      <c r="F15" s="58"/>
      <c r="G15" s="58"/>
      <c r="H15" s="58"/>
      <c r="I15" s="58"/>
      <c r="J15" s="58"/>
      <c r="K15" s="58"/>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25">
      <c r="A17" s="58"/>
      <c r="B17" s="58"/>
      <c r="C17" s="37" t="s">
        <v>83</v>
      </c>
      <c r="D17" s="58"/>
      <c r="E17" s="58"/>
      <c r="F17" s="58"/>
      <c r="G17" s="58"/>
      <c r="H17" s="58"/>
      <c r="I17" s="58"/>
      <c r="J17" s="58"/>
      <c r="K17" s="58"/>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25">
      <c r="A19" s="58"/>
      <c r="B19" s="58"/>
      <c r="C19" s="37" t="s">
        <v>83</v>
      </c>
      <c r="D19" s="58"/>
      <c r="E19" s="58"/>
      <c r="F19" s="58"/>
      <c r="G19" s="58"/>
      <c r="H19" s="58"/>
      <c r="I19" s="58"/>
      <c r="J19" s="58"/>
      <c r="K19" s="58"/>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25">
      <c r="A21" s="58"/>
      <c r="B21" s="58"/>
      <c r="C21" s="37" t="s">
        <v>83</v>
      </c>
      <c r="D21" s="58"/>
      <c r="E21" s="58"/>
      <c r="F21" s="58"/>
      <c r="G21" s="58"/>
      <c r="H21" s="58"/>
      <c r="I21" s="58"/>
      <c r="J21" s="58"/>
      <c r="K21" s="58"/>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25">
      <c r="A23" s="58"/>
      <c r="B23" s="58"/>
      <c r="C23" s="37" t="s">
        <v>83</v>
      </c>
      <c r="D23" s="58"/>
      <c r="E23" s="58"/>
      <c r="F23" s="58"/>
      <c r="G23" s="58"/>
      <c r="H23" s="58"/>
      <c r="I23" s="58"/>
      <c r="J23" s="58"/>
      <c r="K23" s="58"/>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25">
      <c r="A25" s="58"/>
      <c r="B25" s="58"/>
      <c r="C25" s="37" t="s">
        <v>83</v>
      </c>
      <c r="D25" s="58"/>
      <c r="E25" s="58"/>
      <c r="F25" s="58"/>
      <c r="G25" s="58"/>
      <c r="H25" s="58"/>
      <c r="I25" s="58"/>
      <c r="J25" s="58"/>
      <c r="K25" s="58"/>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25">
      <c r="A27" s="58"/>
      <c r="B27" s="58"/>
      <c r="C27" s="37" t="s">
        <v>83</v>
      </c>
      <c r="D27" s="58"/>
      <c r="E27" s="58"/>
      <c r="F27" s="58"/>
      <c r="G27" s="58"/>
      <c r="H27" s="58"/>
      <c r="I27" s="58"/>
      <c r="J27" s="58"/>
      <c r="K27" s="58"/>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25">
      <c r="A29" s="58"/>
      <c r="B29" s="58"/>
      <c r="C29" s="37" t="s">
        <v>83</v>
      </c>
      <c r="D29" s="58"/>
      <c r="E29" s="58"/>
      <c r="F29" s="58"/>
      <c r="G29" s="58"/>
      <c r="H29" s="58"/>
      <c r="I29" s="58"/>
      <c r="J29" s="58"/>
      <c r="K29" s="58"/>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25">
      <c r="A31" s="58"/>
      <c r="B31" s="58"/>
      <c r="C31" s="37" t="s">
        <v>83</v>
      </c>
      <c r="D31" s="58"/>
      <c r="E31" s="58"/>
      <c r="F31" s="58"/>
      <c r="G31" s="58"/>
      <c r="H31" s="58"/>
      <c r="I31" s="58"/>
      <c r="J31" s="58"/>
      <c r="K31" s="58"/>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25">
      <c r="A33" s="58"/>
      <c r="B33" s="58"/>
      <c r="C33" s="37" t="s">
        <v>83</v>
      </c>
      <c r="D33" s="58"/>
      <c r="E33" s="58"/>
      <c r="F33" s="58"/>
      <c r="G33" s="58"/>
      <c r="H33" s="58"/>
      <c r="I33" s="58"/>
      <c r="J33" s="58"/>
      <c r="K33" s="58"/>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25">
      <c r="A35" s="58"/>
      <c r="B35" s="58"/>
      <c r="C35" s="37" t="s">
        <v>83</v>
      </c>
      <c r="D35" s="58"/>
      <c r="E35" s="58"/>
      <c r="F35" s="58"/>
      <c r="G35" s="58"/>
      <c r="H35" s="58"/>
      <c r="I35" s="58"/>
      <c r="J35" s="58"/>
      <c r="K35" s="58"/>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25">
      <c r="A37" s="58"/>
      <c r="B37" s="58"/>
      <c r="C37" s="37" t="s">
        <v>83</v>
      </c>
      <c r="D37" s="58"/>
      <c r="E37" s="58"/>
      <c r="F37" s="58"/>
      <c r="G37" s="58"/>
      <c r="H37" s="58"/>
      <c r="I37" s="58"/>
      <c r="J37" s="58"/>
      <c r="K37" s="58"/>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25">
      <c r="A39" s="58"/>
      <c r="B39" s="58"/>
      <c r="C39" s="37" t="s">
        <v>83</v>
      </c>
      <c r="D39" s="58"/>
      <c r="E39" s="58"/>
      <c r="F39" s="58"/>
      <c r="G39" s="58"/>
      <c r="H39" s="58"/>
      <c r="I39" s="58"/>
      <c r="J39" s="58"/>
      <c r="K39" s="58"/>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25">
      <c r="A41" s="58"/>
      <c r="B41" s="58"/>
      <c r="C41" s="37" t="s">
        <v>83</v>
      </c>
      <c r="D41" s="58"/>
      <c r="E41" s="58"/>
      <c r="F41" s="58"/>
      <c r="G41" s="58"/>
      <c r="H41" s="58"/>
      <c r="I41" s="58"/>
      <c r="J41" s="58"/>
      <c r="K41" s="58"/>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25">
      <c r="A43" s="58"/>
      <c r="B43" s="58"/>
      <c r="C43" s="37" t="s">
        <v>83</v>
      </c>
      <c r="D43" s="58"/>
      <c r="E43" s="58"/>
      <c r="F43" s="58"/>
      <c r="G43" s="58"/>
      <c r="H43" s="58"/>
      <c r="I43" s="58"/>
      <c r="J43" s="58"/>
      <c r="K43" s="58"/>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25">
      <c r="A45" s="58"/>
      <c r="B45" s="58"/>
      <c r="C45" s="37" t="s">
        <v>83</v>
      </c>
      <c r="D45" s="58"/>
      <c r="E45" s="58"/>
      <c r="F45" s="58"/>
      <c r="G45" s="58"/>
      <c r="H45" s="58"/>
      <c r="I45" s="58"/>
      <c r="J45" s="58"/>
      <c r="K45" s="58"/>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25">
      <c r="A47" s="58"/>
      <c r="B47" s="58"/>
      <c r="C47" s="37" t="s">
        <v>83</v>
      </c>
      <c r="D47" s="58"/>
      <c r="E47" s="58"/>
      <c r="F47" s="58"/>
      <c r="G47" s="58"/>
      <c r="H47" s="58"/>
      <c r="I47" s="58"/>
      <c r="J47" s="58"/>
      <c r="K47" s="58"/>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25">
      <c r="A49" s="58"/>
      <c r="B49" s="58"/>
      <c r="C49" s="37" t="s">
        <v>83</v>
      </c>
      <c r="D49" s="58"/>
      <c r="E49" s="58"/>
      <c r="F49" s="58"/>
      <c r="G49" s="58"/>
      <c r="H49" s="58"/>
      <c r="I49" s="58"/>
      <c r="J49" s="58"/>
      <c r="K49" s="58"/>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25">
      <c r="A51" s="58"/>
      <c r="B51" s="58"/>
      <c r="C51" s="37" t="s">
        <v>83</v>
      </c>
      <c r="D51" s="58"/>
      <c r="E51" s="58"/>
      <c r="F51" s="58"/>
      <c r="G51" s="58"/>
      <c r="H51" s="58"/>
      <c r="I51" s="58"/>
      <c r="J51" s="58"/>
      <c r="K51" s="58"/>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25">
      <c r="A53" s="58"/>
      <c r="B53" s="58"/>
      <c r="C53" s="37" t="s">
        <v>83</v>
      </c>
      <c r="D53" s="58"/>
      <c r="E53" s="58"/>
      <c r="F53" s="58"/>
      <c r="G53" s="58"/>
      <c r="H53" s="58"/>
      <c r="I53" s="58"/>
      <c r="J53" s="58"/>
      <c r="K53" s="58"/>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25">
      <c r="A55" s="58"/>
      <c r="B55" s="58"/>
      <c r="C55" s="37" t="s">
        <v>83</v>
      </c>
      <c r="D55" s="58"/>
      <c r="E55" s="58"/>
      <c r="F55" s="58"/>
      <c r="G55" s="58"/>
      <c r="H55" s="58"/>
      <c r="I55" s="58"/>
      <c r="J55" s="58"/>
      <c r="K55" s="58"/>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25">
      <c r="A57" s="58"/>
      <c r="B57" s="58"/>
      <c r="C57" s="37" t="s">
        <v>83</v>
      </c>
      <c r="D57" s="58"/>
      <c r="E57" s="58"/>
      <c r="F57" s="58"/>
      <c r="G57" s="58"/>
      <c r="H57" s="58"/>
      <c r="I57" s="58"/>
      <c r="J57" s="58"/>
      <c r="K57" s="58"/>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25">
      <c r="A59" s="58"/>
      <c r="B59" s="58"/>
      <c r="C59" s="37" t="s">
        <v>83</v>
      </c>
      <c r="D59" s="58"/>
      <c r="E59" s="58"/>
      <c r="F59" s="58"/>
      <c r="G59" s="58"/>
      <c r="H59" s="58"/>
      <c r="I59" s="58"/>
      <c r="J59" s="58"/>
      <c r="K59" s="58"/>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25">
      <c r="A61" s="58"/>
      <c r="B61" s="58"/>
      <c r="C61" s="37" t="s">
        <v>83</v>
      </c>
      <c r="D61" s="58"/>
      <c r="E61" s="58"/>
      <c r="F61" s="58"/>
      <c r="G61" s="58"/>
      <c r="H61" s="58"/>
      <c r="I61" s="58"/>
      <c r="J61" s="58"/>
      <c r="K61" s="58"/>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25">
      <c r="A63" s="58"/>
      <c r="B63" s="58"/>
      <c r="C63" s="37" t="s">
        <v>83</v>
      </c>
      <c r="D63" s="58"/>
      <c r="E63" s="58"/>
      <c r="F63" s="58"/>
      <c r="G63" s="58"/>
      <c r="H63" s="58"/>
      <c r="I63" s="58"/>
      <c r="J63" s="58"/>
      <c r="K63" s="58"/>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25">
      <c r="A65" s="58"/>
      <c r="B65" s="58"/>
      <c r="C65" s="37" t="s">
        <v>83</v>
      </c>
      <c r="D65" s="58"/>
      <c r="E65" s="58"/>
      <c r="F65" s="58"/>
      <c r="G65" s="58"/>
      <c r="H65" s="58"/>
      <c r="I65" s="58"/>
      <c r="J65" s="58"/>
      <c r="K65" s="58"/>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25">
      <c r="A67" s="58"/>
      <c r="B67" s="58"/>
      <c r="C67" s="37" t="s">
        <v>83</v>
      </c>
      <c r="D67" s="58"/>
      <c r="E67" s="58"/>
      <c r="F67" s="58"/>
      <c r="G67" s="58"/>
      <c r="H67" s="58"/>
      <c r="I67" s="58"/>
      <c r="J67" s="58"/>
      <c r="K67" s="58"/>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25">
      <c r="A69" s="58"/>
      <c r="B69" s="58"/>
      <c r="C69" s="37" t="s">
        <v>83</v>
      </c>
      <c r="D69" s="58"/>
      <c r="E69" s="58"/>
      <c r="F69" s="58"/>
      <c r="G69" s="58"/>
      <c r="H69" s="58"/>
      <c r="I69" s="58"/>
      <c r="J69" s="58"/>
      <c r="K69" s="58"/>
      <c r="M69" s="5" t="s">
        <v>12</v>
      </c>
    </row>
    <row r="70" spans="1:13" ht="45" x14ac:dyDescent="0.2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25">
      <c r="A71" s="58"/>
      <c r="B71" s="58"/>
      <c r="C71" s="37" t="s">
        <v>83</v>
      </c>
      <c r="D71" s="58"/>
      <c r="E71" s="58"/>
      <c r="F71" s="58"/>
      <c r="G71" s="58"/>
      <c r="H71" s="58"/>
      <c r="I71" s="58"/>
      <c r="J71" s="58"/>
      <c r="K71" s="58"/>
      <c r="M71" s="5" t="s">
        <v>12</v>
      </c>
    </row>
    <row r="72" spans="1:13" ht="45" x14ac:dyDescent="0.2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25">
      <c r="A73" s="58"/>
      <c r="B73" s="58"/>
      <c r="C73" s="37" t="s">
        <v>83</v>
      </c>
      <c r="D73" s="58"/>
      <c r="E73" s="58"/>
      <c r="F73" s="58"/>
      <c r="G73" s="58"/>
      <c r="H73" s="58"/>
      <c r="I73" s="58"/>
      <c r="J73" s="58"/>
      <c r="K73" s="58"/>
      <c r="M73" s="5" t="s">
        <v>12</v>
      </c>
    </row>
    <row r="74" spans="1:13" ht="45" x14ac:dyDescent="0.2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25">
      <c r="A75" s="58"/>
      <c r="B75" s="58"/>
      <c r="C75" s="37" t="s">
        <v>83</v>
      </c>
      <c r="D75" s="58"/>
      <c r="E75" s="58"/>
      <c r="F75" s="58"/>
      <c r="G75" s="58"/>
      <c r="H75" s="58"/>
      <c r="I75" s="58"/>
      <c r="J75" s="58"/>
      <c r="K75" s="58"/>
      <c r="M75" s="5" t="s">
        <v>12</v>
      </c>
    </row>
    <row r="76" spans="1:13" ht="45" x14ac:dyDescent="0.2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25">
      <c r="A77" s="58"/>
      <c r="B77" s="58"/>
      <c r="C77" s="37" t="s">
        <v>83</v>
      </c>
      <c r="D77" s="58"/>
      <c r="E77" s="58"/>
      <c r="F77" s="58"/>
      <c r="G77" s="58"/>
      <c r="H77" s="58"/>
      <c r="I77" s="58"/>
      <c r="J77" s="58"/>
      <c r="K77" s="58"/>
      <c r="M77" s="5" t="s">
        <v>12</v>
      </c>
    </row>
    <row r="78" spans="1:13" ht="45" x14ac:dyDescent="0.2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25">
      <c r="A79" s="58"/>
      <c r="B79" s="58"/>
      <c r="C79" s="37" t="s">
        <v>83</v>
      </c>
      <c r="D79" s="58"/>
      <c r="E79" s="58"/>
      <c r="F79" s="58"/>
      <c r="G79" s="58"/>
      <c r="H79" s="58"/>
      <c r="I79" s="58"/>
      <c r="J79" s="58"/>
      <c r="K79" s="58"/>
      <c r="M79" s="5" t="s">
        <v>12</v>
      </c>
    </row>
    <row r="80" spans="1:13" ht="45" x14ac:dyDescent="0.2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25">
      <c r="A81" s="58"/>
      <c r="B81" s="58"/>
      <c r="C81" s="37" t="s">
        <v>83</v>
      </c>
      <c r="D81" s="58"/>
      <c r="E81" s="58"/>
      <c r="F81" s="58"/>
      <c r="G81" s="58"/>
      <c r="H81" s="58"/>
      <c r="I81" s="58"/>
      <c r="J81" s="58"/>
      <c r="K81" s="58"/>
      <c r="M81" s="5" t="s">
        <v>12</v>
      </c>
    </row>
    <row r="82" spans="1:13" ht="45" x14ac:dyDescent="0.2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25">
      <c r="A83" s="58"/>
      <c r="B83" s="58"/>
      <c r="C83" s="37" t="s">
        <v>83</v>
      </c>
      <c r="D83" s="58"/>
      <c r="E83" s="58"/>
      <c r="F83" s="58"/>
      <c r="G83" s="58"/>
      <c r="H83" s="58"/>
      <c r="I83" s="58"/>
      <c r="J83" s="58"/>
      <c r="K83" s="58"/>
      <c r="M83" s="5" t="s">
        <v>12</v>
      </c>
    </row>
    <row r="84" spans="1:13" ht="45" x14ac:dyDescent="0.2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25">
      <c r="A85" s="58"/>
      <c r="B85" s="58"/>
      <c r="C85" s="37" t="s">
        <v>83</v>
      </c>
      <c r="D85" s="58"/>
      <c r="E85" s="58"/>
      <c r="F85" s="58"/>
      <c r="G85" s="58"/>
      <c r="H85" s="58"/>
      <c r="I85" s="58"/>
      <c r="J85" s="58"/>
      <c r="K85" s="58"/>
      <c r="M85" s="5" t="s">
        <v>12</v>
      </c>
    </row>
    <row r="86" spans="1:13" ht="45" x14ac:dyDescent="0.2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25">
      <c r="A87" s="58"/>
      <c r="B87" s="58"/>
      <c r="C87" s="37" t="s">
        <v>83</v>
      </c>
      <c r="D87" s="58"/>
      <c r="E87" s="58"/>
      <c r="F87" s="58"/>
      <c r="G87" s="58"/>
      <c r="H87" s="58"/>
      <c r="I87" s="58"/>
      <c r="J87" s="58"/>
      <c r="K87" s="58"/>
      <c r="M87" s="5" t="s">
        <v>12</v>
      </c>
    </row>
    <row r="88" spans="1:13" ht="45" x14ac:dyDescent="0.2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25">
      <c r="A89" s="58"/>
      <c r="B89" s="58"/>
      <c r="C89" s="37" t="s">
        <v>83</v>
      </c>
      <c r="D89" s="58"/>
      <c r="E89" s="58"/>
      <c r="F89" s="58"/>
      <c r="G89" s="58"/>
      <c r="H89" s="58"/>
      <c r="I89" s="58"/>
      <c r="J89" s="58"/>
      <c r="K89" s="58"/>
      <c r="M89" s="5" t="s">
        <v>12</v>
      </c>
    </row>
    <row r="90" spans="1:13" ht="45" x14ac:dyDescent="0.2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25">
      <c r="A91" s="58"/>
      <c r="B91" s="58"/>
      <c r="C91" s="37" t="s">
        <v>83</v>
      </c>
      <c r="D91" s="58"/>
      <c r="E91" s="58"/>
      <c r="F91" s="58"/>
      <c r="G91" s="58"/>
      <c r="H91" s="58"/>
      <c r="I91" s="58"/>
      <c r="J91" s="58"/>
      <c r="K91" s="58"/>
      <c r="M91" s="5" t="s">
        <v>12</v>
      </c>
    </row>
    <row r="92" spans="1:13" ht="45" x14ac:dyDescent="0.2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25">
      <c r="A93" s="58"/>
      <c r="B93" s="58"/>
      <c r="C93" s="37" t="s">
        <v>83</v>
      </c>
      <c r="D93" s="58"/>
      <c r="E93" s="58"/>
      <c r="F93" s="58"/>
      <c r="G93" s="58"/>
      <c r="H93" s="58"/>
      <c r="I93" s="58"/>
      <c r="J93" s="58"/>
      <c r="K93" s="58"/>
      <c r="M93" s="5" t="s">
        <v>12</v>
      </c>
    </row>
    <row r="94" spans="1:13" ht="45" x14ac:dyDescent="0.2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25">
      <c r="A95" s="58"/>
      <c r="B95" s="58"/>
      <c r="C95" s="37" t="s">
        <v>83</v>
      </c>
      <c r="D95" s="58"/>
      <c r="E95" s="58"/>
      <c r="F95" s="58"/>
      <c r="G95" s="58"/>
      <c r="H95" s="58"/>
      <c r="I95" s="58"/>
      <c r="J95" s="58"/>
      <c r="K95" s="58"/>
      <c r="M95" s="5" t="s">
        <v>12</v>
      </c>
    </row>
    <row r="96" spans="1:13" ht="45" x14ac:dyDescent="0.2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25">
      <c r="A97" s="58"/>
      <c r="B97" s="58"/>
      <c r="C97" s="37" t="s">
        <v>83</v>
      </c>
      <c r="D97" s="58"/>
      <c r="E97" s="58"/>
      <c r="F97" s="58"/>
      <c r="G97" s="58"/>
      <c r="H97" s="58"/>
      <c r="I97" s="58"/>
      <c r="J97" s="58"/>
      <c r="K97" s="58"/>
      <c r="M97" s="5" t="s">
        <v>12</v>
      </c>
    </row>
    <row r="98" spans="1:13" ht="45" x14ac:dyDescent="0.2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25">
      <c r="A99" s="58"/>
      <c r="B99" s="58"/>
      <c r="C99" s="37" t="s">
        <v>83</v>
      </c>
      <c r="D99" s="58"/>
      <c r="E99" s="58"/>
      <c r="F99" s="58"/>
      <c r="G99" s="58"/>
      <c r="H99" s="58"/>
      <c r="I99" s="58"/>
      <c r="J99" s="58"/>
      <c r="K99" s="58"/>
      <c r="M99" s="5" t="s">
        <v>12</v>
      </c>
    </row>
    <row r="100" spans="1:13" ht="45" x14ac:dyDescent="0.2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25">
      <c r="A101" s="58"/>
      <c r="B101" s="58"/>
      <c r="C101" s="37" t="s">
        <v>83</v>
      </c>
      <c r="D101" s="58"/>
      <c r="E101" s="58"/>
      <c r="F101" s="58"/>
      <c r="G101" s="58"/>
      <c r="H101" s="58"/>
      <c r="I101" s="58"/>
      <c r="J101" s="58"/>
      <c r="K101" s="58"/>
      <c r="M101" s="5" t="s">
        <v>12</v>
      </c>
    </row>
    <row r="102" spans="1:13" ht="45" x14ac:dyDescent="0.2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25">
      <c r="A103" s="58"/>
      <c r="B103" s="58"/>
      <c r="C103" s="37" t="s">
        <v>83</v>
      </c>
      <c r="D103" s="58"/>
      <c r="E103" s="58"/>
      <c r="F103" s="58"/>
      <c r="G103" s="58"/>
      <c r="H103" s="58"/>
      <c r="I103" s="58"/>
      <c r="J103" s="58"/>
      <c r="K103" s="58"/>
      <c r="M103" s="5" t="s">
        <v>12</v>
      </c>
    </row>
    <row r="104" spans="1:13" ht="45" x14ac:dyDescent="0.2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25">
      <c r="A105" s="58"/>
      <c r="B105" s="58"/>
      <c r="C105" s="37" t="s">
        <v>83</v>
      </c>
      <c r="D105" s="58"/>
      <c r="E105" s="58"/>
      <c r="F105" s="58"/>
      <c r="G105" s="58"/>
      <c r="H105" s="58"/>
      <c r="I105" s="58"/>
      <c r="J105" s="58"/>
      <c r="K105" s="58"/>
      <c r="M105" s="5" t="s">
        <v>12</v>
      </c>
    </row>
    <row r="106" spans="1:13" ht="45" x14ac:dyDescent="0.2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l3X/GT43wiIbl6K3i/B1hSNGNxOChpjwnXXR3fb4+aCJQCdoH1e4Q+IPOfnsIhkU3u8FEA52HWf2T/ME9+ZJaQ==" saltValue="JuAOgpdmHjNsbB+i0vnCkg==" spinCount="100000" sheet="1" formatColumns="0" selectLockedCells="1"/>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showInputMessage="1" showErrorMessage="1" errorTitle="CIR: Cd" error="Choose a code from the list">
          <x14:formula1>
            <xm:f>'Control Data (Hidden)'!$D$11:$J$11</xm:f>
          </x14:formula1>
          <xm:sqref>J5 J7 J9 J11 J13 J15 J17 J19 J21 J23 J25 J27 J29 J31 J33 J35 J37 J39 J41 J43 J45 J47 J49 J51 J53 J55 J57 J59 J61 J63 J65 J67 J69 J71 J73 J75 J77 J79 J81 J83 J85 J87 J89 J91 J93 J95 J97 J99 J101 J103 J105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sheetPr>
  <dimension ref="A1:X296"/>
  <sheetViews>
    <sheetView workbookViewId="0">
      <selection activeCell="A7" sqref="A7"/>
    </sheetView>
  </sheetViews>
  <sheetFormatPr defaultRowHeight="15" x14ac:dyDescent="0.25"/>
  <cols>
    <col min="1" max="1" width="13.140625" customWidth="1"/>
    <col min="2" max="2" width="15.85546875" customWidth="1"/>
    <col min="3" max="3" width="2.85546875" customWidth="1"/>
    <col min="15" max="15" width="12" bestFit="1" customWidth="1"/>
    <col min="17" max="17" width="2.28515625" customWidth="1"/>
  </cols>
  <sheetData>
    <row r="1" spans="1:24" ht="15.75" thickBot="1" x14ac:dyDescent="0.3">
      <c r="A1" s="97" t="s">
        <v>88</v>
      </c>
      <c r="B1" s="19" t="s">
        <v>95</v>
      </c>
      <c r="D1" s="84" t="s">
        <v>112</v>
      </c>
      <c r="E1" s="85" t="str">
        <f>'Credit Instruction Record'!A1</f>
        <v>InstrId</v>
      </c>
      <c r="F1" s="85" t="str">
        <f>'Credit Instruction Record'!B1</f>
        <v>EndToEndId</v>
      </c>
      <c r="G1" s="85" t="str">
        <f>'Credit Instruction Record'!C1</f>
        <v>Ccy</v>
      </c>
      <c r="H1" s="85" t="str">
        <f>'Credit Instruction Record'!D1</f>
        <v>InstdAmt</v>
      </c>
      <c r="I1" s="85" t="str">
        <f>'Credit Instruction Record'!E1</f>
        <v>BIC</v>
      </c>
      <c r="J1" s="85" t="str">
        <f>'Credit Instruction Record'!F1</f>
        <v>Nm</v>
      </c>
      <c r="K1" s="85" t="str">
        <f>'Credit Instruction Record'!G1</f>
        <v>PstlAdr:AdrLine</v>
      </c>
      <c r="L1" s="85" t="str">
        <f>'Credit Instruction Record'!H1</f>
        <v>PstlAdr:AdrLine</v>
      </c>
      <c r="M1" s="85" t="str">
        <f>'Credit Instruction Record'!I1</f>
        <v>IBAN</v>
      </c>
      <c r="N1" s="85" t="str">
        <f>'Credit Instruction Record'!J1</f>
        <v>Cd</v>
      </c>
      <c r="O1" s="85" t="str">
        <f>'Credit Instruction Record'!K1</f>
        <v>Ustrd</v>
      </c>
      <c r="P1" s="86" t="s">
        <v>124</v>
      </c>
    </row>
    <row r="2" spans="1:24" x14ac:dyDescent="0.25">
      <c r="A2" s="98" t="str">
        <f>'Control Data (Hidden)'!C1</f>
        <v>1.38.01</v>
      </c>
      <c r="B2" t="str">
        <f ca="1">CONCATENATE("BOV_",TEXT(NOW(),"YYYY-MM-DD-HHmmSS"),"000_",'Header Record'!F5)</f>
        <v>BOV_2023-09-23-105709000_XXX000</v>
      </c>
      <c r="D2" s="87">
        <v>1</v>
      </c>
      <c r="E2" s="88" t="str">
        <f>IF(ISBLANK('Credit Instruction Record'!A5),"",'Credit Instruction Record'!A5)</f>
        <v/>
      </c>
      <c r="F2" s="88" t="str">
        <f>IF(ISBLANK('Credit Instruction Record'!B5),"",'Credit Instruction Record'!B5)</f>
        <v/>
      </c>
      <c r="G2" s="88" t="str">
        <f>IF(ISBLANK('Credit Instruction Record'!C5),"",'Credit Instruction Record'!C5)</f>
        <v>EUR</v>
      </c>
      <c r="H2" s="89" t="str">
        <f>IF(ISBLANK('Credit Instruction Record'!D5),"",'Credit Instruction Record'!D5)</f>
        <v/>
      </c>
      <c r="I2" s="88" t="str">
        <f>IF(ISBLANK('Credit Instruction Record'!E5),"",'Credit Instruction Record'!E5)</f>
        <v/>
      </c>
      <c r="J2" s="88" t="str">
        <f>IF(ISBLANK('Credit Instruction Record'!F5),"",'Credit Instruction Record'!F5)</f>
        <v/>
      </c>
      <c r="K2" s="88" t="str">
        <f>IF(ISBLANK('Credit Instruction Record'!G5),"",'Credit Instruction Record'!G5)</f>
        <v/>
      </c>
      <c r="L2" s="88" t="str">
        <f>IF(ISBLANK('Credit Instruction Record'!H5),"",'Credit Instruction Record'!H5)</f>
        <v/>
      </c>
      <c r="M2" s="88" t="str">
        <f>IF(ISBLANK('Credit Instruction Record'!I5),"",'Credit Instruction Record'!I5)</f>
        <v/>
      </c>
      <c r="N2" s="88" t="str">
        <f>IF(ISBLANK('Credit Instruction Record'!J5),"",'Credit Instruction Record'!J5)</f>
        <v/>
      </c>
      <c r="O2" s="88" t="str">
        <f>IF(ISBLANK('Credit Instruction Record'!K5),"",'Credit Instruction Record'!K5)</f>
        <v/>
      </c>
      <c r="P2" s="90" t="b">
        <f>M2=""</f>
        <v>1</v>
      </c>
      <c r="R2" s="99" t="s">
        <v>125</v>
      </c>
      <c r="S2" s="100"/>
      <c r="T2" s="100"/>
      <c r="U2" s="100"/>
      <c r="V2" s="100"/>
      <c r="W2" s="100"/>
      <c r="X2" s="101"/>
    </row>
    <row r="3" spans="1:24" x14ac:dyDescent="0.25">
      <c r="A3" s="73" t="str">
        <f>IF(ISBLANK(A2),"Cannot be left Blank","")</f>
        <v/>
      </c>
      <c r="B3" s="74"/>
      <c r="D3" s="87">
        <v>2</v>
      </c>
      <c r="E3" s="88" t="str">
        <f>IF(ISBLANK('Credit Instruction Record'!A7),"",'Credit Instruction Record'!A7)</f>
        <v/>
      </c>
      <c r="F3" s="88" t="str">
        <f>IF(ISBLANK('Credit Instruction Record'!B7),"",'Credit Instruction Record'!B7)</f>
        <v/>
      </c>
      <c r="G3" s="88" t="str">
        <f>IF(ISBLANK('Credit Instruction Record'!C7),"",'Credit Instruction Record'!C7)</f>
        <v>EUR</v>
      </c>
      <c r="H3" s="89" t="str">
        <f>IF(ISBLANK('Credit Instruction Record'!D7),"",'Credit Instruction Record'!D7)</f>
        <v/>
      </c>
      <c r="I3" s="88" t="str">
        <f>IF(ISBLANK('Credit Instruction Record'!E7),"",'Credit Instruction Record'!E7)</f>
        <v/>
      </c>
      <c r="J3" s="88" t="str">
        <f>IF(ISBLANK('Credit Instruction Record'!F7),"",'Credit Instruction Record'!F7)</f>
        <v/>
      </c>
      <c r="K3" s="88" t="str">
        <f>IF(ISBLANK('Credit Instruction Record'!G7),"",'Credit Instruction Record'!G7)</f>
        <v/>
      </c>
      <c r="L3" s="88" t="str">
        <f>IF(ISBLANK('Credit Instruction Record'!H7),"",'Credit Instruction Record'!H7)</f>
        <v/>
      </c>
      <c r="M3" s="88" t="str">
        <f>IF(ISBLANK('Credit Instruction Record'!I7),"",'Credit Instruction Record'!I7)</f>
        <v/>
      </c>
      <c r="N3" s="88" t="str">
        <f>IF(ISBLANK('Credit Instruction Record'!J7),"",'Credit Instruction Record'!J7)</f>
        <v/>
      </c>
      <c r="O3" s="88" t="str">
        <f>IF(ISBLANK('Credit Instruction Record'!K7),"",'Credit Instruction Record'!K7)</f>
        <v/>
      </c>
      <c r="P3" s="90" t="b">
        <f t="shared" ref="P3:P33" si="0">M3=""</f>
        <v>1</v>
      </c>
      <c r="R3" s="102"/>
      <c r="S3" s="103"/>
      <c r="T3" s="103"/>
      <c r="U3" s="103"/>
      <c r="V3" s="103"/>
      <c r="W3" s="103"/>
      <c r="X3" s="104"/>
    </row>
    <row r="4" spans="1:24" ht="30" x14ac:dyDescent="0.25">
      <c r="A4" s="75" t="s">
        <v>94</v>
      </c>
      <c r="B4" s="75" t="s">
        <v>123</v>
      </c>
      <c r="D4" s="87">
        <v>3</v>
      </c>
      <c r="E4" s="88" t="str">
        <f>IF(ISBLANK('Credit Instruction Record'!A9),"",'Credit Instruction Record'!A9)</f>
        <v/>
      </c>
      <c r="F4" s="88" t="str">
        <f>IF(ISBLANK('Credit Instruction Record'!B9),"",'Credit Instruction Record'!B9)</f>
        <v/>
      </c>
      <c r="G4" s="88" t="str">
        <f>IF(ISBLANK('Credit Instruction Record'!C9),"",'Credit Instruction Record'!C9)</f>
        <v>EUR</v>
      </c>
      <c r="H4" s="89" t="str">
        <f>IF(ISBLANK('Credit Instruction Record'!D9),"",'Credit Instruction Record'!D9)</f>
        <v/>
      </c>
      <c r="I4" s="88" t="str">
        <f>IF(ISBLANK('Credit Instruction Record'!E9),"",'Credit Instruction Record'!E9)</f>
        <v/>
      </c>
      <c r="J4" s="88" t="str">
        <f>IF(ISBLANK('Credit Instruction Record'!F9),"",'Credit Instruction Record'!F9)</f>
        <v/>
      </c>
      <c r="K4" s="88" t="str">
        <f>IF(ISBLANK('Credit Instruction Record'!G9),"",'Credit Instruction Record'!G9)</f>
        <v/>
      </c>
      <c r="L4" s="88" t="str">
        <f>IF(ISBLANK('Credit Instruction Record'!H9),"",'Credit Instruction Record'!H9)</f>
        <v/>
      </c>
      <c r="M4" s="88" t="str">
        <f>IF(ISBLANK('Credit Instruction Record'!I9),"",'Credit Instruction Record'!I9)</f>
        <v/>
      </c>
      <c r="N4" s="88" t="str">
        <f>IF(ISBLANK('Credit Instruction Record'!J9),"",'Credit Instruction Record'!J9)</f>
        <v/>
      </c>
      <c r="O4" s="88" t="str">
        <f>IF(ISBLANK('Credit Instruction Record'!K9),"",'Credit Instruction Record'!K9)</f>
        <v/>
      </c>
      <c r="P4" s="90" t="b">
        <f t="shared" si="0"/>
        <v>1</v>
      </c>
      <c r="R4" s="102"/>
      <c r="S4" s="103"/>
      <c r="T4" s="103"/>
      <c r="U4" s="103"/>
      <c r="V4" s="103"/>
      <c r="W4" s="103"/>
      <c r="X4" s="104"/>
    </row>
    <row r="5" spans="1:24" x14ac:dyDescent="0.25">
      <c r="A5" s="76">
        <f>'Header Record'!C5</f>
        <v>0</v>
      </c>
      <c r="B5" s="69">
        <f>'Header Record'!D5</f>
        <v>0</v>
      </c>
      <c r="D5" s="87">
        <v>4</v>
      </c>
      <c r="E5" s="88" t="str">
        <f>IF(ISBLANK('Credit Instruction Record'!A11),"",'Credit Instruction Record'!A11)</f>
        <v/>
      </c>
      <c r="F5" s="88" t="str">
        <f>IF(ISBLANK('Credit Instruction Record'!B11),"",'Credit Instruction Record'!B11)</f>
        <v/>
      </c>
      <c r="G5" s="88" t="str">
        <f>IF(ISBLANK('Credit Instruction Record'!C11),"",'Credit Instruction Record'!C11)</f>
        <v>EUR</v>
      </c>
      <c r="H5" s="89" t="str">
        <f>IF(ISBLANK('Credit Instruction Record'!D11),"",'Credit Instruction Record'!D11)</f>
        <v/>
      </c>
      <c r="I5" s="88" t="str">
        <f>IF(ISBLANK('Credit Instruction Record'!E11),"",'Credit Instruction Record'!E11)</f>
        <v/>
      </c>
      <c r="J5" s="88" t="str">
        <f>IF(ISBLANK('Credit Instruction Record'!F11),"",'Credit Instruction Record'!F11)</f>
        <v/>
      </c>
      <c r="K5" s="88" t="str">
        <f>IF(ISBLANK('Credit Instruction Record'!G11),"",'Credit Instruction Record'!G11)</f>
        <v/>
      </c>
      <c r="L5" s="88" t="str">
        <f>IF(ISBLANK('Credit Instruction Record'!H11),"",'Credit Instruction Record'!H11)</f>
        <v/>
      </c>
      <c r="M5" s="88" t="str">
        <f>IF(ISBLANK('Credit Instruction Record'!I11),"",'Credit Instruction Record'!I11)</f>
        <v/>
      </c>
      <c r="N5" s="88" t="str">
        <f>IF(ISBLANK('Credit Instruction Record'!J11),"",'Credit Instruction Record'!J11)</f>
        <v/>
      </c>
      <c r="O5" s="88" t="str">
        <f>IF(ISBLANK('Credit Instruction Record'!K11),"",'Credit Instruction Record'!K11)</f>
        <v/>
      </c>
      <c r="P5" s="90" t="b">
        <f t="shared" si="0"/>
        <v>1</v>
      </c>
      <c r="R5" s="102"/>
      <c r="S5" s="103"/>
      <c r="T5" s="103"/>
      <c r="U5" s="103"/>
      <c r="V5" s="103"/>
      <c r="W5" s="103"/>
      <c r="X5" s="104"/>
    </row>
    <row r="6" spans="1:24" x14ac:dyDescent="0.25">
      <c r="A6" s="37"/>
      <c r="B6" s="37"/>
      <c r="C6" s="37"/>
      <c r="D6" s="87">
        <v>5</v>
      </c>
      <c r="E6" s="88" t="str">
        <f>IF(ISBLANK('Credit Instruction Record'!A13),"",'Credit Instruction Record'!A13)</f>
        <v/>
      </c>
      <c r="F6" s="88" t="str">
        <f>IF(ISBLANK('Credit Instruction Record'!B13),"",'Credit Instruction Record'!B13)</f>
        <v/>
      </c>
      <c r="G6" s="88" t="str">
        <f>IF(ISBLANK('Credit Instruction Record'!C13),"",'Credit Instruction Record'!C13)</f>
        <v>EUR</v>
      </c>
      <c r="H6" s="89" t="str">
        <f>IF(ISBLANK('Credit Instruction Record'!D13),"",'Credit Instruction Record'!D13)</f>
        <v/>
      </c>
      <c r="I6" s="88" t="str">
        <f>IF(ISBLANK('Credit Instruction Record'!E13),"",'Credit Instruction Record'!E13)</f>
        <v/>
      </c>
      <c r="J6" s="88" t="str">
        <f>IF(ISBLANK('Credit Instruction Record'!F13),"",'Credit Instruction Record'!F13)</f>
        <v/>
      </c>
      <c r="K6" s="88" t="str">
        <f>IF(ISBLANK('Credit Instruction Record'!G13),"",'Credit Instruction Record'!G13)</f>
        <v/>
      </c>
      <c r="L6" s="88" t="str">
        <f>IF(ISBLANK('Credit Instruction Record'!H13),"",'Credit Instruction Record'!H13)</f>
        <v/>
      </c>
      <c r="M6" s="88" t="str">
        <f>IF(ISBLANK('Credit Instruction Record'!I13),"",'Credit Instruction Record'!I13)</f>
        <v/>
      </c>
      <c r="N6" s="88" t="str">
        <f>IF(ISBLANK('Credit Instruction Record'!J13),"",'Credit Instruction Record'!J13)</f>
        <v/>
      </c>
      <c r="O6" s="88" t="str">
        <f>IF(ISBLANK('Credit Instruction Record'!K13),"",'Credit Instruction Record'!K13)</f>
        <v/>
      </c>
      <c r="P6" s="90" t="b">
        <f t="shared" si="0"/>
        <v>1</v>
      </c>
      <c r="R6" s="102"/>
      <c r="S6" s="103"/>
      <c r="T6" s="103"/>
      <c r="U6" s="103"/>
      <c r="V6" s="103"/>
      <c r="W6" s="103"/>
      <c r="X6" s="104"/>
    </row>
    <row r="7" spans="1:24" x14ac:dyDescent="0.25">
      <c r="A7" s="58"/>
      <c r="C7" s="37"/>
      <c r="D7" s="87">
        <v>6</v>
      </c>
      <c r="E7" s="88" t="str">
        <f>IF(ISBLANK('Credit Instruction Record'!A15),"",'Credit Instruction Record'!A15)</f>
        <v/>
      </c>
      <c r="F7" s="88" t="str">
        <f>IF(ISBLANK('Credit Instruction Record'!B15),"",'Credit Instruction Record'!B15)</f>
        <v/>
      </c>
      <c r="G7" s="88" t="str">
        <f>IF(ISBLANK('Credit Instruction Record'!C15),"",'Credit Instruction Record'!C15)</f>
        <v>EUR</v>
      </c>
      <c r="H7" s="89" t="str">
        <f>IF(ISBLANK('Credit Instruction Record'!D15),"",'Credit Instruction Record'!D15)</f>
        <v/>
      </c>
      <c r="I7" s="88" t="str">
        <f>IF(ISBLANK('Credit Instruction Record'!E15),"",'Credit Instruction Record'!E15)</f>
        <v/>
      </c>
      <c r="J7" s="88" t="str">
        <f>IF(ISBLANK('Credit Instruction Record'!F15),"",'Credit Instruction Record'!F15)</f>
        <v/>
      </c>
      <c r="K7" s="88" t="str">
        <f>IF(ISBLANK('Credit Instruction Record'!G15),"",'Credit Instruction Record'!G15)</f>
        <v/>
      </c>
      <c r="L7" s="88" t="str">
        <f>IF(ISBLANK('Credit Instruction Record'!H15),"",'Credit Instruction Record'!H15)</f>
        <v/>
      </c>
      <c r="M7" s="88" t="str">
        <f>IF(ISBLANK('Credit Instruction Record'!I15),"",'Credit Instruction Record'!I15)</f>
        <v/>
      </c>
      <c r="N7" s="88" t="str">
        <f>IF(ISBLANK('Credit Instruction Record'!J15),"",'Credit Instruction Record'!J15)</f>
        <v/>
      </c>
      <c r="O7" s="88" t="str">
        <f>IF(ISBLANK('Credit Instruction Record'!K15),"",'Credit Instruction Record'!K15)</f>
        <v/>
      </c>
      <c r="P7" s="90" t="b">
        <f t="shared" si="0"/>
        <v>1</v>
      </c>
      <c r="R7" s="102"/>
      <c r="S7" s="103"/>
      <c r="T7" s="103"/>
      <c r="U7" s="103"/>
      <c r="V7" s="103"/>
      <c r="W7" s="103"/>
      <c r="X7" s="104"/>
    </row>
    <row r="8" spans="1:24" x14ac:dyDescent="0.25">
      <c r="A8" s="67" t="s">
        <v>124</v>
      </c>
      <c r="B8" s="37" t="s">
        <v>141</v>
      </c>
      <c r="C8" s="37"/>
      <c r="D8" s="87">
        <v>7</v>
      </c>
      <c r="E8" s="88" t="str">
        <f>IF(ISBLANK('Credit Instruction Record'!A17),"",'Credit Instruction Record'!A17)</f>
        <v/>
      </c>
      <c r="F8" s="88" t="str">
        <f>IF(ISBLANK('Credit Instruction Record'!B17),"",'Credit Instruction Record'!B17)</f>
        <v/>
      </c>
      <c r="G8" s="88" t="str">
        <f>IF(ISBLANK('Credit Instruction Record'!C17),"",'Credit Instruction Record'!C17)</f>
        <v>EUR</v>
      </c>
      <c r="H8" s="89" t="str">
        <f>IF(ISBLANK('Credit Instruction Record'!D17),"",'Credit Instruction Record'!D17)</f>
        <v/>
      </c>
      <c r="I8" s="88" t="str">
        <f>IF(ISBLANK('Credit Instruction Record'!E17),"",'Credit Instruction Record'!E17)</f>
        <v/>
      </c>
      <c r="J8" s="88" t="str">
        <f>IF(ISBLANK('Credit Instruction Record'!F17),"",'Credit Instruction Record'!F17)</f>
        <v/>
      </c>
      <c r="K8" s="88" t="str">
        <f>IF(ISBLANK('Credit Instruction Record'!G17),"",'Credit Instruction Record'!G17)</f>
        <v/>
      </c>
      <c r="L8" s="88" t="str">
        <f>IF(ISBLANK('Credit Instruction Record'!H17),"",'Credit Instruction Record'!H17)</f>
        <v/>
      </c>
      <c r="M8" s="88" t="str">
        <f>IF(ISBLANK('Credit Instruction Record'!I17),"",'Credit Instruction Record'!I17)</f>
        <v/>
      </c>
      <c r="N8" s="88" t="str">
        <f>IF(ISBLANK('Credit Instruction Record'!J17),"",'Credit Instruction Record'!J17)</f>
        <v/>
      </c>
      <c r="O8" s="88" t="str">
        <f>IF(ISBLANK('Credit Instruction Record'!K17),"",'Credit Instruction Record'!K17)</f>
        <v/>
      </c>
      <c r="P8" s="90" t="b">
        <f t="shared" si="0"/>
        <v>1</v>
      </c>
      <c r="R8" s="102"/>
      <c r="S8" s="103"/>
      <c r="T8" s="103"/>
      <c r="U8" s="103"/>
      <c r="V8" s="103"/>
      <c r="W8" s="103"/>
      <c r="X8" s="104"/>
    </row>
    <row r="9" spans="1:24" x14ac:dyDescent="0.25">
      <c r="C9" s="37"/>
      <c r="D9" s="87">
        <v>8</v>
      </c>
      <c r="E9" s="88" t="str">
        <f>IF(ISBLANK('Credit Instruction Record'!A19),"",'Credit Instruction Record'!A19)</f>
        <v/>
      </c>
      <c r="F9" s="88" t="str">
        <f>IF(ISBLANK('Credit Instruction Record'!B19),"",'Credit Instruction Record'!B19)</f>
        <v/>
      </c>
      <c r="G9" s="88" t="str">
        <f>IF(ISBLANK('Credit Instruction Record'!C19),"",'Credit Instruction Record'!C19)</f>
        <v>EUR</v>
      </c>
      <c r="H9" s="89" t="str">
        <f>IF(ISBLANK('Credit Instruction Record'!D19),"",'Credit Instruction Record'!D19)</f>
        <v/>
      </c>
      <c r="I9" s="88" t="str">
        <f>IF(ISBLANK('Credit Instruction Record'!E19),"",'Credit Instruction Record'!E19)</f>
        <v/>
      </c>
      <c r="J9" s="88" t="str">
        <f>IF(ISBLANK('Credit Instruction Record'!F19),"",'Credit Instruction Record'!F19)</f>
        <v/>
      </c>
      <c r="K9" s="88" t="str">
        <f>IF(ISBLANK('Credit Instruction Record'!G19),"",'Credit Instruction Record'!G19)</f>
        <v/>
      </c>
      <c r="L9" s="88" t="str">
        <f>IF(ISBLANK('Credit Instruction Record'!H19),"",'Credit Instruction Record'!H19)</f>
        <v/>
      </c>
      <c r="M9" s="88" t="str">
        <f>IF(ISBLANK('Credit Instruction Record'!I19),"",'Credit Instruction Record'!I19)</f>
        <v/>
      </c>
      <c r="N9" s="88" t="str">
        <f>IF(ISBLANK('Credit Instruction Record'!J19),"",'Credit Instruction Record'!J19)</f>
        <v/>
      </c>
      <c r="O9" s="88" t="str">
        <f>IF(ISBLANK('Credit Instruction Record'!K19),"",'Credit Instruction Record'!K19)</f>
        <v/>
      </c>
      <c r="P9" s="90" t="b">
        <f t="shared" si="0"/>
        <v>1</v>
      </c>
      <c r="R9" s="102"/>
      <c r="S9" s="103"/>
      <c r="T9" s="103"/>
      <c r="U9" s="103"/>
      <c r="V9" s="103"/>
      <c r="W9" s="103"/>
      <c r="X9" s="104"/>
    </row>
    <row r="10" spans="1:24" x14ac:dyDescent="0.25">
      <c r="A10" s="67" t="s">
        <v>113</v>
      </c>
      <c r="B10" s="37" t="s">
        <v>115</v>
      </c>
      <c r="C10" s="37"/>
      <c r="D10" s="87">
        <v>9</v>
      </c>
      <c r="E10" s="88" t="str">
        <f>IF(ISBLANK('Credit Instruction Record'!A21),"",'Credit Instruction Record'!A21)</f>
        <v/>
      </c>
      <c r="F10" s="88" t="str">
        <f>IF(ISBLANK('Credit Instruction Record'!B21),"",'Credit Instruction Record'!B21)</f>
        <v/>
      </c>
      <c r="G10" s="88" t="str">
        <f>IF(ISBLANK('Credit Instruction Record'!C21),"",'Credit Instruction Record'!C21)</f>
        <v>EUR</v>
      </c>
      <c r="H10" s="89" t="str">
        <f>IF(ISBLANK('Credit Instruction Record'!D21),"",'Credit Instruction Record'!D21)</f>
        <v/>
      </c>
      <c r="I10" s="88" t="str">
        <f>IF(ISBLANK('Credit Instruction Record'!E21),"",'Credit Instruction Record'!E21)</f>
        <v/>
      </c>
      <c r="J10" s="88" t="str">
        <f>IF(ISBLANK('Credit Instruction Record'!F21),"",'Credit Instruction Record'!F21)</f>
        <v/>
      </c>
      <c r="K10" s="88" t="str">
        <f>IF(ISBLANK('Credit Instruction Record'!G21),"",'Credit Instruction Record'!G21)</f>
        <v/>
      </c>
      <c r="L10" s="88" t="str">
        <f>IF(ISBLANK('Credit Instruction Record'!H21),"",'Credit Instruction Record'!H21)</f>
        <v/>
      </c>
      <c r="M10" s="88" t="str">
        <f>IF(ISBLANK('Credit Instruction Record'!I21),"",'Credit Instruction Record'!I21)</f>
        <v/>
      </c>
      <c r="N10" s="88" t="str">
        <f>IF(ISBLANK('Credit Instruction Record'!J21),"",'Credit Instruction Record'!J21)</f>
        <v/>
      </c>
      <c r="O10" s="88" t="str">
        <f>IF(ISBLANK('Credit Instruction Record'!K21),"",'Credit Instruction Record'!K21)</f>
        <v/>
      </c>
      <c r="P10" s="90" t="b">
        <f t="shared" si="0"/>
        <v>1</v>
      </c>
      <c r="R10" s="102"/>
      <c r="S10" s="103"/>
      <c r="T10" s="103"/>
      <c r="U10" s="103"/>
      <c r="V10" s="103"/>
      <c r="W10" s="103"/>
      <c r="X10" s="104"/>
    </row>
    <row r="11" spans="1:24" x14ac:dyDescent="0.25">
      <c r="A11" s="68"/>
      <c r="B11" s="69"/>
      <c r="C11" s="37"/>
      <c r="D11" s="87">
        <v>10</v>
      </c>
      <c r="E11" s="88" t="str">
        <f>IF(ISBLANK('Credit Instruction Record'!A23),"",'Credit Instruction Record'!A23)</f>
        <v/>
      </c>
      <c r="F11" s="88" t="str">
        <f>IF(ISBLANK('Credit Instruction Record'!B23),"",'Credit Instruction Record'!B23)</f>
        <v/>
      </c>
      <c r="G11" s="88" t="str">
        <f>IF(ISBLANK('Credit Instruction Record'!C23),"",'Credit Instruction Record'!C23)</f>
        <v>EUR</v>
      </c>
      <c r="H11" s="89" t="str">
        <f>IF(ISBLANK('Credit Instruction Record'!D23),"",'Credit Instruction Record'!D23)</f>
        <v/>
      </c>
      <c r="I11" s="88" t="str">
        <f>IF(ISBLANK('Credit Instruction Record'!E23),"",'Credit Instruction Record'!E23)</f>
        <v/>
      </c>
      <c r="J11" s="88" t="str">
        <f>IF(ISBLANK('Credit Instruction Record'!F23),"",'Credit Instruction Record'!F23)</f>
        <v/>
      </c>
      <c r="K11" s="88" t="str">
        <f>IF(ISBLANK('Credit Instruction Record'!G23),"",'Credit Instruction Record'!G23)</f>
        <v/>
      </c>
      <c r="L11" s="88" t="str">
        <f>IF(ISBLANK('Credit Instruction Record'!H23),"",'Credit Instruction Record'!H23)</f>
        <v/>
      </c>
      <c r="M11" s="88" t="str">
        <f>IF(ISBLANK('Credit Instruction Record'!I23),"",'Credit Instruction Record'!I23)</f>
        <v/>
      </c>
      <c r="N11" s="88" t="str">
        <f>IF(ISBLANK('Credit Instruction Record'!J23),"",'Credit Instruction Record'!J23)</f>
        <v/>
      </c>
      <c r="O11" s="88" t="str">
        <f>IF(ISBLANK('Credit Instruction Record'!K23),"",'Credit Instruction Record'!K23)</f>
        <v/>
      </c>
      <c r="P11" s="90" t="b">
        <f t="shared" si="0"/>
        <v>1</v>
      </c>
      <c r="R11" s="102"/>
      <c r="S11" s="103"/>
      <c r="T11" s="103"/>
      <c r="U11" s="103"/>
      <c r="V11" s="103"/>
      <c r="W11" s="103"/>
      <c r="X11" s="104"/>
    </row>
    <row r="12" spans="1:24" x14ac:dyDescent="0.25">
      <c r="A12" s="72"/>
      <c r="B12" s="69">
        <v>0</v>
      </c>
      <c r="C12" s="37"/>
      <c r="D12" s="87">
        <v>11</v>
      </c>
      <c r="E12" s="88" t="str">
        <f>IF(ISBLANK('Credit Instruction Record'!A25),"",'Credit Instruction Record'!A25)</f>
        <v/>
      </c>
      <c r="F12" s="88" t="str">
        <f>IF(ISBLANK('Credit Instruction Record'!B25),"",'Credit Instruction Record'!B25)</f>
        <v/>
      </c>
      <c r="G12" s="88" t="str">
        <f>IF(ISBLANK('Credit Instruction Record'!C25),"",'Credit Instruction Record'!C25)</f>
        <v>EUR</v>
      </c>
      <c r="H12" s="89" t="str">
        <f>IF(ISBLANK('Credit Instruction Record'!D25),"",'Credit Instruction Record'!D25)</f>
        <v/>
      </c>
      <c r="I12" s="88" t="str">
        <f>IF(ISBLANK('Credit Instruction Record'!E25),"",'Credit Instruction Record'!E25)</f>
        <v/>
      </c>
      <c r="J12" s="88" t="str">
        <f>IF(ISBLANK('Credit Instruction Record'!F25),"",'Credit Instruction Record'!F25)</f>
        <v/>
      </c>
      <c r="K12" s="88" t="str">
        <f>IF(ISBLANK('Credit Instruction Record'!G25),"",'Credit Instruction Record'!G25)</f>
        <v/>
      </c>
      <c r="L12" s="88" t="str">
        <f>IF(ISBLANK('Credit Instruction Record'!H25),"",'Credit Instruction Record'!H25)</f>
        <v/>
      </c>
      <c r="M12" s="88" t="str">
        <f>IF(ISBLANK('Credit Instruction Record'!I25),"",'Credit Instruction Record'!I25)</f>
        <v/>
      </c>
      <c r="N12" s="88" t="str">
        <f>IF(ISBLANK('Credit Instruction Record'!J25),"",'Credit Instruction Record'!J25)</f>
        <v/>
      </c>
      <c r="O12" s="88" t="str">
        <f>IF(ISBLANK('Credit Instruction Record'!K25),"",'Credit Instruction Record'!K25)</f>
        <v/>
      </c>
      <c r="P12" s="90" t="b">
        <f t="shared" si="0"/>
        <v>1</v>
      </c>
      <c r="R12" s="102"/>
      <c r="S12" s="103"/>
      <c r="T12" s="103"/>
      <c r="U12" s="103"/>
      <c r="V12" s="103"/>
      <c r="W12" s="103"/>
      <c r="X12" s="104"/>
    </row>
    <row r="13" spans="1:24" x14ac:dyDescent="0.25">
      <c r="A13" s="68" t="s">
        <v>114</v>
      </c>
      <c r="B13" s="69">
        <v>0</v>
      </c>
      <c r="C13" s="37"/>
      <c r="D13" s="87">
        <v>12</v>
      </c>
      <c r="E13" s="88" t="str">
        <f>IF(ISBLANK('Credit Instruction Record'!A27),"",'Credit Instruction Record'!A27)</f>
        <v/>
      </c>
      <c r="F13" s="88" t="str">
        <f>IF(ISBLANK('Credit Instruction Record'!B27),"",'Credit Instruction Record'!B27)</f>
        <v/>
      </c>
      <c r="G13" s="88" t="str">
        <f>IF(ISBLANK('Credit Instruction Record'!C27),"",'Credit Instruction Record'!C27)</f>
        <v>EUR</v>
      </c>
      <c r="H13" s="89" t="str">
        <f>IF(ISBLANK('Credit Instruction Record'!D27),"",'Credit Instruction Record'!D27)</f>
        <v/>
      </c>
      <c r="I13" s="88" t="str">
        <f>IF(ISBLANK('Credit Instruction Record'!E27),"",'Credit Instruction Record'!E27)</f>
        <v/>
      </c>
      <c r="J13" s="88" t="str">
        <f>IF(ISBLANK('Credit Instruction Record'!F27),"",'Credit Instruction Record'!F27)</f>
        <v/>
      </c>
      <c r="K13" s="88" t="str">
        <f>IF(ISBLANK('Credit Instruction Record'!G27),"",'Credit Instruction Record'!G27)</f>
        <v/>
      </c>
      <c r="L13" s="88" t="str">
        <f>IF(ISBLANK('Credit Instruction Record'!H27),"",'Credit Instruction Record'!H27)</f>
        <v/>
      </c>
      <c r="M13" s="88" t="str">
        <f>IF(ISBLANK('Credit Instruction Record'!I27),"",'Credit Instruction Record'!I27)</f>
        <v/>
      </c>
      <c r="N13" s="88" t="str">
        <f>IF(ISBLANK('Credit Instruction Record'!J27),"",'Credit Instruction Record'!J27)</f>
        <v/>
      </c>
      <c r="O13" s="88" t="str">
        <f>IF(ISBLANK('Credit Instruction Record'!K27),"",'Credit Instruction Record'!K27)</f>
        <v/>
      </c>
      <c r="P13" s="90" t="b">
        <f t="shared" si="0"/>
        <v>1</v>
      </c>
      <c r="R13" s="102"/>
      <c r="S13" s="103"/>
      <c r="T13" s="103"/>
      <c r="U13" s="103"/>
      <c r="V13" s="103"/>
      <c r="W13" s="103"/>
      <c r="X13" s="104"/>
    </row>
    <row r="14" spans="1:24" ht="15.75" thickBot="1" x14ac:dyDescent="0.3">
      <c r="C14" s="37"/>
      <c r="D14" s="87">
        <v>13</v>
      </c>
      <c r="E14" s="88" t="str">
        <f>IF(ISBLANK('Credit Instruction Record'!A29),"",'Credit Instruction Record'!A29)</f>
        <v/>
      </c>
      <c r="F14" s="88" t="str">
        <f>IF(ISBLANK('Credit Instruction Record'!B29),"",'Credit Instruction Record'!B29)</f>
        <v/>
      </c>
      <c r="G14" s="88" t="str">
        <f>IF(ISBLANK('Credit Instruction Record'!C29),"",'Credit Instruction Record'!C29)</f>
        <v>EUR</v>
      </c>
      <c r="H14" s="89" t="str">
        <f>IF(ISBLANK('Credit Instruction Record'!D29),"",'Credit Instruction Record'!D29)</f>
        <v/>
      </c>
      <c r="I14" s="88" t="str">
        <f>IF(ISBLANK('Credit Instruction Record'!E29),"",'Credit Instruction Record'!E29)</f>
        <v/>
      </c>
      <c r="J14" s="88" t="str">
        <f>IF(ISBLANK('Credit Instruction Record'!F29),"",'Credit Instruction Record'!F29)</f>
        <v/>
      </c>
      <c r="K14" s="88" t="str">
        <f>IF(ISBLANK('Credit Instruction Record'!G29),"",'Credit Instruction Record'!G29)</f>
        <v/>
      </c>
      <c r="L14" s="88" t="str">
        <f>IF(ISBLANK('Credit Instruction Record'!H29),"",'Credit Instruction Record'!H29)</f>
        <v/>
      </c>
      <c r="M14" s="88" t="str">
        <f>IF(ISBLANK('Credit Instruction Record'!I29),"",'Credit Instruction Record'!I29)</f>
        <v/>
      </c>
      <c r="N14" s="88" t="str">
        <f>IF(ISBLANK('Credit Instruction Record'!J29),"",'Credit Instruction Record'!J29)</f>
        <v/>
      </c>
      <c r="O14" s="88" t="str">
        <f>IF(ISBLANK('Credit Instruction Record'!K29),"",'Credit Instruction Record'!K29)</f>
        <v/>
      </c>
      <c r="P14" s="90" t="b">
        <f t="shared" si="0"/>
        <v>1</v>
      </c>
      <c r="R14" s="105"/>
      <c r="S14" s="106"/>
      <c r="T14" s="106"/>
      <c r="U14" s="106"/>
      <c r="V14" s="106"/>
      <c r="W14" s="106"/>
      <c r="X14" s="107"/>
    </row>
    <row r="15" spans="1:24" ht="15.75" thickBot="1" x14ac:dyDescent="0.3">
      <c r="C15" s="37"/>
      <c r="D15" s="87">
        <v>14</v>
      </c>
      <c r="E15" s="88" t="str">
        <f>IF(ISBLANK('Credit Instruction Record'!A31),"",'Credit Instruction Record'!A31)</f>
        <v/>
      </c>
      <c r="F15" s="88" t="str">
        <f>IF(ISBLANK('Credit Instruction Record'!B31),"",'Credit Instruction Record'!B31)</f>
        <v/>
      </c>
      <c r="G15" s="88" t="str">
        <f>IF(ISBLANK('Credit Instruction Record'!C31),"",'Credit Instruction Record'!C31)</f>
        <v>EUR</v>
      </c>
      <c r="H15" s="89" t="str">
        <f>IF(ISBLANK('Credit Instruction Record'!D31),"",'Credit Instruction Record'!D31)</f>
        <v/>
      </c>
      <c r="I15" s="88" t="str">
        <f>IF(ISBLANK('Credit Instruction Record'!E31),"",'Credit Instruction Record'!E31)</f>
        <v/>
      </c>
      <c r="J15" s="88" t="str">
        <f>IF(ISBLANK('Credit Instruction Record'!F31),"",'Credit Instruction Record'!F31)</f>
        <v/>
      </c>
      <c r="K15" s="88" t="str">
        <f>IF(ISBLANK('Credit Instruction Record'!G31),"",'Credit Instruction Record'!G31)</f>
        <v/>
      </c>
      <c r="L15" s="88" t="str">
        <f>IF(ISBLANK('Credit Instruction Record'!H31),"",'Credit Instruction Record'!H31)</f>
        <v/>
      </c>
      <c r="M15" s="88" t="str">
        <f>IF(ISBLANK('Credit Instruction Record'!I31),"",'Credit Instruction Record'!I31)</f>
        <v/>
      </c>
      <c r="N15" s="88" t="str">
        <f>IF(ISBLANK('Credit Instruction Record'!J31),"",'Credit Instruction Record'!J31)</f>
        <v/>
      </c>
      <c r="O15" s="88" t="str">
        <f>IF(ISBLANK('Credit Instruction Record'!K31),"",'Credit Instruction Record'!K31)</f>
        <v/>
      </c>
      <c r="P15" s="90" t="b">
        <f t="shared" si="0"/>
        <v>1</v>
      </c>
    </row>
    <row r="16" spans="1:24" x14ac:dyDescent="0.25">
      <c r="C16" s="37"/>
      <c r="D16" s="87">
        <v>15</v>
      </c>
      <c r="E16" s="88" t="str">
        <f>IF(ISBLANK('Credit Instruction Record'!A33),"",'Credit Instruction Record'!A33)</f>
        <v/>
      </c>
      <c r="F16" s="88" t="str">
        <f>IF(ISBLANK('Credit Instruction Record'!B33),"",'Credit Instruction Record'!B33)</f>
        <v/>
      </c>
      <c r="G16" s="88" t="str">
        <f>IF(ISBLANK('Credit Instruction Record'!C33),"",'Credit Instruction Record'!C33)</f>
        <v>EUR</v>
      </c>
      <c r="H16" s="89" t="str">
        <f>IF(ISBLANK('Credit Instruction Record'!D33),"",'Credit Instruction Record'!D33)</f>
        <v/>
      </c>
      <c r="I16" s="88" t="str">
        <f>IF(ISBLANK('Credit Instruction Record'!E33),"",'Credit Instruction Record'!E33)</f>
        <v/>
      </c>
      <c r="J16" s="88" t="str">
        <f>IF(ISBLANK('Credit Instruction Record'!F33),"",'Credit Instruction Record'!F33)</f>
        <v/>
      </c>
      <c r="K16" s="88" t="str">
        <f>IF(ISBLANK('Credit Instruction Record'!G33),"",'Credit Instruction Record'!G33)</f>
        <v/>
      </c>
      <c r="L16" s="88" t="str">
        <f>IF(ISBLANK('Credit Instruction Record'!H33),"",'Credit Instruction Record'!H33)</f>
        <v/>
      </c>
      <c r="M16" s="88" t="str">
        <f>IF(ISBLANK('Credit Instruction Record'!I33),"",'Credit Instruction Record'!I33)</f>
        <v/>
      </c>
      <c r="N16" s="88" t="str">
        <f>IF(ISBLANK('Credit Instruction Record'!J33),"",'Credit Instruction Record'!J33)</f>
        <v/>
      </c>
      <c r="O16" s="88" t="str">
        <f>IF(ISBLANK('Credit Instruction Record'!K33),"",'Credit Instruction Record'!K33)</f>
        <v/>
      </c>
      <c r="P16" s="90" t="b">
        <f t="shared" si="0"/>
        <v>1</v>
      </c>
      <c r="R16" s="108" t="s">
        <v>126</v>
      </c>
      <c r="S16" s="109"/>
      <c r="T16" s="109"/>
      <c r="U16" s="109"/>
      <c r="V16" s="109"/>
      <c r="W16" s="109"/>
      <c r="X16" s="110"/>
    </row>
    <row r="17" spans="3:24" x14ac:dyDescent="0.25">
      <c r="C17" s="37"/>
      <c r="D17" s="87">
        <v>16</v>
      </c>
      <c r="E17" s="88" t="str">
        <f>IF(ISBLANK('Credit Instruction Record'!A35),"",'Credit Instruction Record'!A35)</f>
        <v/>
      </c>
      <c r="F17" s="88" t="str">
        <f>IF(ISBLANK('Credit Instruction Record'!B35),"",'Credit Instruction Record'!B35)</f>
        <v/>
      </c>
      <c r="G17" s="88" t="str">
        <f>IF(ISBLANK('Credit Instruction Record'!C35),"",'Credit Instruction Record'!C35)</f>
        <v>EUR</v>
      </c>
      <c r="H17" s="89" t="str">
        <f>IF(ISBLANK('Credit Instruction Record'!D35),"",'Credit Instruction Record'!D35)</f>
        <v/>
      </c>
      <c r="I17" s="88" t="str">
        <f>IF(ISBLANK('Credit Instruction Record'!E35),"",'Credit Instruction Record'!E35)</f>
        <v/>
      </c>
      <c r="J17" s="88" t="str">
        <f>IF(ISBLANK('Credit Instruction Record'!F35),"",'Credit Instruction Record'!F35)</f>
        <v/>
      </c>
      <c r="K17" s="88" t="str">
        <f>IF(ISBLANK('Credit Instruction Record'!G35),"",'Credit Instruction Record'!G35)</f>
        <v/>
      </c>
      <c r="L17" s="88" t="str">
        <f>IF(ISBLANK('Credit Instruction Record'!H35),"",'Credit Instruction Record'!H35)</f>
        <v/>
      </c>
      <c r="M17" s="88" t="str">
        <f>IF(ISBLANK('Credit Instruction Record'!I35),"",'Credit Instruction Record'!I35)</f>
        <v/>
      </c>
      <c r="N17" s="88" t="str">
        <f>IF(ISBLANK('Credit Instruction Record'!J35),"",'Credit Instruction Record'!J35)</f>
        <v/>
      </c>
      <c r="O17" s="88" t="str">
        <f>IF(ISBLANK('Credit Instruction Record'!K35),"",'Credit Instruction Record'!K35)</f>
        <v/>
      </c>
      <c r="P17" s="90" t="b">
        <f t="shared" si="0"/>
        <v>1</v>
      </c>
      <c r="R17" s="111"/>
      <c r="S17" s="112"/>
      <c r="T17" s="112"/>
      <c r="U17" s="112"/>
      <c r="V17" s="112"/>
      <c r="W17" s="112"/>
      <c r="X17" s="113"/>
    </row>
    <row r="18" spans="3:24" x14ac:dyDescent="0.25">
      <c r="C18" s="37"/>
      <c r="D18" s="87">
        <v>17</v>
      </c>
      <c r="E18" s="88" t="str">
        <f>IF(ISBLANK('Credit Instruction Record'!A37),"",'Credit Instruction Record'!A37)</f>
        <v/>
      </c>
      <c r="F18" s="88" t="str">
        <f>IF(ISBLANK('Credit Instruction Record'!B37),"",'Credit Instruction Record'!B37)</f>
        <v/>
      </c>
      <c r="G18" s="88" t="str">
        <f>IF(ISBLANK('Credit Instruction Record'!C37),"",'Credit Instruction Record'!C37)</f>
        <v>EUR</v>
      </c>
      <c r="H18" s="89" t="str">
        <f>IF(ISBLANK('Credit Instruction Record'!D37),"",'Credit Instruction Record'!D37)</f>
        <v/>
      </c>
      <c r="I18" s="88" t="str">
        <f>IF(ISBLANK('Credit Instruction Record'!E37),"",'Credit Instruction Record'!E37)</f>
        <v/>
      </c>
      <c r="J18" s="88" t="str">
        <f>IF(ISBLANK('Credit Instruction Record'!F37),"",'Credit Instruction Record'!F37)</f>
        <v/>
      </c>
      <c r="K18" s="88" t="str">
        <f>IF(ISBLANK('Credit Instruction Record'!G37),"",'Credit Instruction Record'!G37)</f>
        <v/>
      </c>
      <c r="L18" s="88" t="str">
        <f>IF(ISBLANK('Credit Instruction Record'!H37),"",'Credit Instruction Record'!H37)</f>
        <v/>
      </c>
      <c r="M18" s="88" t="str">
        <f>IF(ISBLANK('Credit Instruction Record'!I37),"",'Credit Instruction Record'!I37)</f>
        <v/>
      </c>
      <c r="N18" s="88" t="str">
        <f>IF(ISBLANK('Credit Instruction Record'!J37),"",'Credit Instruction Record'!J37)</f>
        <v/>
      </c>
      <c r="O18" s="88" t="str">
        <f>IF(ISBLANK('Credit Instruction Record'!K37),"",'Credit Instruction Record'!K37)</f>
        <v/>
      </c>
      <c r="P18" s="90" t="b">
        <f t="shared" si="0"/>
        <v>1</v>
      </c>
      <c r="R18" s="111"/>
      <c r="S18" s="112"/>
      <c r="T18" s="112"/>
      <c r="U18" s="112"/>
      <c r="V18" s="112"/>
      <c r="W18" s="112"/>
      <c r="X18" s="113"/>
    </row>
    <row r="19" spans="3:24" x14ac:dyDescent="0.25">
      <c r="C19" s="37"/>
      <c r="D19" s="87">
        <v>18</v>
      </c>
      <c r="E19" s="88" t="str">
        <f>IF(ISBLANK('Credit Instruction Record'!A39),"",'Credit Instruction Record'!A39)</f>
        <v/>
      </c>
      <c r="F19" s="88" t="str">
        <f>IF(ISBLANK('Credit Instruction Record'!B39),"",'Credit Instruction Record'!B39)</f>
        <v/>
      </c>
      <c r="G19" s="88" t="str">
        <f>IF(ISBLANK('Credit Instruction Record'!C39),"",'Credit Instruction Record'!C39)</f>
        <v>EUR</v>
      </c>
      <c r="H19" s="89" t="str">
        <f>IF(ISBLANK('Credit Instruction Record'!D39),"",'Credit Instruction Record'!D39)</f>
        <v/>
      </c>
      <c r="I19" s="88" t="str">
        <f>IF(ISBLANK('Credit Instruction Record'!E39),"",'Credit Instruction Record'!E39)</f>
        <v/>
      </c>
      <c r="J19" s="88" t="str">
        <f>IF(ISBLANK('Credit Instruction Record'!F39),"",'Credit Instruction Record'!F39)</f>
        <v/>
      </c>
      <c r="K19" s="88" t="str">
        <f>IF(ISBLANK('Credit Instruction Record'!G39),"",'Credit Instruction Record'!G39)</f>
        <v/>
      </c>
      <c r="L19" s="88" t="str">
        <f>IF(ISBLANK('Credit Instruction Record'!H39),"",'Credit Instruction Record'!H39)</f>
        <v/>
      </c>
      <c r="M19" s="88" t="str">
        <f>IF(ISBLANK('Credit Instruction Record'!I39),"",'Credit Instruction Record'!I39)</f>
        <v/>
      </c>
      <c r="N19" s="88" t="str">
        <f>IF(ISBLANK('Credit Instruction Record'!J39),"",'Credit Instruction Record'!J39)</f>
        <v/>
      </c>
      <c r="O19" s="88" t="str">
        <f>IF(ISBLANK('Credit Instruction Record'!K39),"",'Credit Instruction Record'!K39)</f>
        <v/>
      </c>
      <c r="P19" s="90" t="b">
        <f t="shared" si="0"/>
        <v>1</v>
      </c>
      <c r="R19" s="111"/>
      <c r="S19" s="112"/>
      <c r="T19" s="112"/>
      <c r="U19" s="112"/>
      <c r="V19" s="112"/>
      <c r="W19" s="112"/>
      <c r="X19" s="113"/>
    </row>
    <row r="20" spans="3:24" x14ac:dyDescent="0.25">
      <c r="C20" s="37"/>
      <c r="D20" s="87">
        <v>19</v>
      </c>
      <c r="E20" s="88" t="str">
        <f>IF(ISBLANK('Credit Instruction Record'!A41),"",'Credit Instruction Record'!A41)</f>
        <v/>
      </c>
      <c r="F20" s="88" t="str">
        <f>IF(ISBLANK('Credit Instruction Record'!B41),"",'Credit Instruction Record'!B41)</f>
        <v/>
      </c>
      <c r="G20" s="88" t="str">
        <f>IF(ISBLANK('Credit Instruction Record'!C41),"",'Credit Instruction Record'!C41)</f>
        <v>EUR</v>
      </c>
      <c r="H20" s="89" t="str">
        <f>IF(ISBLANK('Credit Instruction Record'!D41),"",'Credit Instruction Record'!D41)</f>
        <v/>
      </c>
      <c r="I20" s="88" t="str">
        <f>IF(ISBLANK('Credit Instruction Record'!E41),"",'Credit Instruction Record'!E41)</f>
        <v/>
      </c>
      <c r="J20" s="88" t="str">
        <f>IF(ISBLANK('Credit Instruction Record'!F41),"",'Credit Instruction Record'!F41)</f>
        <v/>
      </c>
      <c r="K20" s="88" t="str">
        <f>IF(ISBLANK('Credit Instruction Record'!G41),"",'Credit Instruction Record'!G41)</f>
        <v/>
      </c>
      <c r="L20" s="88" t="str">
        <f>IF(ISBLANK('Credit Instruction Record'!H41),"",'Credit Instruction Record'!H41)</f>
        <v/>
      </c>
      <c r="M20" s="88" t="str">
        <f>IF(ISBLANK('Credit Instruction Record'!I41),"",'Credit Instruction Record'!I41)</f>
        <v/>
      </c>
      <c r="N20" s="88" t="str">
        <f>IF(ISBLANK('Credit Instruction Record'!J41),"",'Credit Instruction Record'!J41)</f>
        <v/>
      </c>
      <c r="O20" s="88" t="str">
        <f>IF(ISBLANK('Credit Instruction Record'!K41),"",'Credit Instruction Record'!K41)</f>
        <v/>
      </c>
      <c r="P20" s="90" t="b">
        <f t="shared" si="0"/>
        <v>1</v>
      </c>
      <c r="R20" s="111"/>
      <c r="S20" s="112"/>
      <c r="T20" s="112"/>
      <c r="U20" s="112"/>
      <c r="V20" s="112"/>
      <c r="W20" s="112"/>
      <c r="X20" s="113"/>
    </row>
    <row r="21" spans="3:24" x14ac:dyDescent="0.25">
      <c r="C21" s="37"/>
      <c r="D21" s="87">
        <v>20</v>
      </c>
      <c r="E21" s="88" t="str">
        <f>IF(ISBLANK('Credit Instruction Record'!A43),"",'Credit Instruction Record'!A43)</f>
        <v/>
      </c>
      <c r="F21" s="88" t="str">
        <f>IF(ISBLANK('Credit Instruction Record'!B43),"",'Credit Instruction Record'!B43)</f>
        <v/>
      </c>
      <c r="G21" s="88" t="str">
        <f>IF(ISBLANK('Credit Instruction Record'!C43),"",'Credit Instruction Record'!C43)</f>
        <v>EUR</v>
      </c>
      <c r="H21" s="89" t="str">
        <f>IF(ISBLANK('Credit Instruction Record'!D43),"",'Credit Instruction Record'!D43)</f>
        <v/>
      </c>
      <c r="I21" s="88" t="str">
        <f>IF(ISBLANK('Credit Instruction Record'!E43),"",'Credit Instruction Record'!E43)</f>
        <v/>
      </c>
      <c r="J21" s="88" t="str">
        <f>IF(ISBLANK('Credit Instruction Record'!F43),"",'Credit Instruction Record'!F43)</f>
        <v/>
      </c>
      <c r="K21" s="88" t="str">
        <f>IF(ISBLANK('Credit Instruction Record'!G43),"",'Credit Instruction Record'!G43)</f>
        <v/>
      </c>
      <c r="L21" s="88" t="str">
        <f>IF(ISBLANK('Credit Instruction Record'!H43),"",'Credit Instruction Record'!H43)</f>
        <v/>
      </c>
      <c r="M21" s="88" t="str">
        <f>IF(ISBLANK('Credit Instruction Record'!I43),"",'Credit Instruction Record'!I43)</f>
        <v/>
      </c>
      <c r="N21" s="88" t="str">
        <f>IF(ISBLANK('Credit Instruction Record'!J43),"",'Credit Instruction Record'!J43)</f>
        <v/>
      </c>
      <c r="O21" s="88" t="str">
        <f>IF(ISBLANK('Credit Instruction Record'!K43),"",'Credit Instruction Record'!K43)</f>
        <v/>
      </c>
      <c r="P21" s="90" t="b">
        <f t="shared" si="0"/>
        <v>1</v>
      </c>
      <c r="R21" s="111"/>
      <c r="S21" s="112"/>
      <c r="T21" s="112"/>
      <c r="U21" s="112"/>
      <c r="V21" s="112"/>
      <c r="W21" s="112"/>
      <c r="X21" s="113"/>
    </row>
    <row r="22" spans="3:24" x14ac:dyDescent="0.25">
      <c r="C22" s="37"/>
      <c r="D22" s="87">
        <v>21</v>
      </c>
      <c r="E22" s="88" t="str">
        <f>IF(ISBLANK('Credit Instruction Record'!A45),"",'Credit Instruction Record'!A45)</f>
        <v/>
      </c>
      <c r="F22" s="88" t="str">
        <f>IF(ISBLANK('Credit Instruction Record'!B45),"",'Credit Instruction Record'!B45)</f>
        <v/>
      </c>
      <c r="G22" s="88" t="str">
        <f>IF(ISBLANK('Credit Instruction Record'!C45),"",'Credit Instruction Record'!C45)</f>
        <v>EUR</v>
      </c>
      <c r="H22" s="89" t="str">
        <f>IF(ISBLANK('Credit Instruction Record'!D45),"",'Credit Instruction Record'!D45)</f>
        <v/>
      </c>
      <c r="I22" s="88" t="str">
        <f>IF(ISBLANK('Credit Instruction Record'!E45),"",'Credit Instruction Record'!E45)</f>
        <v/>
      </c>
      <c r="J22" s="88" t="str">
        <f>IF(ISBLANK('Credit Instruction Record'!F45),"",'Credit Instruction Record'!F45)</f>
        <v/>
      </c>
      <c r="K22" s="88" t="str">
        <f>IF(ISBLANK('Credit Instruction Record'!G45),"",'Credit Instruction Record'!G45)</f>
        <v/>
      </c>
      <c r="L22" s="88" t="str">
        <f>IF(ISBLANK('Credit Instruction Record'!H45),"",'Credit Instruction Record'!H45)</f>
        <v/>
      </c>
      <c r="M22" s="88" t="str">
        <f>IF(ISBLANK('Credit Instruction Record'!I45),"",'Credit Instruction Record'!I45)</f>
        <v/>
      </c>
      <c r="N22" s="88" t="str">
        <f>IF(ISBLANK('Credit Instruction Record'!J45),"",'Credit Instruction Record'!J45)</f>
        <v/>
      </c>
      <c r="O22" s="88" t="str">
        <f>IF(ISBLANK('Credit Instruction Record'!K45),"",'Credit Instruction Record'!K45)</f>
        <v/>
      </c>
      <c r="P22" s="90" t="b">
        <f t="shared" si="0"/>
        <v>1</v>
      </c>
      <c r="R22" s="111"/>
      <c r="S22" s="112"/>
      <c r="T22" s="112"/>
      <c r="U22" s="112"/>
      <c r="V22" s="112"/>
      <c r="W22" s="112"/>
      <c r="X22" s="113"/>
    </row>
    <row r="23" spans="3:24" x14ac:dyDescent="0.25">
      <c r="C23" s="37"/>
      <c r="D23" s="87">
        <v>22</v>
      </c>
      <c r="E23" s="88" t="str">
        <f>IF(ISBLANK('Credit Instruction Record'!A47),"",'Credit Instruction Record'!A47)</f>
        <v/>
      </c>
      <c r="F23" s="88" t="str">
        <f>IF(ISBLANK('Credit Instruction Record'!B47),"",'Credit Instruction Record'!B47)</f>
        <v/>
      </c>
      <c r="G23" s="88" t="str">
        <f>IF(ISBLANK('Credit Instruction Record'!C47),"",'Credit Instruction Record'!C47)</f>
        <v>EUR</v>
      </c>
      <c r="H23" s="89" t="str">
        <f>IF(ISBLANK('Credit Instruction Record'!D47),"",'Credit Instruction Record'!D47)</f>
        <v/>
      </c>
      <c r="I23" s="88" t="str">
        <f>IF(ISBLANK('Credit Instruction Record'!E47),"",'Credit Instruction Record'!E47)</f>
        <v/>
      </c>
      <c r="J23" s="88" t="str">
        <f>IF(ISBLANK('Credit Instruction Record'!F47),"",'Credit Instruction Record'!F47)</f>
        <v/>
      </c>
      <c r="K23" s="88" t="str">
        <f>IF(ISBLANK('Credit Instruction Record'!G47),"",'Credit Instruction Record'!G47)</f>
        <v/>
      </c>
      <c r="L23" s="88" t="str">
        <f>IF(ISBLANK('Credit Instruction Record'!H47),"",'Credit Instruction Record'!H47)</f>
        <v/>
      </c>
      <c r="M23" s="88" t="str">
        <f>IF(ISBLANK('Credit Instruction Record'!I47),"",'Credit Instruction Record'!I47)</f>
        <v/>
      </c>
      <c r="N23" s="88" t="str">
        <f>IF(ISBLANK('Credit Instruction Record'!J47),"",'Credit Instruction Record'!J47)</f>
        <v/>
      </c>
      <c r="O23" s="88" t="str">
        <f>IF(ISBLANK('Credit Instruction Record'!K47),"",'Credit Instruction Record'!K47)</f>
        <v/>
      </c>
      <c r="P23" s="90" t="b">
        <f t="shared" si="0"/>
        <v>1</v>
      </c>
      <c r="R23" s="111"/>
      <c r="S23" s="112"/>
      <c r="T23" s="112"/>
      <c r="U23" s="112"/>
      <c r="V23" s="112"/>
      <c r="W23" s="112"/>
      <c r="X23" s="113"/>
    </row>
    <row r="24" spans="3:24" x14ac:dyDescent="0.25">
      <c r="C24" s="37"/>
      <c r="D24" s="87">
        <v>23</v>
      </c>
      <c r="E24" s="88" t="str">
        <f>IF(ISBLANK('Credit Instruction Record'!A49),"",'Credit Instruction Record'!A49)</f>
        <v/>
      </c>
      <c r="F24" s="88" t="str">
        <f>IF(ISBLANK('Credit Instruction Record'!B49),"",'Credit Instruction Record'!B49)</f>
        <v/>
      </c>
      <c r="G24" s="88" t="str">
        <f>IF(ISBLANK('Credit Instruction Record'!C49),"",'Credit Instruction Record'!C49)</f>
        <v>EUR</v>
      </c>
      <c r="H24" s="89" t="str">
        <f>IF(ISBLANK('Credit Instruction Record'!D49),"",'Credit Instruction Record'!D49)</f>
        <v/>
      </c>
      <c r="I24" s="88" t="str">
        <f>IF(ISBLANK('Credit Instruction Record'!E49),"",'Credit Instruction Record'!E49)</f>
        <v/>
      </c>
      <c r="J24" s="88" t="str">
        <f>IF(ISBLANK('Credit Instruction Record'!F49),"",'Credit Instruction Record'!F49)</f>
        <v/>
      </c>
      <c r="K24" s="88" t="str">
        <f>IF(ISBLANK('Credit Instruction Record'!G49),"",'Credit Instruction Record'!G49)</f>
        <v/>
      </c>
      <c r="L24" s="88" t="str">
        <f>IF(ISBLANK('Credit Instruction Record'!H49),"",'Credit Instruction Record'!H49)</f>
        <v/>
      </c>
      <c r="M24" s="88" t="str">
        <f>IF(ISBLANK('Credit Instruction Record'!I49),"",'Credit Instruction Record'!I49)</f>
        <v/>
      </c>
      <c r="N24" s="88" t="str">
        <f>IF(ISBLANK('Credit Instruction Record'!J49),"",'Credit Instruction Record'!J49)</f>
        <v/>
      </c>
      <c r="O24" s="88" t="str">
        <f>IF(ISBLANK('Credit Instruction Record'!K49),"",'Credit Instruction Record'!K49)</f>
        <v/>
      </c>
      <c r="P24" s="90" t="b">
        <f t="shared" si="0"/>
        <v>1</v>
      </c>
      <c r="R24" s="111"/>
      <c r="S24" s="112"/>
      <c r="T24" s="112"/>
      <c r="U24" s="112"/>
      <c r="V24" s="112"/>
      <c r="W24" s="112"/>
      <c r="X24" s="113"/>
    </row>
    <row r="25" spans="3:24" x14ac:dyDescent="0.25">
      <c r="C25" s="37"/>
      <c r="D25" s="87">
        <v>24</v>
      </c>
      <c r="E25" s="88" t="str">
        <f>IF(ISBLANK('Credit Instruction Record'!A51),"",'Credit Instruction Record'!A51)</f>
        <v/>
      </c>
      <c r="F25" s="88" t="str">
        <f>IF(ISBLANK('Credit Instruction Record'!B51),"",'Credit Instruction Record'!B51)</f>
        <v/>
      </c>
      <c r="G25" s="88" t="str">
        <f>IF(ISBLANK('Credit Instruction Record'!C51),"",'Credit Instruction Record'!C51)</f>
        <v>EUR</v>
      </c>
      <c r="H25" s="89" t="str">
        <f>IF(ISBLANK('Credit Instruction Record'!D51),"",'Credit Instruction Record'!D51)</f>
        <v/>
      </c>
      <c r="I25" s="88" t="str">
        <f>IF(ISBLANK('Credit Instruction Record'!E51),"",'Credit Instruction Record'!E51)</f>
        <v/>
      </c>
      <c r="J25" s="88" t="str">
        <f>IF(ISBLANK('Credit Instruction Record'!F51),"",'Credit Instruction Record'!F51)</f>
        <v/>
      </c>
      <c r="K25" s="88" t="str">
        <f>IF(ISBLANK('Credit Instruction Record'!G51),"",'Credit Instruction Record'!G51)</f>
        <v/>
      </c>
      <c r="L25" s="88" t="str">
        <f>IF(ISBLANK('Credit Instruction Record'!H51),"",'Credit Instruction Record'!H51)</f>
        <v/>
      </c>
      <c r="M25" s="88" t="str">
        <f>IF(ISBLANK('Credit Instruction Record'!I51),"",'Credit Instruction Record'!I51)</f>
        <v/>
      </c>
      <c r="N25" s="88" t="str">
        <f>IF(ISBLANK('Credit Instruction Record'!J51),"",'Credit Instruction Record'!J51)</f>
        <v/>
      </c>
      <c r="O25" s="88" t="str">
        <f>IF(ISBLANK('Credit Instruction Record'!K51),"",'Credit Instruction Record'!K51)</f>
        <v/>
      </c>
      <c r="P25" s="90" t="b">
        <f t="shared" si="0"/>
        <v>1</v>
      </c>
      <c r="R25" s="111"/>
      <c r="S25" s="112"/>
      <c r="T25" s="112"/>
      <c r="U25" s="112"/>
      <c r="V25" s="112"/>
      <c r="W25" s="112"/>
      <c r="X25" s="113"/>
    </row>
    <row r="26" spans="3:24" x14ac:dyDescent="0.25">
      <c r="C26" s="37"/>
      <c r="D26" s="87">
        <v>25</v>
      </c>
      <c r="E26" s="88" t="str">
        <f>IF(ISBLANK('Credit Instruction Record'!A53),"",'Credit Instruction Record'!A53)</f>
        <v/>
      </c>
      <c r="F26" s="88" t="str">
        <f>IF(ISBLANK('Credit Instruction Record'!B53),"",'Credit Instruction Record'!B53)</f>
        <v/>
      </c>
      <c r="G26" s="88" t="str">
        <f>IF(ISBLANK('Credit Instruction Record'!C53),"",'Credit Instruction Record'!C53)</f>
        <v>EUR</v>
      </c>
      <c r="H26" s="89" t="str">
        <f>IF(ISBLANK('Credit Instruction Record'!D53),"",'Credit Instruction Record'!D53)</f>
        <v/>
      </c>
      <c r="I26" s="88" t="str">
        <f>IF(ISBLANK('Credit Instruction Record'!E53),"",'Credit Instruction Record'!E53)</f>
        <v/>
      </c>
      <c r="J26" s="88" t="str">
        <f>IF(ISBLANK('Credit Instruction Record'!F53),"",'Credit Instruction Record'!F53)</f>
        <v/>
      </c>
      <c r="K26" s="88" t="str">
        <f>IF(ISBLANK('Credit Instruction Record'!G53),"",'Credit Instruction Record'!G53)</f>
        <v/>
      </c>
      <c r="L26" s="88" t="str">
        <f>IF(ISBLANK('Credit Instruction Record'!H53),"",'Credit Instruction Record'!H53)</f>
        <v/>
      </c>
      <c r="M26" s="88" t="str">
        <f>IF(ISBLANK('Credit Instruction Record'!I53),"",'Credit Instruction Record'!I53)</f>
        <v/>
      </c>
      <c r="N26" s="88" t="str">
        <f>IF(ISBLANK('Credit Instruction Record'!J53),"",'Credit Instruction Record'!J53)</f>
        <v/>
      </c>
      <c r="O26" s="88" t="str">
        <f>IF(ISBLANK('Credit Instruction Record'!K53),"",'Credit Instruction Record'!K53)</f>
        <v/>
      </c>
      <c r="P26" s="90" t="b">
        <f t="shared" si="0"/>
        <v>1</v>
      </c>
      <c r="R26" s="111"/>
      <c r="S26" s="112"/>
      <c r="T26" s="112"/>
      <c r="U26" s="112"/>
      <c r="V26" s="112"/>
      <c r="W26" s="112"/>
      <c r="X26" s="113"/>
    </row>
    <row r="27" spans="3:24" x14ac:dyDescent="0.25">
      <c r="C27" s="37"/>
      <c r="D27" s="87">
        <v>26</v>
      </c>
      <c r="E27" s="88" t="str">
        <f>IF(ISBLANK('Credit Instruction Record'!A55),"",'Credit Instruction Record'!A55)</f>
        <v/>
      </c>
      <c r="F27" s="88" t="str">
        <f>IF(ISBLANK('Credit Instruction Record'!B55),"",'Credit Instruction Record'!B55)</f>
        <v/>
      </c>
      <c r="G27" s="88" t="str">
        <f>IF(ISBLANK('Credit Instruction Record'!C55),"",'Credit Instruction Record'!C55)</f>
        <v>EUR</v>
      </c>
      <c r="H27" s="89" t="str">
        <f>IF(ISBLANK('Credit Instruction Record'!D55),"",'Credit Instruction Record'!D55)</f>
        <v/>
      </c>
      <c r="I27" s="88" t="str">
        <f>IF(ISBLANK('Credit Instruction Record'!E55),"",'Credit Instruction Record'!E55)</f>
        <v/>
      </c>
      <c r="J27" s="88" t="str">
        <f>IF(ISBLANK('Credit Instruction Record'!F55),"",'Credit Instruction Record'!F55)</f>
        <v/>
      </c>
      <c r="K27" s="88" t="str">
        <f>IF(ISBLANK('Credit Instruction Record'!G55),"",'Credit Instruction Record'!G55)</f>
        <v/>
      </c>
      <c r="L27" s="88" t="str">
        <f>IF(ISBLANK('Credit Instruction Record'!H55),"",'Credit Instruction Record'!H55)</f>
        <v/>
      </c>
      <c r="M27" s="88" t="str">
        <f>IF(ISBLANK('Credit Instruction Record'!I55),"",'Credit Instruction Record'!I55)</f>
        <v/>
      </c>
      <c r="N27" s="88" t="str">
        <f>IF(ISBLANK('Credit Instruction Record'!J55),"",'Credit Instruction Record'!J55)</f>
        <v/>
      </c>
      <c r="O27" s="88" t="str">
        <f>IF(ISBLANK('Credit Instruction Record'!K55),"",'Credit Instruction Record'!K55)</f>
        <v/>
      </c>
      <c r="P27" s="90" t="b">
        <f t="shared" si="0"/>
        <v>1</v>
      </c>
      <c r="R27" s="111"/>
      <c r="S27" s="112"/>
      <c r="T27" s="112"/>
      <c r="U27" s="112"/>
      <c r="V27" s="112"/>
      <c r="W27" s="112"/>
      <c r="X27" s="113"/>
    </row>
    <row r="28" spans="3:24" ht="15.75" thickBot="1" x14ac:dyDescent="0.3">
      <c r="C28" s="37"/>
      <c r="D28" s="87">
        <v>27</v>
      </c>
      <c r="E28" s="88" t="str">
        <f>IF(ISBLANK('Credit Instruction Record'!A57),"",'Credit Instruction Record'!A57)</f>
        <v/>
      </c>
      <c r="F28" s="88" t="str">
        <f>IF(ISBLANK('Credit Instruction Record'!B57),"",'Credit Instruction Record'!B57)</f>
        <v/>
      </c>
      <c r="G28" s="88" t="str">
        <f>IF(ISBLANK('Credit Instruction Record'!C57),"",'Credit Instruction Record'!C57)</f>
        <v>EUR</v>
      </c>
      <c r="H28" s="89" t="str">
        <f>IF(ISBLANK('Credit Instruction Record'!D57),"",'Credit Instruction Record'!D57)</f>
        <v/>
      </c>
      <c r="I28" s="88" t="str">
        <f>IF(ISBLANK('Credit Instruction Record'!E57),"",'Credit Instruction Record'!E57)</f>
        <v/>
      </c>
      <c r="J28" s="88" t="str">
        <f>IF(ISBLANK('Credit Instruction Record'!F57),"",'Credit Instruction Record'!F57)</f>
        <v/>
      </c>
      <c r="K28" s="88" t="str">
        <f>IF(ISBLANK('Credit Instruction Record'!G57),"",'Credit Instruction Record'!G57)</f>
        <v/>
      </c>
      <c r="L28" s="88" t="str">
        <f>IF(ISBLANK('Credit Instruction Record'!H57),"",'Credit Instruction Record'!H57)</f>
        <v/>
      </c>
      <c r="M28" s="88" t="str">
        <f>IF(ISBLANK('Credit Instruction Record'!I57),"",'Credit Instruction Record'!I57)</f>
        <v/>
      </c>
      <c r="N28" s="88" t="str">
        <f>IF(ISBLANK('Credit Instruction Record'!J57),"",'Credit Instruction Record'!J57)</f>
        <v/>
      </c>
      <c r="O28" s="88" t="str">
        <f>IF(ISBLANK('Credit Instruction Record'!K57),"",'Credit Instruction Record'!K57)</f>
        <v/>
      </c>
      <c r="P28" s="90" t="b">
        <f t="shared" si="0"/>
        <v>1</v>
      </c>
      <c r="R28" s="114"/>
      <c r="S28" s="115"/>
      <c r="T28" s="115"/>
      <c r="U28" s="115"/>
      <c r="V28" s="115"/>
      <c r="W28" s="115"/>
      <c r="X28" s="116"/>
    </row>
    <row r="29" spans="3:24" ht="15" customHeight="1" x14ac:dyDescent="0.25">
      <c r="C29" s="37"/>
      <c r="D29" s="87">
        <v>28</v>
      </c>
      <c r="E29" s="88" t="str">
        <f>IF(ISBLANK('Credit Instruction Record'!A59),"",'Credit Instruction Record'!A59)</f>
        <v/>
      </c>
      <c r="F29" s="88" t="str">
        <f>IF(ISBLANK('Credit Instruction Record'!B59),"",'Credit Instruction Record'!B59)</f>
        <v/>
      </c>
      <c r="G29" s="88" t="str">
        <f>IF(ISBLANK('Credit Instruction Record'!C59),"",'Credit Instruction Record'!C59)</f>
        <v>EUR</v>
      </c>
      <c r="H29" s="89" t="str">
        <f>IF(ISBLANK('Credit Instruction Record'!D59),"",'Credit Instruction Record'!D59)</f>
        <v/>
      </c>
      <c r="I29" s="88" t="str">
        <f>IF(ISBLANK('Credit Instruction Record'!E59),"",'Credit Instruction Record'!E59)</f>
        <v/>
      </c>
      <c r="J29" s="88" t="str">
        <f>IF(ISBLANK('Credit Instruction Record'!F59),"",'Credit Instruction Record'!F59)</f>
        <v/>
      </c>
      <c r="K29" s="88" t="str">
        <f>IF(ISBLANK('Credit Instruction Record'!G59),"",'Credit Instruction Record'!G59)</f>
        <v/>
      </c>
      <c r="L29" s="88" t="str">
        <f>IF(ISBLANK('Credit Instruction Record'!H59),"",'Credit Instruction Record'!H59)</f>
        <v/>
      </c>
      <c r="M29" s="88" t="str">
        <f>IF(ISBLANK('Credit Instruction Record'!I59),"",'Credit Instruction Record'!I59)</f>
        <v/>
      </c>
      <c r="N29" s="88" t="str">
        <f>IF(ISBLANK('Credit Instruction Record'!J59),"",'Credit Instruction Record'!J59)</f>
        <v/>
      </c>
      <c r="O29" s="88" t="str">
        <f>IF(ISBLANK('Credit Instruction Record'!K59),"",'Credit Instruction Record'!K59)</f>
        <v/>
      </c>
      <c r="P29" s="90" t="b">
        <f t="shared" si="0"/>
        <v>1</v>
      </c>
    </row>
    <row r="30" spans="3:24" x14ac:dyDescent="0.25">
      <c r="C30" s="37"/>
      <c r="D30" s="87">
        <v>29</v>
      </c>
      <c r="E30" s="88" t="str">
        <f>IF(ISBLANK('Credit Instruction Record'!A61),"",'Credit Instruction Record'!A61)</f>
        <v/>
      </c>
      <c r="F30" s="88" t="str">
        <f>IF(ISBLANK('Credit Instruction Record'!B61),"",'Credit Instruction Record'!B61)</f>
        <v/>
      </c>
      <c r="G30" s="88" t="str">
        <f>IF(ISBLANK('Credit Instruction Record'!C61),"",'Credit Instruction Record'!C61)</f>
        <v>EUR</v>
      </c>
      <c r="H30" s="89" t="str">
        <f>IF(ISBLANK('Credit Instruction Record'!D61),"",'Credit Instruction Record'!D61)</f>
        <v/>
      </c>
      <c r="I30" s="88" t="str">
        <f>IF(ISBLANK('Credit Instruction Record'!E61),"",'Credit Instruction Record'!E61)</f>
        <v/>
      </c>
      <c r="J30" s="88" t="str">
        <f>IF(ISBLANK('Credit Instruction Record'!F61),"",'Credit Instruction Record'!F61)</f>
        <v/>
      </c>
      <c r="K30" s="88" t="str">
        <f>IF(ISBLANK('Credit Instruction Record'!G61),"",'Credit Instruction Record'!G61)</f>
        <v/>
      </c>
      <c r="L30" s="88" t="str">
        <f>IF(ISBLANK('Credit Instruction Record'!H61),"",'Credit Instruction Record'!H61)</f>
        <v/>
      </c>
      <c r="M30" s="88" t="str">
        <f>IF(ISBLANK('Credit Instruction Record'!I61),"",'Credit Instruction Record'!I61)</f>
        <v/>
      </c>
      <c r="N30" s="88" t="str">
        <f>IF(ISBLANK('Credit Instruction Record'!J61),"",'Credit Instruction Record'!J61)</f>
        <v/>
      </c>
      <c r="O30" s="88" t="str">
        <f>IF(ISBLANK('Credit Instruction Record'!K61),"",'Credit Instruction Record'!K61)</f>
        <v/>
      </c>
      <c r="P30" s="90" t="b">
        <f t="shared" si="0"/>
        <v>1</v>
      </c>
    </row>
    <row r="31" spans="3:24" x14ac:dyDescent="0.25">
      <c r="C31" s="37"/>
      <c r="D31" s="87">
        <v>30</v>
      </c>
      <c r="E31" s="88" t="str">
        <f>IF(ISBLANK('Credit Instruction Record'!A63),"",'Credit Instruction Record'!A63)</f>
        <v/>
      </c>
      <c r="F31" s="88" t="str">
        <f>IF(ISBLANK('Credit Instruction Record'!B63),"",'Credit Instruction Record'!B63)</f>
        <v/>
      </c>
      <c r="G31" s="88" t="str">
        <f>IF(ISBLANK('Credit Instruction Record'!C63),"",'Credit Instruction Record'!C63)</f>
        <v>EUR</v>
      </c>
      <c r="H31" s="89" t="str">
        <f>IF(ISBLANK('Credit Instruction Record'!D63),"",'Credit Instruction Record'!D63)</f>
        <v/>
      </c>
      <c r="I31" s="88" t="str">
        <f>IF(ISBLANK('Credit Instruction Record'!E63),"",'Credit Instruction Record'!E63)</f>
        <v/>
      </c>
      <c r="J31" s="88" t="str">
        <f>IF(ISBLANK('Credit Instruction Record'!F63),"",'Credit Instruction Record'!F63)</f>
        <v/>
      </c>
      <c r="K31" s="88" t="str">
        <f>IF(ISBLANK('Credit Instruction Record'!G63),"",'Credit Instruction Record'!G63)</f>
        <v/>
      </c>
      <c r="L31" s="88" t="str">
        <f>IF(ISBLANK('Credit Instruction Record'!H63),"",'Credit Instruction Record'!H63)</f>
        <v/>
      </c>
      <c r="M31" s="88" t="str">
        <f>IF(ISBLANK('Credit Instruction Record'!I63),"",'Credit Instruction Record'!I63)</f>
        <v/>
      </c>
      <c r="N31" s="88" t="str">
        <f>IF(ISBLANK('Credit Instruction Record'!J63),"",'Credit Instruction Record'!J63)</f>
        <v/>
      </c>
      <c r="O31" s="88" t="str">
        <f>IF(ISBLANK('Credit Instruction Record'!K63),"",'Credit Instruction Record'!K63)</f>
        <v/>
      </c>
      <c r="P31" s="90" t="b">
        <f t="shared" si="0"/>
        <v>1</v>
      </c>
    </row>
    <row r="32" spans="3:24" x14ac:dyDescent="0.25">
      <c r="C32" s="37"/>
      <c r="D32" s="87">
        <v>31</v>
      </c>
      <c r="E32" s="88" t="str">
        <f>IF(ISBLANK('Credit Instruction Record'!A65),"",'Credit Instruction Record'!A65)</f>
        <v/>
      </c>
      <c r="F32" s="88" t="str">
        <f>IF(ISBLANK('Credit Instruction Record'!B65),"",'Credit Instruction Record'!B65)</f>
        <v/>
      </c>
      <c r="G32" s="88" t="str">
        <f>IF(ISBLANK('Credit Instruction Record'!C65),"",'Credit Instruction Record'!C65)</f>
        <v>EUR</v>
      </c>
      <c r="H32" s="89" t="str">
        <f>IF(ISBLANK('Credit Instruction Record'!D65),"",'Credit Instruction Record'!D65)</f>
        <v/>
      </c>
      <c r="I32" s="88" t="str">
        <f>IF(ISBLANK('Credit Instruction Record'!E65),"",'Credit Instruction Record'!E65)</f>
        <v/>
      </c>
      <c r="J32" s="88" t="str">
        <f>IF(ISBLANK('Credit Instruction Record'!F65),"",'Credit Instruction Record'!F65)</f>
        <v/>
      </c>
      <c r="K32" s="88" t="str">
        <f>IF(ISBLANK('Credit Instruction Record'!G65),"",'Credit Instruction Record'!G65)</f>
        <v/>
      </c>
      <c r="L32" s="88" t="str">
        <f>IF(ISBLANK('Credit Instruction Record'!H65),"",'Credit Instruction Record'!H65)</f>
        <v/>
      </c>
      <c r="M32" s="88" t="str">
        <f>IF(ISBLANK('Credit Instruction Record'!I65),"",'Credit Instruction Record'!I65)</f>
        <v/>
      </c>
      <c r="N32" s="88" t="str">
        <f>IF(ISBLANK('Credit Instruction Record'!J65),"",'Credit Instruction Record'!J65)</f>
        <v/>
      </c>
      <c r="O32" s="88" t="str">
        <f>IF(ISBLANK('Credit Instruction Record'!K65),"",'Credit Instruction Record'!K65)</f>
        <v/>
      </c>
      <c r="P32" s="90" t="b">
        <f t="shared" si="0"/>
        <v>1</v>
      </c>
    </row>
    <row r="33" spans="3:16" x14ac:dyDescent="0.25">
      <c r="C33" s="37"/>
      <c r="D33" s="87">
        <v>32</v>
      </c>
      <c r="E33" s="88" t="str">
        <f>IF(ISBLANK('Credit Instruction Record'!A67),"",'Credit Instruction Record'!A67)</f>
        <v/>
      </c>
      <c r="F33" s="88" t="str">
        <f>IF(ISBLANK('Credit Instruction Record'!B67),"",'Credit Instruction Record'!B67)</f>
        <v/>
      </c>
      <c r="G33" s="88" t="str">
        <f>IF(ISBLANK('Credit Instruction Record'!C67),"",'Credit Instruction Record'!C67)</f>
        <v>EUR</v>
      </c>
      <c r="H33" s="89" t="str">
        <f>IF(ISBLANK('Credit Instruction Record'!D67),"",'Credit Instruction Record'!D67)</f>
        <v/>
      </c>
      <c r="I33" s="88" t="str">
        <f>IF(ISBLANK('Credit Instruction Record'!E67),"",'Credit Instruction Record'!E67)</f>
        <v/>
      </c>
      <c r="J33" s="88" t="str">
        <f>IF(ISBLANK('Credit Instruction Record'!F67),"",'Credit Instruction Record'!F67)</f>
        <v/>
      </c>
      <c r="K33" s="88" t="str">
        <f>IF(ISBLANK('Credit Instruction Record'!G67),"",'Credit Instruction Record'!G67)</f>
        <v/>
      </c>
      <c r="L33" s="88" t="str">
        <f>IF(ISBLANK('Credit Instruction Record'!H67),"",'Credit Instruction Record'!H67)</f>
        <v/>
      </c>
      <c r="M33" s="88" t="str">
        <f>IF(ISBLANK('Credit Instruction Record'!I67),"",'Credit Instruction Record'!I67)</f>
        <v/>
      </c>
      <c r="N33" s="88" t="str">
        <f>IF(ISBLANK('Credit Instruction Record'!J67),"",'Credit Instruction Record'!J67)</f>
        <v/>
      </c>
      <c r="O33" s="88" t="str">
        <f>IF(ISBLANK('Credit Instruction Record'!K67),"",'Credit Instruction Record'!K67)</f>
        <v/>
      </c>
      <c r="P33" s="90" t="b">
        <f t="shared" si="0"/>
        <v>1</v>
      </c>
    </row>
    <row r="34" spans="3:16" x14ac:dyDescent="0.25">
      <c r="C34" s="37"/>
      <c r="D34" s="87">
        <v>33</v>
      </c>
      <c r="E34" s="88" t="str">
        <f>IF(ISBLANK('Credit Instruction Record'!A69),"",'Credit Instruction Record'!A69)</f>
        <v/>
      </c>
      <c r="F34" s="88" t="str">
        <f>IF(ISBLANK('Credit Instruction Record'!B69),"",'Credit Instruction Record'!B69)</f>
        <v/>
      </c>
      <c r="G34" s="88" t="str">
        <f>IF(ISBLANK('Credit Instruction Record'!C69),"",'Credit Instruction Record'!C69)</f>
        <v>EUR</v>
      </c>
      <c r="H34" s="89" t="str">
        <f>IF(ISBLANK('Credit Instruction Record'!D69),"",'Credit Instruction Record'!D69)</f>
        <v/>
      </c>
      <c r="I34" s="88" t="str">
        <f>IF(ISBLANK('Credit Instruction Record'!E69),"",'Credit Instruction Record'!E69)</f>
        <v/>
      </c>
      <c r="J34" s="88" t="str">
        <f>IF(ISBLANK('Credit Instruction Record'!F69),"",'Credit Instruction Record'!F69)</f>
        <v/>
      </c>
      <c r="K34" s="88" t="str">
        <f>IF(ISBLANK('Credit Instruction Record'!G69),"",'Credit Instruction Record'!G69)</f>
        <v/>
      </c>
      <c r="L34" s="88" t="str">
        <f>IF(ISBLANK('Credit Instruction Record'!H69),"",'Credit Instruction Record'!H69)</f>
        <v/>
      </c>
      <c r="M34" s="88" t="str">
        <f>IF(ISBLANK('Credit Instruction Record'!I69),"",'Credit Instruction Record'!I69)</f>
        <v/>
      </c>
      <c r="N34" s="88" t="str">
        <f>IF(ISBLANK('Credit Instruction Record'!J69),"",'Credit Instruction Record'!J69)</f>
        <v/>
      </c>
      <c r="O34" s="88" t="str">
        <f>IF(ISBLANK('Credit Instruction Record'!K69),"",'Credit Instruction Record'!K69)</f>
        <v/>
      </c>
      <c r="P34" s="90" t="b">
        <f t="shared" ref="P34:P42" si="1">M34=""</f>
        <v>1</v>
      </c>
    </row>
    <row r="35" spans="3:16" x14ac:dyDescent="0.25">
      <c r="C35" s="37"/>
      <c r="D35" s="87">
        <v>34</v>
      </c>
      <c r="E35" s="88" t="str">
        <f>IF(ISBLANK('Credit Instruction Record'!A71),"",'Credit Instruction Record'!A71)</f>
        <v/>
      </c>
      <c r="F35" s="88" t="str">
        <f>IF(ISBLANK('Credit Instruction Record'!B71),"",'Credit Instruction Record'!B71)</f>
        <v/>
      </c>
      <c r="G35" s="88" t="str">
        <f>IF(ISBLANK('Credit Instruction Record'!C71),"",'Credit Instruction Record'!C71)</f>
        <v>EUR</v>
      </c>
      <c r="H35" s="89" t="str">
        <f>IF(ISBLANK('Credit Instruction Record'!D71),"",'Credit Instruction Record'!D71)</f>
        <v/>
      </c>
      <c r="I35" s="88" t="str">
        <f>IF(ISBLANK('Credit Instruction Record'!E71),"",'Credit Instruction Record'!E71)</f>
        <v/>
      </c>
      <c r="J35" s="88" t="str">
        <f>IF(ISBLANK('Credit Instruction Record'!F71),"",'Credit Instruction Record'!F71)</f>
        <v/>
      </c>
      <c r="K35" s="88" t="str">
        <f>IF(ISBLANK('Credit Instruction Record'!G71),"",'Credit Instruction Record'!G71)</f>
        <v/>
      </c>
      <c r="L35" s="88" t="str">
        <f>IF(ISBLANK('Credit Instruction Record'!H71),"",'Credit Instruction Record'!H71)</f>
        <v/>
      </c>
      <c r="M35" s="88" t="str">
        <f>IF(ISBLANK('Credit Instruction Record'!I71),"",'Credit Instruction Record'!I71)</f>
        <v/>
      </c>
      <c r="N35" s="88" t="str">
        <f>IF(ISBLANK('Credit Instruction Record'!J71),"",'Credit Instruction Record'!J71)</f>
        <v/>
      </c>
      <c r="O35" s="88" t="str">
        <f>IF(ISBLANK('Credit Instruction Record'!K71),"",'Credit Instruction Record'!K71)</f>
        <v/>
      </c>
      <c r="P35" s="90" t="b">
        <f t="shared" si="1"/>
        <v>1</v>
      </c>
    </row>
    <row r="36" spans="3:16" x14ac:dyDescent="0.25">
      <c r="C36" s="37"/>
      <c r="D36" s="87">
        <v>35</v>
      </c>
      <c r="E36" s="88" t="str">
        <f>IF(ISBLANK('Credit Instruction Record'!A73),"",'Credit Instruction Record'!A73)</f>
        <v/>
      </c>
      <c r="F36" s="88" t="str">
        <f>IF(ISBLANK('Credit Instruction Record'!B73),"",'Credit Instruction Record'!B73)</f>
        <v/>
      </c>
      <c r="G36" s="88" t="str">
        <f>IF(ISBLANK('Credit Instruction Record'!C73),"",'Credit Instruction Record'!C73)</f>
        <v>EUR</v>
      </c>
      <c r="H36" s="89" t="str">
        <f>IF(ISBLANK('Credit Instruction Record'!D73),"",'Credit Instruction Record'!D73)</f>
        <v/>
      </c>
      <c r="I36" s="88" t="str">
        <f>IF(ISBLANK('Credit Instruction Record'!E73),"",'Credit Instruction Record'!E73)</f>
        <v/>
      </c>
      <c r="J36" s="88" t="str">
        <f>IF(ISBLANK('Credit Instruction Record'!F73),"",'Credit Instruction Record'!F73)</f>
        <v/>
      </c>
      <c r="K36" s="88" t="str">
        <f>IF(ISBLANK('Credit Instruction Record'!G73),"",'Credit Instruction Record'!G73)</f>
        <v/>
      </c>
      <c r="L36" s="88" t="str">
        <f>IF(ISBLANK('Credit Instruction Record'!H73),"",'Credit Instruction Record'!H73)</f>
        <v/>
      </c>
      <c r="M36" s="88" t="str">
        <f>IF(ISBLANK('Credit Instruction Record'!I73),"",'Credit Instruction Record'!I73)</f>
        <v/>
      </c>
      <c r="N36" s="88" t="str">
        <f>IF(ISBLANK('Credit Instruction Record'!J73),"",'Credit Instruction Record'!J73)</f>
        <v/>
      </c>
      <c r="O36" s="88" t="str">
        <f>IF(ISBLANK('Credit Instruction Record'!K73),"",'Credit Instruction Record'!K73)</f>
        <v/>
      </c>
      <c r="P36" s="90" t="b">
        <f t="shared" si="1"/>
        <v>1</v>
      </c>
    </row>
    <row r="37" spans="3:16" x14ac:dyDescent="0.25">
      <c r="C37" s="37"/>
      <c r="D37" s="87">
        <v>36</v>
      </c>
      <c r="E37" s="88" t="str">
        <f>IF(ISBLANK('Credit Instruction Record'!A75),"",'Credit Instruction Record'!A75)</f>
        <v/>
      </c>
      <c r="F37" s="88" t="str">
        <f>IF(ISBLANK('Credit Instruction Record'!B75),"",'Credit Instruction Record'!B75)</f>
        <v/>
      </c>
      <c r="G37" s="88" t="str">
        <f>IF(ISBLANK('Credit Instruction Record'!C75),"",'Credit Instruction Record'!C75)</f>
        <v>EUR</v>
      </c>
      <c r="H37" s="89" t="str">
        <f>IF(ISBLANK('Credit Instruction Record'!D75),"",'Credit Instruction Record'!D75)</f>
        <v/>
      </c>
      <c r="I37" s="88" t="str">
        <f>IF(ISBLANK('Credit Instruction Record'!E75),"",'Credit Instruction Record'!E75)</f>
        <v/>
      </c>
      <c r="J37" s="88" t="str">
        <f>IF(ISBLANK('Credit Instruction Record'!F75),"",'Credit Instruction Record'!F75)</f>
        <v/>
      </c>
      <c r="K37" s="88" t="str">
        <f>IF(ISBLANK('Credit Instruction Record'!G75),"",'Credit Instruction Record'!G75)</f>
        <v/>
      </c>
      <c r="L37" s="88" t="str">
        <f>IF(ISBLANK('Credit Instruction Record'!H75),"",'Credit Instruction Record'!H75)</f>
        <v/>
      </c>
      <c r="M37" s="88" t="str">
        <f>IF(ISBLANK('Credit Instruction Record'!I75),"",'Credit Instruction Record'!I75)</f>
        <v/>
      </c>
      <c r="N37" s="88" t="str">
        <f>IF(ISBLANK('Credit Instruction Record'!J75),"",'Credit Instruction Record'!J75)</f>
        <v/>
      </c>
      <c r="O37" s="88" t="str">
        <f>IF(ISBLANK('Credit Instruction Record'!K75),"",'Credit Instruction Record'!K75)</f>
        <v/>
      </c>
      <c r="P37" s="90" t="b">
        <f t="shared" si="1"/>
        <v>1</v>
      </c>
    </row>
    <row r="38" spans="3:16" x14ac:dyDescent="0.25">
      <c r="C38" s="37"/>
      <c r="D38" s="87">
        <v>37</v>
      </c>
      <c r="E38" s="88" t="str">
        <f>IF(ISBLANK('Credit Instruction Record'!A77),"",'Credit Instruction Record'!A77)</f>
        <v/>
      </c>
      <c r="F38" s="88" t="str">
        <f>IF(ISBLANK('Credit Instruction Record'!B77),"",'Credit Instruction Record'!B77)</f>
        <v/>
      </c>
      <c r="G38" s="88" t="str">
        <f>IF(ISBLANK('Credit Instruction Record'!C77),"",'Credit Instruction Record'!C77)</f>
        <v>EUR</v>
      </c>
      <c r="H38" s="89" t="str">
        <f>IF(ISBLANK('Credit Instruction Record'!D77),"",'Credit Instruction Record'!D77)</f>
        <v/>
      </c>
      <c r="I38" s="88" t="str">
        <f>IF(ISBLANK('Credit Instruction Record'!E77),"",'Credit Instruction Record'!E77)</f>
        <v/>
      </c>
      <c r="J38" s="88" t="str">
        <f>IF(ISBLANK('Credit Instruction Record'!F77),"",'Credit Instruction Record'!F77)</f>
        <v/>
      </c>
      <c r="K38" s="88" t="str">
        <f>IF(ISBLANK('Credit Instruction Record'!G77),"",'Credit Instruction Record'!G77)</f>
        <v/>
      </c>
      <c r="L38" s="88" t="str">
        <f>IF(ISBLANK('Credit Instruction Record'!H77),"",'Credit Instruction Record'!H77)</f>
        <v/>
      </c>
      <c r="M38" s="88" t="str">
        <f>IF(ISBLANK('Credit Instruction Record'!I77),"",'Credit Instruction Record'!I77)</f>
        <v/>
      </c>
      <c r="N38" s="88" t="str">
        <f>IF(ISBLANK('Credit Instruction Record'!J77),"",'Credit Instruction Record'!J77)</f>
        <v/>
      </c>
      <c r="O38" s="88" t="str">
        <f>IF(ISBLANK('Credit Instruction Record'!K77),"",'Credit Instruction Record'!K77)</f>
        <v/>
      </c>
      <c r="P38" s="90" t="b">
        <f t="shared" si="1"/>
        <v>1</v>
      </c>
    </row>
    <row r="39" spans="3:16" x14ac:dyDescent="0.25">
      <c r="C39" s="37"/>
      <c r="D39" s="87">
        <v>38</v>
      </c>
      <c r="E39" s="88" t="str">
        <f>IF(ISBLANK('Credit Instruction Record'!A79),"",'Credit Instruction Record'!A79)</f>
        <v/>
      </c>
      <c r="F39" s="88" t="str">
        <f>IF(ISBLANK('Credit Instruction Record'!B79),"",'Credit Instruction Record'!B79)</f>
        <v/>
      </c>
      <c r="G39" s="88" t="str">
        <f>IF(ISBLANK('Credit Instruction Record'!C79),"",'Credit Instruction Record'!C79)</f>
        <v>EUR</v>
      </c>
      <c r="H39" s="89" t="str">
        <f>IF(ISBLANK('Credit Instruction Record'!D79),"",'Credit Instruction Record'!D79)</f>
        <v/>
      </c>
      <c r="I39" s="88" t="str">
        <f>IF(ISBLANK('Credit Instruction Record'!E79),"",'Credit Instruction Record'!E79)</f>
        <v/>
      </c>
      <c r="J39" s="88" t="str">
        <f>IF(ISBLANK('Credit Instruction Record'!F79),"",'Credit Instruction Record'!F79)</f>
        <v/>
      </c>
      <c r="K39" s="88" t="str">
        <f>IF(ISBLANK('Credit Instruction Record'!G79),"",'Credit Instruction Record'!G79)</f>
        <v/>
      </c>
      <c r="L39" s="88" t="str">
        <f>IF(ISBLANK('Credit Instruction Record'!H79),"",'Credit Instruction Record'!H79)</f>
        <v/>
      </c>
      <c r="M39" s="88" t="str">
        <f>IF(ISBLANK('Credit Instruction Record'!I79),"",'Credit Instruction Record'!I79)</f>
        <v/>
      </c>
      <c r="N39" s="88" t="str">
        <f>IF(ISBLANK('Credit Instruction Record'!J79),"",'Credit Instruction Record'!J79)</f>
        <v/>
      </c>
      <c r="O39" s="88" t="str">
        <f>IF(ISBLANK('Credit Instruction Record'!K79),"",'Credit Instruction Record'!K79)</f>
        <v/>
      </c>
      <c r="P39" s="90" t="b">
        <f t="shared" si="1"/>
        <v>1</v>
      </c>
    </row>
    <row r="40" spans="3:16" x14ac:dyDescent="0.25">
      <c r="C40" s="37"/>
      <c r="D40" s="87">
        <v>39</v>
      </c>
      <c r="E40" s="88" t="str">
        <f>IF(ISBLANK('Credit Instruction Record'!A81),"",'Credit Instruction Record'!A81)</f>
        <v/>
      </c>
      <c r="F40" s="88" t="str">
        <f>IF(ISBLANK('Credit Instruction Record'!B81),"",'Credit Instruction Record'!B81)</f>
        <v/>
      </c>
      <c r="G40" s="88" t="str">
        <f>IF(ISBLANK('Credit Instruction Record'!C81),"",'Credit Instruction Record'!C81)</f>
        <v>EUR</v>
      </c>
      <c r="H40" s="89" t="str">
        <f>IF(ISBLANK('Credit Instruction Record'!D81),"",'Credit Instruction Record'!D81)</f>
        <v/>
      </c>
      <c r="I40" s="88" t="str">
        <f>IF(ISBLANK('Credit Instruction Record'!E81),"",'Credit Instruction Record'!E81)</f>
        <v/>
      </c>
      <c r="J40" s="88" t="str">
        <f>IF(ISBLANK('Credit Instruction Record'!F81),"",'Credit Instruction Record'!F81)</f>
        <v/>
      </c>
      <c r="K40" s="88" t="str">
        <f>IF(ISBLANK('Credit Instruction Record'!G81),"",'Credit Instruction Record'!G81)</f>
        <v/>
      </c>
      <c r="L40" s="88" t="str">
        <f>IF(ISBLANK('Credit Instruction Record'!H81),"",'Credit Instruction Record'!H81)</f>
        <v/>
      </c>
      <c r="M40" s="88" t="str">
        <f>IF(ISBLANK('Credit Instruction Record'!I81),"",'Credit Instruction Record'!I81)</f>
        <v/>
      </c>
      <c r="N40" s="88" t="str">
        <f>IF(ISBLANK('Credit Instruction Record'!J81),"",'Credit Instruction Record'!J81)</f>
        <v/>
      </c>
      <c r="O40" s="88" t="str">
        <f>IF(ISBLANK('Credit Instruction Record'!K81),"",'Credit Instruction Record'!K81)</f>
        <v/>
      </c>
      <c r="P40" s="90" t="b">
        <f t="shared" si="1"/>
        <v>1</v>
      </c>
    </row>
    <row r="41" spans="3:16" x14ac:dyDescent="0.25">
      <c r="C41" s="37"/>
      <c r="D41" s="87">
        <v>40</v>
      </c>
      <c r="E41" s="88" t="str">
        <f>IF(ISBLANK('Credit Instruction Record'!A83),"",'Credit Instruction Record'!A83)</f>
        <v/>
      </c>
      <c r="F41" s="88" t="str">
        <f>IF(ISBLANK('Credit Instruction Record'!B83),"",'Credit Instruction Record'!B83)</f>
        <v/>
      </c>
      <c r="G41" s="88" t="str">
        <f>IF(ISBLANK('Credit Instruction Record'!C83),"",'Credit Instruction Record'!C83)</f>
        <v>EUR</v>
      </c>
      <c r="H41" s="89" t="str">
        <f>IF(ISBLANK('Credit Instruction Record'!D83),"",'Credit Instruction Record'!D83)</f>
        <v/>
      </c>
      <c r="I41" s="88" t="str">
        <f>IF(ISBLANK('Credit Instruction Record'!E83),"",'Credit Instruction Record'!E83)</f>
        <v/>
      </c>
      <c r="J41" s="88" t="str">
        <f>IF(ISBLANK('Credit Instruction Record'!F83),"",'Credit Instruction Record'!F83)</f>
        <v/>
      </c>
      <c r="K41" s="88" t="str">
        <f>IF(ISBLANK('Credit Instruction Record'!G83),"",'Credit Instruction Record'!G83)</f>
        <v/>
      </c>
      <c r="L41" s="88" t="str">
        <f>IF(ISBLANK('Credit Instruction Record'!H83),"",'Credit Instruction Record'!H83)</f>
        <v/>
      </c>
      <c r="M41" s="88" t="str">
        <f>IF(ISBLANK('Credit Instruction Record'!I83),"",'Credit Instruction Record'!I83)</f>
        <v/>
      </c>
      <c r="N41" s="88" t="str">
        <f>IF(ISBLANK('Credit Instruction Record'!J83),"",'Credit Instruction Record'!J83)</f>
        <v/>
      </c>
      <c r="O41" s="88" t="str">
        <f>IF(ISBLANK('Credit Instruction Record'!K83),"",'Credit Instruction Record'!K83)</f>
        <v/>
      </c>
      <c r="P41" s="90" t="b">
        <f t="shared" si="1"/>
        <v>1</v>
      </c>
    </row>
    <row r="42" spans="3:16" x14ac:dyDescent="0.25">
      <c r="C42" s="37"/>
      <c r="D42" s="87">
        <v>41</v>
      </c>
      <c r="E42" s="88" t="str">
        <f>IF(ISBLANK('Credit Instruction Record'!A85),"",'Credit Instruction Record'!A85)</f>
        <v/>
      </c>
      <c r="F42" s="88" t="str">
        <f>IF(ISBLANK('Credit Instruction Record'!B85),"",'Credit Instruction Record'!B85)</f>
        <v/>
      </c>
      <c r="G42" s="88" t="str">
        <f>IF(ISBLANK('Credit Instruction Record'!C85),"",'Credit Instruction Record'!C85)</f>
        <v>EUR</v>
      </c>
      <c r="H42" s="89" t="str">
        <f>IF(ISBLANK('Credit Instruction Record'!D85),"",'Credit Instruction Record'!D85)</f>
        <v/>
      </c>
      <c r="I42" s="88" t="str">
        <f>IF(ISBLANK('Credit Instruction Record'!E85),"",'Credit Instruction Record'!E85)</f>
        <v/>
      </c>
      <c r="J42" s="88" t="str">
        <f>IF(ISBLANK('Credit Instruction Record'!F85),"",'Credit Instruction Record'!F85)</f>
        <v/>
      </c>
      <c r="K42" s="88" t="str">
        <f>IF(ISBLANK('Credit Instruction Record'!G85),"",'Credit Instruction Record'!G85)</f>
        <v/>
      </c>
      <c r="L42" s="88" t="str">
        <f>IF(ISBLANK('Credit Instruction Record'!H85),"",'Credit Instruction Record'!H85)</f>
        <v/>
      </c>
      <c r="M42" s="88" t="str">
        <f>IF(ISBLANK('Credit Instruction Record'!I85),"",'Credit Instruction Record'!I85)</f>
        <v/>
      </c>
      <c r="N42" s="88" t="str">
        <f>IF(ISBLANK('Credit Instruction Record'!J85),"",'Credit Instruction Record'!J85)</f>
        <v/>
      </c>
      <c r="O42" s="88" t="str">
        <f>IF(ISBLANK('Credit Instruction Record'!K85),"",'Credit Instruction Record'!K85)</f>
        <v/>
      </c>
      <c r="P42" s="90" t="b">
        <f t="shared" si="1"/>
        <v>1</v>
      </c>
    </row>
    <row r="43" spans="3:16" x14ac:dyDescent="0.25">
      <c r="C43" s="37"/>
      <c r="D43" s="87">
        <v>42</v>
      </c>
      <c r="E43" s="88" t="str">
        <f>IF(ISBLANK('Credit Instruction Record'!A87),"",'Credit Instruction Record'!A87)</f>
        <v/>
      </c>
      <c r="F43" s="88" t="str">
        <f>IF(ISBLANK('Credit Instruction Record'!B87),"",'Credit Instruction Record'!B87)</f>
        <v/>
      </c>
      <c r="G43" s="88" t="str">
        <f>IF(ISBLANK('Credit Instruction Record'!C87),"",'Credit Instruction Record'!C87)</f>
        <v>EUR</v>
      </c>
      <c r="H43" s="89" t="str">
        <f>IF(ISBLANK('Credit Instruction Record'!D87),"",'Credit Instruction Record'!D87)</f>
        <v/>
      </c>
      <c r="I43" s="88" t="str">
        <f>IF(ISBLANK('Credit Instruction Record'!E87),"",'Credit Instruction Record'!E87)</f>
        <v/>
      </c>
      <c r="J43" s="88" t="str">
        <f>IF(ISBLANK('Credit Instruction Record'!F87),"",'Credit Instruction Record'!F87)</f>
        <v/>
      </c>
      <c r="K43" s="88" t="str">
        <f>IF(ISBLANK('Credit Instruction Record'!G87),"",'Credit Instruction Record'!G87)</f>
        <v/>
      </c>
      <c r="L43" s="88" t="str">
        <f>IF(ISBLANK('Credit Instruction Record'!H87),"",'Credit Instruction Record'!H87)</f>
        <v/>
      </c>
      <c r="M43" s="88" t="str">
        <f>IF(ISBLANK('Credit Instruction Record'!I87),"",'Credit Instruction Record'!I87)</f>
        <v/>
      </c>
      <c r="N43" s="88" t="str">
        <f>IF(ISBLANK('Credit Instruction Record'!J87),"",'Credit Instruction Record'!J87)</f>
        <v/>
      </c>
      <c r="O43" s="88" t="str">
        <f>IF(ISBLANK('Credit Instruction Record'!K87),"",'Credit Instruction Record'!K87)</f>
        <v/>
      </c>
      <c r="P43" s="90" t="b">
        <f t="shared" ref="P43" si="2">M43=""</f>
        <v>1</v>
      </c>
    </row>
    <row r="44" spans="3:16" x14ac:dyDescent="0.25">
      <c r="C44" s="37"/>
      <c r="D44" s="87">
        <v>43</v>
      </c>
      <c r="E44" s="88" t="str">
        <f>IF(ISBLANK('Credit Instruction Record'!A89),"",'Credit Instruction Record'!A89)</f>
        <v/>
      </c>
      <c r="F44" s="88" t="str">
        <f>IF(ISBLANK('Credit Instruction Record'!B89),"",'Credit Instruction Record'!B89)</f>
        <v/>
      </c>
      <c r="G44" s="88" t="str">
        <f>IF(ISBLANK('Credit Instruction Record'!C89),"",'Credit Instruction Record'!C89)</f>
        <v>EUR</v>
      </c>
      <c r="H44" s="89" t="str">
        <f>IF(ISBLANK('Credit Instruction Record'!D89),"",'Credit Instruction Record'!D89)</f>
        <v/>
      </c>
      <c r="I44" s="88" t="str">
        <f>IF(ISBLANK('Credit Instruction Record'!E89),"",'Credit Instruction Record'!E89)</f>
        <v/>
      </c>
      <c r="J44" s="88" t="str">
        <f>IF(ISBLANK('Credit Instruction Record'!F89),"",'Credit Instruction Record'!F89)</f>
        <v/>
      </c>
      <c r="K44" s="88" t="str">
        <f>IF(ISBLANK('Credit Instruction Record'!G89),"",'Credit Instruction Record'!G89)</f>
        <v/>
      </c>
      <c r="L44" s="88" t="str">
        <f>IF(ISBLANK('Credit Instruction Record'!H89),"",'Credit Instruction Record'!H89)</f>
        <v/>
      </c>
      <c r="M44" s="88" t="str">
        <f>IF(ISBLANK('Credit Instruction Record'!I89),"",'Credit Instruction Record'!I89)</f>
        <v/>
      </c>
      <c r="N44" s="88" t="str">
        <f>IF(ISBLANK('Credit Instruction Record'!J89),"",'Credit Instruction Record'!J89)</f>
        <v/>
      </c>
      <c r="O44" s="88" t="str">
        <f>IF(ISBLANK('Credit Instruction Record'!K89),"",'Credit Instruction Record'!K89)</f>
        <v/>
      </c>
      <c r="P44" s="90" t="b">
        <f t="shared" ref="P44:P51" si="3">M44=""</f>
        <v>1</v>
      </c>
    </row>
    <row r="45" spans="3:16" x14ac:dyDescent="0.25">
      <c r="C45" s="37"/>
      <c r="D45" s="87">
        <v>44</v>
      </c>
      <c r="E45" s="88" t="str">
        <f>IF(ISBLANK('Credit Instruction Record'!A91),"",'Credit Instruction Record'!A91)</f>
        <v/>
      </c>
      <c r="F45" s="88" t="str">
        <f>IF(ISBLANK('Credit Instruction Record'!B91),"",'Credit Instruction Record'!B91)</f>
        <v/>
      </c>
      <c r="G45" s="88" t="str">
        <f>IF(ISBLANK('Credit Instruction Record'!C91),"",'Credit Instruction Record'!C91)</f>
        <v>EUR</v>
      </c>
      <c r="H45" s="89" t="str">
        <f>IF(ISBLANK('Credit Instruction Record'!D91),"",'Credit Instruction Record'!D91)</f>
        <v/>
      </c>
      <c r="I45" s="88" t="str">
        <f>IF(ISBLANK('Credit Instruction Record'!E91),"",'Credit Instruction Record'!E91)</f>
        <v/>
      </c>
      <c r="J45" s="88" t="str">
        <f>IF(ISBLANK('Credit Instruction Record'!F91),"",'Credit Instruction Record'!F91)</f>
        <v/>
      </c>
      <c r="K45" s="88" t="str">
        <f>IF(ISBLANK('Credit Instruction Record'!G91),"",'Credit Instruction Record'!G91)</f>
        <v/>
      </c>
      <c r="L45" s="88" t="str">
        <f>IF(ISBLANK('Credit Instruction Record'!H91),"",'Credit Instruction Record'!H91)</f>
        <v/>
      </c>
      <c r="M45" s="88" t="str">
        <f>IF(ISBLANK('Credit Instruction Record'!I91),"",'Credit Instruction Record'!I91)</f>
        <v/>
      </c>
      <c r="N45" s="88" t="str">
        <f>IF(ISBLANK('Credit Instruction Record'!J91),"",'Credit Instruction Record'!J91)</f>
        <v/>
      </c>
      <c r="O45" s="88" t="str">
        <f>IF(ISBLANK('Credit Instruction Record'!K91),"",'Credit Instruction Record'!K91)</f>
        <v/>
      </c>
      <c r="P45" s="90" t="b">
        <f t="shared" si="3"/>
        <v>1</v>
      </c>
    </row>
    <row r="46" spans="3:16" x14ac:dyDescent="0.25">
      <c r="C46" s="37"/>
      <c r="D46" s="87">
        <v>45</v>
      </c>
      <c r="E46" s="88" t="str">
        <f>IF(ISBLANK('Credit Instruction Record'!A93),"",'Credit Instruction Record'!A93)</f>
        <v/>
      </c>
      <c r="F46" s="88" t="str">
        <f>IF(ISBLANK('Credit Instruction Record'!B93),"",'Credit Instruction Record'!B93)</f>
        <v/>
      </c>
      <c r="G46" s="88" t="str">
        <f>IF(ISBLANK('Credit Instruction Record'!C93),"",'Credit Instruction Record'!C93)</f>
        <v>EUR</v>
      </c>
      <c r="H46" s="89" t="str">
        <f>IF(ISBLANK('Credit Instruction Record'!D93),"",'Credit Instruction Record'!D93)</f>
        <v/>
      </c>
      <c r="I46" s="88" t="str">
        <f>IF(ISBLANK('Credit Instruction Record'!E93),"",'Credit Instruction Record'!E93)</f>
        <v/>
      </c>
      <c r="J46" s="88" t="str">
        <f>IF(ISBLANK('Credit Instruction Record'!F93),"",'Credit Instruction Record'!F93)</f>
        <v/>
      </c>
      <c r="K46" s="88" t="str">
        <f>IF(ISBLANK('Credit Instruction Record'!G93),"",'Credit Instruction Record'!G93)</f>
        <v/>
      </c>
      <c r="L46" s="88" t="str">
        <f>IF(ISBLANK('Credit Instruction Record'!H93),"",'Credit Instruction Record'!H93)</f>
        <v/>
      </c>
      <c r="M46" s="88" t="str">
        <f>IF(ISBLANK('Credit Instruction Record'!I93),"",'Credit Instruction Record'!I93)</f>
        <v/>
      </c>
      <c r="N46" s="88" t="str">
        <f>IF(ISBLANK('Credit Instruction Record'!J93),"",'Credit Instruction Record'!J93)</f>
        <v/>
      </c>
      <c r="O46" s="88" t="str">
        <f>IF(ISBLANK('Credit Instruction Record'!K93),"",'Credit Instruction Record'!K93)</f>
        <v/>
      </c>
      <c r="P46" s="90" t="b">
        <f t="shared" si="3"/>
        <v>1</v>
      </c>
    </row>
    <row r="47" spans="3:16" x14ac:dyDescent="0.25">
      <c r="C47" s="37"/>
      <c r="D47" s="87">
        <v>46</v>
      </c>
      <c r="E47" s="88" t="str">
        <f>IF(ISBLANK('Credit Instruction Record'!A95),"",'Credit Instruction Record'!A95)</f>
        <v/>
      </c>
      <c r="F47" s="88" t="str">
        <f>IF(ISBLANK('Credit Instruction Record'!B95),"",'Credit Instruction Record'!B95)</f>
        <v/>
      </c>
      <c r="G47" s="88" t="str">
        <f>IF(ISBLANK('Credit Instruction Record'!C95),"",'Credit Instruction Record'!C95)</f>
        <v>EUR</v>
      </c>
      <c r="H47" s="89" t="str">
        <f>IF(ISBLANK('Credit Instruction Record'!D95),"",'Credit Instruction Record'!D95)</f>
        <v/>
      </c>
      <c r="I47" s="88" t="str">
        <f>IF(ISBLANK('Credit Instruction Record'!E95),"",'Credit Instruction Record'!E95)</f>
        <v/>
      </c>
      <c r="J47" s="88" t="str">
        <f>IF(ISBLANK('Credit Instruction Record'!F95),"",'Credit Instruction Record'!F95)</f>
        <v/>
      </c>
      <c r="K47" s="88" t="str">
        <f>IF(ISBLANK('Credit Instruction Record'!G95),"",'Credit Instruction Record'!G95)</f>
        <v/>
      </c>
      <c r="L47" s="88" t="str">
        <f>IF(ISBLANK('Credit Instruction Record'!H95),"",'Credit Instruction Record'!H95)</f>
        <v/>
      </c>
      <c r="M47" s="88" t="str">
        <f>IF(ISBLANK('Credit Instruction Record'!I95),"",'Credit Instruction Record'!I95)</f>
        <v/>
      </c>
      <c r="N47" s="88" t="str">
        <f>IF(ISBLANK('Credit Instruction Record'!J95),"",'Credit Instruction Record'!J95)</f>
        <v/>
      </c>
      <c r="O47" s="88" t="str">
        <f>IF(ISBLANK('Credit Instruction Record'!K95),"",'Credit Instruction Record'!K95)</f>
        <v/>
      </c>
      <c r="P47" s="90" t="b">
        <f t="shared" si="3"/>
        <v>1</v>
      </c>
    </row>
    <row r="48" spans="3:16" x14ac:dyDescent="0.25">
      <c r="C48" s="37"/>
      <c r="D48" s="87">
        <v>47</v>
      </c>
      <c r="E48" s="88" t="str">
        <f>IF(ISBLANK('Credit Instruction Record'!A97),"",'Credit Instruction Record'!A97)</f>
        <v/>
      </c>
      <c r="F48" s="88" t="str">
        <f>IF(ISBLANK('Credit Instruction Record'!B97),"",'Credit Instruction Record'!B97)</f>
        <v/>
      </c>
      <c r="G48" s="88" t="str">
        <f>IF(ISBLANK('Credit Instruction Record'!C97),"",'Credit Instruction Record'!C97)</f>
        <v>EUR</v>
      </c>
      <c r="H48" s="89" t="str">
        <f>IF(ISBLANK('Credit Instruction Record'!D97),"",'Credit Instruction Record'!D97)</f>
        <v/>
      </c>
      <c r="I48" s="88" t="str">
        <f>IF(ISBLANK('Credit Instruction Record'!E97),"",'Credit Instruction Record'!E97)</f>
        <v/>
      </c>
      <c r="J48" s="88" t="str">
        <f>IF(ISBLANK('Credit Instruction Record'!F97),"",'Credit Instruction Record'!F97)</f>
        <v/>
      </c>
      <c r="K48" s="88" t="str">
        <f>IF(ISBLANK('Credit Instruction Record'!G97),"",'Credit Instruction Record'!G97)</f>
        <v/>
      </c>
      <c r="L48" s="88" t="str">
        <f>IF(ISBLANK('Credit Instruction Record'!H97),"",'Credit Instruction Record'!H97)</f>
        <v/>
      </c>
      <c r="M48" s="88" t="str">
        <f>IF(ISBLANK('Credit Instruction Record'!I97),"",'Credit Instruction Record'!I97)</f>
        <v/>
      </c>
      <c r="N48" s="88" t="str">
        <f>IF(ISBLANK('Credit Instruction Record'!J97),"",'Credit Instruction Record'!J97)</f>
        <v/>
      </c>
      <c r="O48" s="88" t="str">
        <f>IF(ISBLANK('Credit Instruction Record'!K97),"",'Credit Instruction Record'!K97)</f>
        <v/>
      </c>
      <c r="P48" s="90" t="b">
        <f t="shared" si="3"/>
        <v>1</v>
      </c>
    </row>
    <row r="49" spans="1:16" x14ac:dyDescent="0.25">
      <c r="C49" s="37"/>
      <c r="D49" s="87">
        <v>48</v>
      </c>
      <c r="E49" s="88" t="str">
        <f>IF(ISBLANK('Credit Instruction Record'!A99),"",'Credit Instruction Record'!A99)</f>
        <v/>
      </c>
      <c r="F49" s="88" t="str">
        <f>IF(ISBLANK('Credit Instruction Record'!B99),"",'Credit Instruction Record'!B99)</f>
        <v/>
      </c>
      <c r="G49" s="88" t="str">
        <f>IF(ISBLANK('Credit Instruction Record'!C99),"",'Credit Instruction Record'!C99)</f>
        <v>EUR</v>
      </c>
      <c r="H49" s="89" t="str">
        <f>IF(ISBLANK('Credit Instruction Record'!D99),"",'Credit Instruction Record'!D99)</f>
        <v/>
      </c>
      <c r="I49" s="88" t="str">
        <f>IF(ISBLANK('Credit Instruction Record'!E99),"",'Credit Instruction Record'!E99)</f>
        <v/>
      </c>
      <c r="J49" s="88" t="str">
        <f>IF(ISBLANK('Credit Instruction Record'!F99),"",'Credit Instruction Record'!F99)</f>
        <v/>
      </c>
      <c r="K49" s="88" t="str">
        <f>IF(ISBLANK('Credit Instruction Record'!G99),"",'Credit Instruction Record'!G99)</f>
        <v/>
      </c>
      <c r="L49" s="88" t="str">
        <f>IF(ISBLANK('Credit Instruction Record'!H99),"",'Credit Instruction Record'!H99)</f>
        <v/>
      </c>
      <c r="M49" s="88" t="str">
        <f>IF(ISBLANK('Credit Instruction Record'!I99),"",'Credit Instruction Record'!I99)</f>
        <v/>
      </c>
      <c r="N49" s="88" t="str">
        <f>IF(ISBLANK('Credit Instruction Record'!J99),"",'Credit Instruction Record'!J99)</f>
        <v/>
      </c>
      <c r="O49" s="88" t="str">
        <f>IF(ISBLANK('Credit Instruction Record'!K99),"",'Credit Instruction Record'!K99)</f>
        <v/>
      </c>
      <c r="P49" s="90" t="b">
        <f t="shared" si="3"/>
        <v>1</v>
      </c>
    </row>
    <row r="50" spans="1:16" x14ac:dyDescent="0.25">
      <c r="C50" s="37"/>
      <c r="D50" s="87">
        <v>49</v>
      </c>
      <c r="E50" s="88" t="str">
        <f>IF(ISBLANK('Credit Instruction Record'!A101),"",'Credit Instruction Record'!A101)</f>
        <v/>
      </c>
      <c r="F50" s="88" t="str">
        <f>IF(ISBLANK('Credit Instruction Record'!B101),"",'Credit Instruction Record'!B101)</f>
        <v/>
      </c>
      <c r="G50" s="88" t="str">
        <f>IF(ISBLANK('Credit Instruction Record'!C101),"",'Credit Instruction Record'!C101)</f>
        <v>EUR</v>
      </c>
      <c r="H50" s="89" t="str">
        <f>IF(ISBLANK('Credit Instruction Record'!D101),"",'Credit Instruction Record'!D101)</f>
        <v/>
      </c>
      <c r="I50" s="88" t="str">
        <f>IF(ISBLANK('Credit Instruction Record'!E101),"",'Credit Instruction Record'!E101)</f>
        <v/>
      </c>
      <c r="J50" s="88" t="str">
        <f>IF(ISBLANK('Credit Instruction Record'!F101),"",'Credit Instruction Record'!F101)</f>
        <v/>
      </c>
      <c r="K50" s="88" t="str">
        <f>IF(ISBLANK('Credit Instruction Record'!G101),"",'Credit Instruction Record'!G101)</f>
        <v/>
      </c>
      <c r="L50" s="88" t="str">
        <f>IF(ISBLANK('Credit Instruction Record'!H101),"",'Credit Instruction Record'!H101)</f>
        <v/>
      </c>
      <c r="M50" s="88" t="str">
        <f>IF(ISBLANK('Credit Instruction Record'!I101),"",'Credit Instruction Record'!I101)</f>
        <v/>
      </c>
      <c r="N50" s="88" t="str">
        <f>IF(ISBLANK('Credit Instruction Record'!J101),"",'Credit Instruction Record'!J101)</f>
        <v/>
      </c>
      <c r="O50" s="88" t="str">
        <f>IF(ISBLANK('Credit Instruction Record'!K101),"",'Credit Instruction Record'!K101)</f>
        <v/>
      </c>
      <c r="P50" s="90" t="b">
        <f t="shared" si="3"/>
        <v>1</v>
      </c>
    </row>
    <row r="51" spans="1:16" x14ac:dyDescent="0.25">
      <c r="A51" s="37"/>
      <c r="B51" s="37"/>
      <c r="C51" s="37"/>
      <c r="D51" s="87">
        <v>50</v>
      </c>
      <c r="E51" s="88" t="str">
        <f>IF(ISBLANK('Credit Instruction Record'!A103),"",'Credit Instruction Record'!A103)</f>
        <v/>
      </c>
      <c r="F51" s="88" t="str">
        <f>IF(ISBLANK('Credit Instruction Record'!B103),"",'Credit Instruction Record'!B103)</f>
        <v/>
      </c>
      <c r="G51" s="88" t="str">
        <f>IF(ISBLANK('Credit Instruction Record'!C103),"",'Credit Instruction Record'!C103)</f>
        <v>EUR</v>
      </c>
      <c r="H51" s="89" t="str">
        <f>IF(ISBLANK('Credit Instruction Record'!D103),"",'Credit Instruction Record'!D103)</f>
        <v/>
      </c>
      <c r="I51" s="88" t="str">
        <f>IF(ISBLANK('Credit Instruction Record'!E103),"",'Credit Instruction Record'!E103)</f>
        <v/>
      </c>
      <c r="J51" s="88" t="str">
        <f>IF(ISBLANK('Credit Instruction Record'!F103),"",'Credit Instruction Record'!F103)</f>
        <v/>
      </c>
      <c r="K51" s="88" t="str">
        <f>IF(ISBLANK('Credit Instruction Record'!G103),"",'Credit Instruction Record'!G103)</f>
        <v/>
      </c>
      <c r="L51" s="88" t="str">
        <f>IF(ISBLANK('Credit Instruction Record'!H103),"",'Credit Instruction Record'!H103)</f>
        <v/>
      </c>
      <c r="M51" s="88" t="str">
        <f>IF(ISBLANK('Credit Instruction Record'!I103),"",'Credit Instruction Record'!I103)</f>
        <v/>
      </c>
      <c r="N51" s="88" t="str">
        <f>IF(ISBLANK('Credit Instruction Record'!J103),"",'Credit Instruction Record'!J103)</f>
        <v/>
      </c>
      <c r="O51" s="88" t="str">
        <f>IF(ISBLANK('Credit Instruction Record'!K103),"",'Credit Instruction Record'!K103)</f>
        <v/>
      </c>
      <c r="P51" s="90" t="b">
        <f t="shared" si="3"/>
        <v>1</v>
      </c>
    </row>
    <row r="52" spans="1:16" ht="15.75" thickBot="1" x14ac:dyDescent="0.3">
      <c r="A52" s="37"/>
      <c r="B52" s="37"/>
      <c r="C52" s="37"/>
      <c r="D52" s="91">
        <v>51</v>
      </c>
      <c r="E52" s="92" t="str">
        <f>IF(ISBLANK('Credit Instruction Record'!A105),"",'Credit Instruction Record'!A105)</f>
        <v/>
      </c>
      <c r="F52" s="92" t="str">
        <f>IF(ISBLANK('Credit Instruction Record'!B105),"",'Credit Instruction Record'!B105)</f>
        <v/>
      </c>
      <c r="G52" s="92" t="str">
        <f>IF(ISBLANK('Credit Instruction Record'!C105),"",'Credit Instruction Record'!C105)</f>
        <v>EUR</v>
      </c>
      <c r="H52" s="93" t="str">
        <f>IF(ISBLANK('Credit Instruction Record'!D105),"",'Credit Instruction Record'!D105)</f>
        <v/>
      </c>
      <c r="I52" s="92" t="str">
        <f>IF(ISBLANK('Credit Instruction Record'!E105),"",'Credit Instruction Record'!E105)</f>
        <v/>
      </c>
      <c r="J52" s="92" t="str">
        <f>IF(ISBLANK('Credit Instruction Record'!F105),"",'Credit Instruction Record'!F105)</f>
        <v/>
      </c>
      <c r="K52" s="92" t="str">
        <f>IF(ISBLANK('Credit Instruction Record'!G105),"",'Credit Instruction Record'!G105)</f>
        <v/>
      </c>
      <c r="L52" s="92" t="str">
        <f>IF(ISBLANK('Credit Instruction Record'!H105),"",'Credit Instruction Record'!H105)</f>
        <v/>
      </c>
      <c r="M52" s="92" t="str">
        <f>IF(ISBLANK('Credit Instruction Record'!I105),"",'Credit Instruction Record'!I105)</f>
        <v/>
      </c>
      <c r="N52" s="92" t="str">
        <f>IF(ISBLANK('Credit Instruction Record'!J105),"",'Credit Instruction Record'!J105)</f>
        <v/>
      </c>
      <c r="O52" s="92" t="str">
        <f>IF(ISBLANK('Credit Instruction Record'!K105),"",'Credit Instruction Record'!K105)</f>
        <v/>
      </c>
      <c r="P52" s="94" t="b">
        <f t="shared" ref="P52" si="4">M52=""</f>
        <v>1</v>
      </c>
    </row>
    <row r="53" spans="1:16" x14ac:dyDescent="0.25">
      <c r="A53" s="37"/>
      <c r="B53" s="37"/>
      <c r="C53" s="37"/>
    </row>
    <row r="54" spans="1:16" x14ac:dyDescent="0.25">
      <c r="A54" s="37"/>
      <c r="B54" s="37"/>
      <c r="C54" s="37"/>
    </row>
    <row r="55" spans="1:16" x14ac:dyDescent="0.25">
      <c r="A55" s="37"/>
      <c r="B55" s="37"/>
      <c r="C55" s="37"/>
    </row>
    <row r="56" spans="1:16" x14ac:dyDescent="0.25">
      <c r="A56" s="37"/>
      <c r="B56" s="37"/>
      <c r="C56" s="37"/>
    </row>
    <row r="57" spans="1:16" x14ac:dyDescent="0.25">
      <c r="A57" s="37"/>
      <c r="B57" s="37"/>
      <c r="C57" s="37"/>
    </row>
    <row r="58" spans="1:16" x14ac:dyDescent="0.25">
      <c r="A58" s="37"/>
      <c r="B58" s="37"/>
      <c r="C58" s="37"/>
    </row>
    <row r="59" spans="1:16" x14ac:dyDescent="0.25">
      <c r="A59" s="37"/>
      <c r="B59" s="37"/>
      <c r="C59" s="37"/>
    </row>
    <row r="60" spans="1:16" x14ac:dyDescent="0.25">
      <c r="A60" s="37"/>
      <c r="B60" s="37"/>
      <c r="C60" s="37"/>
    </row>
    <row r="61" spans="1:16" x14ac:dyDescent="0.25">
      <c r="A61" s="37"/>
      <c r="B61" s="37"/>
      <c r="C61" s="37"/>
    </row>
    <row r="62" spans="1:16" x14ac:dyDescent="0.25">
      <c r="A62" s="37"/>
      <c r="B62" s="37"/>
      <c r="C62" s="37"/>
    </row>
    <row r="63" spans="1:16" x14ac:dyDescent="0.25">
      <c r="A63" s="37"/>
      <c r="B63" s="37"/>
      <c r="C63" s="37"/>
    </row>
    <row r="64" spans="1:16" x14ac:dyDescent="0.25">
      <c r="A64" s="37"/>
      <c r="B64" s="37"/>
      <c r="C64" s="37"/>
    </row>
    <row r="65" spans="1:3" x14ac:dyDescent="0.25">
      <c r="A65" s="37"/>
      <c r="B65" s="37"/>
      <c r="C65" s="37"/>
    </row>
    <row r="66" spans="1:3" x14ac:dyDescent="0.25">
      <c r="A66" s="37"/>
      <c r="B66" s="37"/>
      <c r="C66" s="37"/>
    </row>
    <row r="67" spans="1:3" x14ac:dyDescent="0.25">
      <c r="A67" s="37"/>
      <c r="B67" s="37"/>
      <c r="C67" s="37"/>
    </row>
    <row r="68" spans="1:3" x14ac:dyDescent="0.25">
      <c r="A68" s="37"/>
      <c r="B68" s="37"/>
      <c r="C68" s="37"/>
    </row>
    <row r="69" spans="1:3" x14ac:dyDescent="0.25">
      <c r="A69" s="37"/>
      <c r="B69" s="37"/>
      <c r="C69" s="37"/>
    </row>
    <row r="70" spans="1:3" x14ac:dyDescent="0.25">
      <c r="A70" s="37"/>
      <c r="B70" s="37"/>
      <c r="C70" s="37"/>
    </row>
    <row r="71" spans="1:3" x14ac:dyDescent="0.25">
      <c r="A71" s="37"/>
      <c r="B71" s="37"/>
      <c r="C71" s="37"/>
    </row>
    <row r="72" spans="1:3" x14ac:dyDescent="0.25">
      <c r="A72" s="37"/>
      <c r="B72" s="37"/>
      <c r="C72" s="37"/>
    </row>
    <row r="73" spans="1:3" x14ac:dyDescent="0.25">
      <c r="A73" s="37"/>
      <c r="B73" s="37"/>
      <c r="C73" s="37"/>
    </row>
    <row r="74" spans="1:3" x14ac:dyDescent="0.25">
      <c r="A74" s="37"/>
      <c r="B74" s="37"/>
      <c r="C74" s="37"/>
    </row>
    <row r="75" spans="1:3" x14ac:dyDescent="0.25">
      <c r="A75" s="37"/>
      <c r="B75" s="37"/>
      <c r="C75" s="37"/>
    </row>
    <row r="76" spans="1:3" x14ac:dyDescent="0.25">
      <c r="A76" s="37"/>
      <c r="B76" s="37"/>
      <c r="C76" s="37"/>
    </row>
    <row r="77" spans="1:3" x14ac:dyDescent="0.25">
      <c r="A77" s="37"/>
      <c r="B77" s="37"/>
      <c r="C77" s="37"/>
    </row>
    <row r="78" spans="1:3" x14ac:dyDescent="0.25">
      <c r="A78" s="37"/>
      <c r="B78" s="37"/>
      <c r="C78" s="37"/>
    </row>
    <row r="79" spans="1:3" x14ac:dyDescent="0.25">
      <c r="A79" s="37"/>
      <c r="B79" s="37"/>
      <c r="C79" s="37"/>
    </row>
    <row r="80" spans="1:3" x14ac:dyDescent="0.25">
      <c r="A80" s="37"/>
      <c r="B80" s="37"/>
      <c r="C80" s="37"/>
    </row>
    <row r="81" spans="1:3" x14ac:dyDescent="0.25">
      <c r="A81" s="37"/>
      <c r="B81" s="37"/>
      <c r="C81" s="37"/>
    </row>
    <row r="82" spans="1:3" x14ac:dyDescent="0.25">
      <c r="A82" s="37"/>
      <c r="B82" s="37"/>
      <c r="C82" s="37"/>
    </row>
    <row r="83" spans="1:3" x14ac:dyDescent="0.25">
      <c r="A83" s="37"/>
      <c r="B83" s="37"/>
      <c r="C83" s="37"/>
    </row>
    <row r="84" spans="1:3" x14ac:dyDescent="0.25">
      <c r="A84" s="37"/>
      <c r="B84" s="37"/>
      <c r="C84" s="37"/>
    </row>
    <row r="85" spans="1:3" x14ac:dyDescent="0.25">
      <c r="A85" s="37"/>
      <c r="B85" s="37"/>
      <c r="C85" s="37"/>
    </row>
    <row r="86" spans="1:3" x14ac:dyDescent="0.25">
      <c r="A86" s="37"/>
      <c r="B86" s="37"/>
      <c r="C86" s="37"/>
    </row>
    <row r="87" spans="1:3" x14ac:dyDescent="0.25">
      <c r="A87" s="37"/>
      <c r="B87" s="37"/>
      <c r="C87" s="37"/>
    </row>
    <row r="88" spans="1:3" x14ac:dyDescent="0.25">
      <c r="A88" s="37"/>
      <c r="B88" s="37"/>
      <c r="C88" s="37"/>
    </row>
    <row r="89" spans="1:3" x14ac:dyDescent="0.25">
      <c r="A89" s="37"/>
      <c r="B89" s="37"/>
      <c r="C89" s="37"/>
    </row>
    <row r="90" spans="1:3" x14ac:dyDescent="0.25">
      <c r="A90" s="37"/>
      <c r="B90" s="37"/>
      <c r="C90" s="37"/>
    </row>
    <row r="91" spans="1:3" x14ac:dyDescent="0.25">
      <c r="A91" s="37"/>
      <c r="B91" s="37"/>
      <c r="C91" s="37"/>
    </row>
    <row r="92" spans="1:3" x14ac:dyDescent="0.25">
      <c r="A92" s="37"/>
      <c r="B92" s="37"/>
      <c r="C92" s="37"/>
    </row>
    <row r="93" spans="1:3" x14ac:dyDescent="0.25">
      <c r="A93" s="37"/>
      <c r="B93" s="37"/>
      <c r="C93" s="37"/>
    </row>
    <row r="94" spans="1:3" x14ac:dyDescent="0.25">
      <c r="A94" s="37"/>
      <c r="B94" s="37"/>
      <c r="C94" s="37"/>
    </row>
    <row r="95" spans="1:3" x14ac:dyDescent="0.25">
      <c r="A95" s="37"/>
      <c r="B95" s="37"/>
      <c r="C95" s="37"/>
    </row>
    <row r="96" spans="1:3" x14ac:dyDescent="0.25">
      <c r="A96" s="37"/>
      <c r="B96" s="37"/>
      <c r="C96" s="37"/>
    </row>
    <row r="97" spans="1:3" x14ac:dyDescent="0.25">
      <c r="A97" s="37"/>
      <c r="B97" s="37"/>
      <c r="C97" s="37"/>
    </row>
    <row r="98" spans="1:3" x14ac:dyDescent="0.25">
      <c r="A98" s="37"/>
      <c r="B98" s="37"/>
      <c r="C98" s="37"/>
    </row>
    <row r="99" spans="1:3" x14ac:dyDescent="0.25">
      <c r="A99" s="37"/>
      <c r="B99" s="37"/>
      <c r="C99" s="37"/>
    </row>
    <row r="100" spans="1:3" x14ac:dyDescent="0.25">
      <c r="A100" s="37"/>
      <c r="B100" s="37"/>
      <c r="C100" s="37"/>
    </row>
    <row r="101" spans="1:3" x14ac:dyDescent="0.25">
      <c r="A101" s="37"/>
      <c r="B101" s="37"/>
      <c r="C101" s="37"/>
    </row>
    <row r="102" spans="1:3" x14ac:dyDescent="0.25">
      <c r="A102" s="37"/>
      <c r="B102" s="37"/>
      <c r="C102" s="37"/>
    </row>
    <row r="103" spans="1:3" x14ac:dyDescent="0.25">
      <c r="A103" s="37"/>
      <c r="B103" s="37"/>
      <c r="C103" s="37"/>
    </row>
    <row r="104" spans="1:3" x14ac:dyDescent="0.25">
      <c r="A104" s="37"/>
      <c r="B104" s="37"/>
      <c r="C104" s="37"/>
    </row>
    <row r="105" spans="1:3" x14ac:dyDescent="0.25">
      <c r="A105" s="37"/>
      <c r="B105" s="37"/>
      <c r="C105" s="37"/>
    </row>
    <row r="106" spans="1:3" x14ac:dyDescent="0.25">
      <c r="A106" s="37"/>
      <c r="B106" s="37"/>
      <c r="C106" s="37"/>
    </row>
    <row r="107" spans="1:3" x14ac:dyDescent="0.25">
      <c r="A107" s="37"/>
      <c r="B107" s="37"/>
      <c r="C107" s="37"/>
    </row>
    <row r="108" spans="1:3" x14ac:dyDescent="0.25">
      <c r="A108" s="37"/>
      <c r="B108" s="37"/>
      <c r="C108" s="37"/>
    </row>
    <row r="109" spans="1:3" x14ac:dyDescent="0.25">
      <c r="A109" s="37"/>
      <c r="B109" s="37"/>
      <c r="C109" s="37"/>
    </row>
    <row r="110" spans="1:3" x14ac:dyDescent="0.25">
      <c r="A110" s="37"/>
      <c r="B110" s="37"/>
      <c r="C110" s="37"/>
    </row>
    <row r="111" spans="1:3" x14ac:dyDescent="0.25">
      <c r="A111" s="37"/>
      <c r="B111" s="37"/>
      <c r="C111" s="37"/>
    </row>
    <row r="112" spans="1:3" x14ac:dyDescent="0.25">
      <c r="A112" s="37"/>
      <c r="B112" s="37"/>
      <c r="C112" s="37"/>
    </row>
    <row r="113" spans="1:3" x14ac:dyDescent="0.25">
      <c r="A113" s="37"/>
      <c r="B113" s="37"/>
      <c r="C113" s="37"/>
    </row>
    <row r="114" spans="1:3" x14ac:dyDescent="0.25">
      <c r="A114" s="37"/>
      <c r="B114" s="37"/>
      <c r="C114" s="37"/>
    </row>
    <row r="115" spans="1:3" x14ac:dyDescent="0.25">
      <c r="A115" s="37"/>
      <c r="B115" s="37"/>
      <c r="C115" s="37"/>
    </row>
    <row r="116" spans="1:3" x14ac:dyDescent="0.25">
      <c r="A116" s="37"/>
      <c r="B116" s="37"/>
      <c r="C116" s="37"/>
    </row>
    <row r="117" spans="1:3" x14ac:dyDescent="0.25">
      <c r="A117" s="37"/>
      <c r="B117" s="37"/>
      <c r="C117" s="37"/>
    </row>
    <row r="118" spans="1:3" x14ac:dyDescent="0.25">
      <c r="A118" s="37"/>
      <c r="B118" s="37"/>
      <c r="C118" s="37"/>
    </row>
    <row r="119" spans="1:3" x14ac:dyDescent="0.25">
      <c r="A119" s="37"/>
      <c r="B119" s="37"/>
      <c r="C119" s="37"/>
    </row>
    <row r="120" spans="1:3" x14ac:dyDescent="0.25">
      <c r="A120" s="37"/>
      <c r="B120" s="37"/>
      <c r="C120" s="37"/>
    </row>
    <row r="121" spans="1:3" x14ac:dyDescent="0.25">
      <c r="A121" s="37"/>
      <c r="B121" s="37"/>
      <c r="C121" s="37"/>
    </row>
    <row r="122" spans="1:3" x14ac:dyDescent="0.25">
      <c r="A122" s="37"/>
      <c r="B122" s="37"/>
      <c r="C122" s="37"/>
    </row>
    <row r="123" spans="1:3" x14ac:dyDescent="0.25">
      <c r="A123" s="37"/>
      <c r="B123" s="37"/>
      <c r="C123" s="37"/>
    </row>
    <row r="124" spans="1:3" x14ac:dyDescent="0.25">
      <c r="A124" s="37"/>
      <c r="B124" s="37"/>
      <c r="C124" s="37"/>
    </row>
    <row r="125" spans="1:3" x14ac:dyDescent="0.25">
      <c r="A125" s="37"/>
      <c r="B125" s="37"/>
      <c r="C125" s="37"/>
    </row>
    <row r="126" spans="1:3" x14ac:dyDescent="0.25">
      <c r="A126" s="37"/>
      <c r="B126" s="37"/>
      <c r="C126" s="37"/>
    </row>
    <row r="127" spans="1:3" x14ac:dyDescent="0.25">
      <c r="A127" s="37"/>
      <c r="B127" s="37"/>
      <c r="C127" s="37"/>
    </row>
    <row r="128" spans="1:3" x14ac:dyDescent="0.25">
      <c r="A128" s="37"/>
      <c r="B128" s="37"/>
      <c r="C128" s="37"/>
    </row>
    <row r="129" spans="1:3" x14ac:dyDescent="0.25">
      <c r="A129" s="37"/>
      <c r="B129" s="37"/>
      <c r="C129" s="37"/>
    </row>
    <row r="130" spans="1:3" x14ac:dyDescent="0.25">
      <c r="A130" s="37"/>
      <c r="B130" s="37"/>
      <c r="C130" s="37"/>
    </row>
    <row r="131" spans="1:3" x14ac:dyDescent="0.25">
      <c r="A131" s="37"/>
      <c r="B131" s="37"/>
      <c r="C131" s="37"/>
    </row>
    <row r="132" spans="1:3" x14ac:dyDescent="0.25">
      <c r="A132" s="37"/>
      <c r="B132" s="37"/>
      <c r="C132" s="37"/>
    </row>
    <row r="133" spans="1:3" x14ac:dyDescent="0.25">
      <c r="A133" s="37"/>
      <c r="B133" s="37"/>
      <c r="C133" s="37"/>
    </row>
    <row r="134" spans="1:3" x14ac:dyDescent="0.25">
      <c r="A134" s="37"/>
      <c r="B134" s="37"/>
      <c r="C134" s="37"/>
    </row>
    <row r="135" spans="1:3" x14ac:dyDescent="0.25">
      <c r="A135" s="37"/>
      <c r="B135" s="37"/>
      <c r="C135" s="37"/>
    </row>
    <row r="136" spans="1:3" x14ac:dyDescent="0.25">
      <c r="A136" s="37"/>
      <c r="B136" s="37"/>
      <c r="C136" s="37"/>
    </row>
    <row r="137" spans="1:3" x14ac:dyDescent="0.25">
      <c r="A137" s="37"/>
      <c r="B137" s="37"/>
      <c r="C137" s="37"/>
    </row>
    <row r="138" spans="1:3" x14ac:dyDescent="0.25">
      <c r="A138" s="37"/>
      <c r="B138" s="37"/>
      <c r="C138" s="37"/>
    </row>
    <row r="139" spans="1:3" x14ac:dyDescent="0.25">
      <c r="A139" s="37"/>
      <c r="B139" s="37"/>
      <c r="C139" s="37"/>
    </row>
    <row r="140" spans="1:3" x14ac:dyDescent="0.25">
      <c r="A140" s="37"/>
      <c r="B140" s="37"/>
      <c r="C140" s="37"/>
    </row>
    <row r="141" spans="1:3" x14ac:dyDescent="0.25">
      <c r="A141" s="37"/>
      <c r="B141" s="37"/>
      <c r="C141" s="37"/>
    </row>
    <row r="142" spans="1:3" x14ac:dyDescent="0.25">
      <c r="A142" s="37"/>
      <c r="B142" s="37"/>
      <c r="C142" s="37"/>
    </row>
    <row r="143" spans="1:3" x14ac:dyDescent="0.25">
      <c r="A143" s="37"/>
      <c r="B143" s="37"/>
      <c r="C143" s="37"/>
    </row>
    <row r="144" spans="1:3" x14ac:dyDescent="0.25">
      <c r="A144" s="37"/>
      <c r="B144" s="37"/>
      <c r="C144" s="37"/>
    </row>
    <row r="145" spans="1:3" x14ac:dyDescent="0.25">
      <c r="A145" s="37"/>
      <c r="B145" s="37"/>
      <c r="C145" s="37"/>
    </row>
    <row r="146" spans="1:3" x14ac:dyDescent="0.25">
      <c r="A146" s="37"/>
      <c r="B146" s="37"/>
      <c r="C146" s="37"/>
    </row>
    <row r="147" spans="1:3" x14ac:dyDescent="0.25">
      <c r="A147" s="37"/>
      <c r="B147" s="37"/>
      <c r="C147" s="37"/>
    </row>
    <row r="148" spans="1:3" x14ac:dyDescent="0.25">
      <c r="A148" s="37"/>
      <c r="B148" s="37"/>
      <c r="C148" s="37"/>
    </row>
    <row r="149" spans="1:3" x14ac:dyDescent="0.25">
      <c r="A149" s="37"/>
      <c r="B149" s="37"/>
      <c r="C149" s="37"/>
    </row>
    <row r="150" spans="1:3" x14ac:dyDescent="0.25">
      <c r="A150" s="37"/>
      <c r="B150" s="37"/>
      <c r="C150" s="37"/>
    </row>
    <row r="151" spans="1:3" x14ac:dyDescent="0.25">
      <c r="A151" s="37"/>
      <c r="B151" s="37"/>
      <c r="C151" s="37"/>
    </row>
    <row r="152" spans="1:3" x14ac:dyDescent="0.25">
      <c r="A152" s="37"/>
      <c r="B152" s="37"/>
      <c r="C152" s="37"/>
    </row>
    <row r="153" spans="1:3" x14ac:dyDescent="0.25">
      <c r="A153" s="37"/>
      <c r="B153" s="37"/>
      <c r="C153" s="37"/>
    </row>
    <row r="154" spans="1:3" x14ac:dyDescent="0.25">
      <c r="A154" s="37"/>
      <c r="B154" s="37"/>
      <c r="C154" s="37"/>
    </row>
    <row r="155" spans="1:3" x14ac:dyDescent="0.25">
      <c r="A155" s="37"/>
      <c r="B155" s="37"/>
      <c r="C155" s="37"/>
    </row>
    <row r="156" spans="1:3" x14ac:dyDescent="0.25">
      <c r="A156" s="37"/>
      <c r="B156" s="37"/>
      <c r="C156" s="37"/>
    </row>
    <row r="157" spans="1:3" x14ac:dyDescent="0.25">
      <c r="A157" s="37"/>
      <c r="B157" s="37"/>
      <c r="C157" s="37"/>
    </row>
    <row r="158" spans="1:3" x14ac:dyDescent="0.25">
      <c r="A158" s="37"/>
      <c r="B158" s="37"/>
      <c r="C158" s="37"/>
    </row>
    <row r="159" spans="1:3" x14ac:dyDescent="0.25">
      <c r="A159" s="37"/>
      <c r="B159" s="37"/>
      <c r="C159" s="37"/>
    </row>
    <row r="160" spans="1:3" x14ac:dyDescent="0.25">
      <c r="A160" s="37"/>
      <c r="B160" s="37"/>
      <c r="C160" s="37"/>
    </row>
    <row r="161" spans="1:3" x14ac:dyDescent="0.25">
      <c r="A161" s="37"/>
      <c r="B161" s="37"/>
      <c r="C161" s="37"/>
    </row>
    <row r="162" spans="1:3" x14ac:dyDescent="0.25">
      <c r="A162" s="37"/>
      <c r="B162" s="37"/>
      <c r="C162" s="37"/>
    </row>
    <row r="163" spans="1:3" x14ac:dyDescent="0.25">
      <c r="A163" s="37"/>
      <c r="B163" s="37"/>
      <c r="C163" s="37"/>
    </row>
    <row r="164" spans="1:3" x14ac:dyDescent="0.25">
      <c r="A164" s="37"/>
      <c r="B164" s="37"/>
      <c r="C164" s="37"/>
    </row>
    <row r="165" spans="1:3" x14ac:dyDescent="0.25">
      <c r="A165" s="37"/>
      <c r="B165" s="37"/>
      <c r="C165" s="37"/>
    </row>
    <row r="166" spans="1:3" x14ac:dyDescent="0.25">
      <c r="A166" s="37"/>
      <c r="B166" s="37"/>
      <c r="C166" s="37"/>
    </row>
    <row r="167" spans="1:3" x14ac:dyDescent="0.25">
      <c r="A167" s="37"/>
      <c r="B167" s="37"/>
      <c r="C167" s="37"/>
    </row>
    <row r="168" spans="1:3" x14ac:dyDescent="0.25">
      <c r="A168" s="37"/>
      <c r="B168" s="37"/>
      <c r="C168" s="37"/>
    </row>
    <row r="169" spans="1:3" x14ac:dyDescent="0.25">
      <c r="A169" s="37"/>
      <c r="B169" s="37"/>
      <c r="C169" s="37"/>
    </row>
    <row r="170" spans="1:3" x14ac:dyDescent="0.25">
      <c r="A170" s="37"/>
      <c r="B170" s="37"/>
      <c r="C170" s="37"/>
    </row>
    <row r="171" spans="1:3" x14ac:dyDescent="0.25">
      <c r="A171" s="37"/>
      <c r="B171" s="37"/>
      <c r="C171" s="37"/>
    </row>
    <row r="172" spans="1:3" x14ac:dyDescent="0.25">
      <c r="A172" s="37"/>
      <c r="B172" s="37"/>
      <c r="C172" s="37"/>
    </row>
    <row r="173" spans="1:3" x14ac:dyDescent="0.25">
      <c r="A173" s="37"/>
      <c r="B173" s="37"/>
      <c r="C173" s="37"/>
    </row>
    <row r="174" spans="1:3" x14ac:dyDescent="0.25">
      <c r="A174" s="37"/>
      <c r="B174" s="37"/>
      <c r="C174" s="37"/>
    </row>
    <row r="175" spans="1:3" x14ac:dyDescent="0.25">
      <c r="A175" s="37"/>
      <c r="B175" s="37"/>
      <c r="C175" s="37"/>
    </row>
    <row r="176" spans="1:3" x14ac:dyDescent="0.25">
      <c r="A176" s="37"/>
      <c r="B176" s="37"/>
      <c r="C176" s="37"/>
    </row>
    <row r="177" spans="1:3" x14ac:dyDescent="0.25">
      <c r="A177" s="37"/>
      <c r="B177" s="37"/>
      <c r="C177" s="37"/>
    </row>
    <row r="178" spans="1:3" x14ac:dyDescent="0.25">
      <c r="A178" s="37"/>
      <c r="B178" s="37"/>
      <c r="C178" s="37"/>
    </row>
    <row r="179" spans="1:3" x14ac:dyDescent="0.25">
      <c r="A179" s="37"/>
      <c r="B179" s="37"/>
      <c r="C179" s="37"/>
    </row>
    <row r="180" spans="1:3" x14ac:dyDescent="0.25">
      <c r="A180" s="37"/>
      <c r="B180" s="37"/>
      <c r="C180" s="37"/>
    </row>
    <row r="181" spans="1:3" x14ac:dyDescent="0.25">
      <c r="A181" s="37"/>
      <c r="B181" s="37"/>
      <c r="C181" s="37"/>
    </row>
    <row r="182" spans="1:3" x14ac:dyDescent="0.25">
      <c r="A182" s="37"/>
      <c r="B182" s="37"/>
      <c r="C182" s="37"/>
    </row>
    <row r="183" spans="1:3" x14ac:dyDescent="0.25">
      <c r="A183" s="37"/>
      <c r="B183" s="37"/>
      <c r="C183" s="37"/>
    </row>
    <row r="184" spans="1:3" x14ac:dyDescent="0.25">
      <c r="A184" s="37"/>
      <c r="B184" s="37"/>
      <c r="C184" s="37"/>
    </row>
    <row r="185" spans="1:3" x14ac:dyDescent="0.25">
      <c r="A185" s="37"/>
      <c r="B185" s="37"/>
      <c r="C185" s="37"/>
    </row>
    <row r="186" spans="1:3" x14ac:dyDescent="0.25">
      <c r="A186" s="37"/>
      <c r="B186" s="37"/>
      <c r="C186" s="37"/>
    </row>
    <row r="187" spans="1:3" x14ac:dyDescent="0.25">
      <c r="A187" s="37"/>
      <c r="B187" s="37"/>
      <c r="C187" s="37"/>
    </row>
    <row r="188" spans="1:3" x14ac:dyDescent="0.25">
      <c r="A188" s="37"/>
      <c r="B188" s="37"/>
      <c r="C188" s="37"/>
    </row>
    <row r="189" spans="1:3" x14ac:dyDescent="0.25">
      <c r="A189" s="37"/>
      <c r="B189" s="37"/>
      <c r="C189" s="37"/>
    </row>
    <row r="190" spans="1:3" x14ac:dyDescent="0.25">
      <c r="A190" s="37"/>
      <c r="B190" s="37"/>
      <c r="C190" s="37"/>
    </row>
    <row r="191" spans="1:3" x14ac:dyDescent="0.25">
      <c r="A191" s="37"/>
      <c r="B191" s="37"/>
      <c r="C191" s="37"/>
    </row>
    <row r="192" spans="1:3" x14ac:dyDescent="0.25">
      <c r="A192" s="37"/>
      <c r="B192" s="37"/>
      <c r="C192" s="37"/>
    </row>
    <row r="193" spans="1:3" x14ac:dyDescent="0.25">
      <c r="A193" s="37"/>
      <c r="B193" s="37"/>
      <c r="C193" s="37"/>
    </row>
    <row r="194" spans="1:3" x14ac:dyDescent="0.25">
      <c r="A194" s="37"/>
      <c r="B194" s="37"/>
      <c r="C194" s="37"/>
    </row>
    <row r="195" spans="1:3" x14ac:dyDescent="0.25">
      <c r="A195" s="37"/>
      <c r="B195" s="37"/>
      <c r="C195" s="37"/>
    </row>
    <row r="196" spans="1:3" x14ac:dyDescent="0.25">
      <c r="A196" s="37"/>
      <c r="B196" s="37"/>
      <c r="C196" s="37"/>
    </row>
    <row r="197" spans="1:3" x14ac:dyDescent="0.25">
      <c r="A197" s="37"/>
      <c r="B197" s="37"/>
      <c r="C197" s="37"/>
    </row>
    <row r="198" spans="1:3" x14ac:dyDescent="0.25">
      <c r="A198" s="37"/>
      <c r="B198" s="37"/>
      <c r="C198" s="37"/>
    </row>
    <row r="199" spans="1:3" x14ac:dyDescent="0.25">
      <c r="A199" s="37"/>
      <c r="B199" s="37"/>
      <c r="C199" s="37"/>
    </row>
    <row r="200" spans="1:3" x14ac:dyDescent="0.25">
      <c r="A200" s="37"/>
      <c r="B200" s="37"/>
      <c r="C200" s="37"/>
    </row>
    <row r="201" spans="1:3" x14ac:dyDescent="0.25">
      <c r="A201" s="37"/>
      <c r="B201" s="37"/>
      <c r="C201" s="37"/>
    </row>
    <row r="202" spans="1:3" x14ac:dyDescent="0.25">
      <c r="A202" s="37"/>
      <c r="B202" s="37"/>
      <c r="C202" s="37"/>
    </row>
    <row r="203" spans="1:3" x14ac:dyDescent="0.25">
      <c r="A203" s="37"/>
      <c r="B203" s="37"/>
      <c r="C203" s="37"/>
    </row>
    <row r="204" spans="1:3" x14ac:dyDescent="0.25">
      <c r="A204" s="37"/>
      <c r="B204" s="37"/>
      <c r="C204" s="37"/>
    </row>
    <row r="205" spans="1:3" x14ac:dyDescent="0.25">
      <c r="A205" s="37"/>
      <c r="B205" s="37"/>
      <c r="C205" s="37"/>
    </row>
    <row r="206" spans="1:3" x14ac:dyDescent="0.25">
      <c r="A206" s="37"/>
      <c r="B206" s="37"/>
      <c r="C206" s="37"/>
    </row>
    <row r="207" spans="1:3" x14ac:dyDescent="0.25">
      <c r="A207" s="37"/>
      <c r="B207" s="37"/>
      <c r="C207" s="37"/>
    </row>
    <row r="208" spans="1:3" x14ac:dyDescent="0.25">
      <c r="A208" s="37"/>
      <c r="B208" s="37"/>
      <c r="C208" s="37"/>
    </row>
    <row r="209" spans="1:3" x14ac:dyDescent="0.25">
      <c r="A209" s="37"/>
      <c r="B209" s="37"/>
      <c r="C209" s="37"/>
    </row>
    <row r="210" spans="1:3" x14ac:dyDescent="0.25">
      <c r="A210" s="37"/>
      <c r="B210" s="37"/>
      <c r="C210" s="37"/>
    </row>
    <row r="211" spans="1:3" x14ac:dyDescent="0.25">
      <c r="A211" s="37"/>
      <c r="B211" s="37"/>
      <c r="C211" s="37"/>
    </row>
    <row r="212" spans="1:3" x14ac:dyDescent="0.25">
      <c r="A212" s="37"/>
      <c r="B212" s="37"/>
      <c r="C212" s="37"/>
    </row>
    <row r="213" spans="1:3" x14ac:dyDescent="0.25">
      <c r="A213" s="37"/>
      <c r="B213" s="37"/>
      <c r="C213" s="37"/>
    </row>
    <row r="214" spans="1:3" x14ac:dyDescent="0.25">
      <c r="A214" s="37"/>
      <c r="B214" s="37"/>
      <c r="C214" s="37"/>
    </row>
    <row r="215" spans="1:3" x14ac:dyDescent="0.25">
      <c r="A215" s="37"/>
      <c r="B215" s="37"/>
      <c r="C215" s="37"/>
    </row>
    <row r="216" spans="1:3" x14ac:dyDescent="0.25">
      <c r="A216" s="37"/>
      <c r="B216" s="37"/>
      <c r="C216" s="37"/>
    </row>
    <row r="217" spans="1:3" x14ac:dyDescent="0.25">
      <c r="A217" s="37"/>
      <c r="B217" s="37"/>
      <c r="C217" s="37"/>
    </row>
    <row r="218" spans="1:3" x14ac:dyDescent="0.25">
      <c r="A218" s="37"/>
      <c r="B218" s="37"/>
      <c r="C218" s="37"/>
    </row>
    <row r="219" spans="1:3" x14ac:dyDescent="0.25">
      <c r="A219" s="37"/>
      <c r="B219" s="37"/>
      <c r="C219" s="37"/>
    </row>
    <row r="220" spans="1:3" x14ac:dyDescent="0.25">
      <c r="A220" s="37"/>
      <c r="B220" s="37"/>
      <c r="C220" s="37"/>
    </row>
    <row r="221" spans="1:3" x14ac:dyDescent="0.25">
      <c r="A221" s="37"/>
      <c r="B221" s="37"/>
      <c r="C221" s="37"/>
    </row>
    <row r="222" spans="1:3" x14ac:dyDescent="0.25">
      <c r="A222" s="37"/>
      <c r="B222" s="37"/>
      <c r="C222" s="37"/>
    </row>
    <row r="223" spans="1:3" x14ac:dyDescent="0.25">
      <c r="A223" s="37"/>
      <c r="B223" s="37"/>
      <c r="C223" s="37"/>
    </row>
    <row r="224" spans="1:3" x14ac:dyDescent="0.25">
      <c r="A224" s="37"/>
      <c r="B224" s="37"/>
      <c r="C224" s="37"/>
    </row>
    <row r="225" spans="1:3" x14ac:dyDescent="0.25">
      <c r="A225" s="37"/>
      <c r="B225" s="37"/>
      <c r="C225" s="37"/>
    </row>
    <row r="226" spans="1:3" x14ac:dyDescent="0.25">
      <c r="A226" s="37"/>
      <c r="B226" s="37"/>
      <c r="C226" s="37"/>
    </row>
    <row r="227" spans="1:3" x14ac:dyDescent="0.25">
      <c r="A227" s="37"/>
      <c r="B227" s="37"/>
      <c r="C227" s="37"/>
    </row>
    <row r="228" spans="1:3" x14ac:dyDescent="0.25">
      <c r="A228" s="37"/>
      <c r="B228" s="37"/>
      <c r="C228" s="37"/>
    </row>
    <row r="229" spans="1:3" x14ac:dyDescent="0.25">
      <c r="A229" s="37"/>
      <c r="B229" s="37"/>
      <c r="C229" s="37"/>
    </row>
    <row r="230" spans="1:3" x14ac:dyDescent="0.25">
      <c r="A230" s="37"/>
      <c r="B230" s="37"/>
      <c r="C230" s="37"/>
    </row>
    <row r="231" spans="1:3" x14ac:dyDescent="0.25">
      <c r="A231" s="37"/>
      <c r="B231" s="37"/>
      <c r="C231" s="37"/>
    </row>
    <row r="232" spans="1:3" x14ac:dyDescent="0.25">
      <c r="A232" s="37"/>
      <c r="B232" s="37"/>
      <c r="C232" s="37"/>
    </row>
    <row r="233" spans="1:3" x14ac:dyDescent="0.25">
      <c r="A233" s="37"/>
      <c r="B233" s="37"/>
      <c r="C233" s="37"/>
    </row>
    <row r="234" spans="1:3" x14ac:dyDescent="0.25">
      <c r="A234" s="37"/>
      <c r="B234" s="37"/>
      <c r="C234" s="37"/>
    </row>
    <row r="235" spans="1:3" x14ac:dyDescent="0.25">
      <c r="A235" s="37"/>
      <c r="B235" s="37"/>
      <c r="C235" s="37"/>
    </row>
    <row r="236" spans="1:3" x14ac:dyDescent="0.25">
      <c r="A236" s="37"/>
      <c r="B236" s="37"/>
      <c r="C236" s="37"/>
    </row>
    <row r="237" spans="1:3" x14ac:dyDescent="0.25">
      <c r="A237" s="37"/>
      <c r="B237" s="37"/>
      <c r="C237" s="37"/>
    </row>
    <row r="238" spans="1:3" x14ac:dyDescent="0.25">
      <c r="A238" s="37"/>
      <c r="B238" s="37"/>
      <c r="C238" s="37"/>
    </row>
    <row r="239" spans="1:3" x14ac:dyDescent="0.25">
      <c r="A239" s="37"/>
      <c r="B239" s="37"/>
      <c r="C239" s="37"/>
    </row>
    <row r="240" spans="1:3" x14ac:dyDescent="0.25">
      <c r="A240" s="37"/>
      <c r="B240" s="37"/>
      <c r="C240" s="37"/>
    </row>
    <row r="241" spans="1:3" x14ac:dyDescent="0.25">
      <c r="A241" s="37"/>
      <c r="B241" s="37"/>
      <c r="C241" s="37"/>
    </row>
    <row r="242" spans="1:3" x14ac:dyDescent="0.25">
      <c r="A242" s="37"/>
      <c r="B242" s="37"/>
      <c r="C242" s="37"/>
    </row>
    <row r="243" spans="1:3" x14ac:dyDescent="0.25">
      <c r="A243" s="37"/>
      <c r="B243" s="37"/>
      <c r="C243" s="37"/>
    </row>
    <row r="244" spans="1:3" x14ac:dyDescent="0.25">
      <c r="A244" s="37"/>
      <c r="B244" s="37"/>
      <c r="C244" s="37"/>
    </row>
    <row r="245" spans="1:3" x14ac:dyDescent="0.25">
      <c r="A245" s="37"/>
      <c r="B245" s="37"/>
      <c r="C245" s="37"/>
    </row>
    <row r="246" spans="1:3" x14ac:dyDescent="0.25">
      <c r="A246" s="37"/>
      <c r="B246" s="37"/>
      <c r="C246" s="37"/>
    </row>
    <row r="247" spans="1:3" x14ac:dyDescent="0.25">
      <c r="A247" s="37"/>
      <c r="B247" s="37"/>
      <c r="C247" s="37"/>
    </row>
    <row r="248" spans="1:3" x14ac:dyDescent="0.25">
      <c r="A248" s="37"/>
      <c r="B248" s="37"/>
      <c r="C248" s="37"/>
    </row>
    <row r="249" spans="1:3" x14ac:dyDescent="0.25">
      <c r="A249" s="37"/>
      <c r="B249" s="37"/>
      <c r="C249" s="37"/>
    </row>
    <row r="250" spans="1:3" x14ac:dyDescent="0.25">
      <c r="A250" s="37"/>
      <c r="B250" s="37"/>
      <c r="C250" s="37"/>
    </row>
    <row r="251" spans="1:3" x14ac:dyDescent="0.25">
      <c r="A251" s="37"/>
      <c r="B251" s="37"/>
      <c r="C251" s="37"/>
    </row>
    <row r="252" spans="1:3" x14ac:dyDescent="0.25">
      <c r="A252" s="37"/>
      <c r="B252" s="37"/>
      <c r="C252" s="37"/>
    </row>
    <row r="253" spans="1:3" x14ac:dyDescent="0.25">
      <c r="A253" s="37"/>
      <c r="B253" s="37"/>
      <c r="C253" s="37"/>
    </row>
    <row r="254" spans="1:3" x14ac:dyDescent="0.25">
      <c r="A254" s="37"/>
      <c r="B254" s="37"/>
      <c r="C254" s="37"/>
    </row>
    <row r="255" spans="1:3" x14ac:dyDescent="0.25">
      <c r="A255" s="37"/>
      <c r="B255" s="37"/>
      <c r="C255" s="37"/>
    </row>
    <row r="256" spans="1:3" x14ac:dyDescent="0.25">
      <c r="A256" s="37"/>
      <c r="B256" s="37"/>
      <c r="C256" s="37"/>
    </row>
    <row r="257" spans="1:3" x14ac:dyDescent="0.25">
      <c r="A257" s="37"/>
      <c r="B257" s="37"/>
      <c r="C257" s="37"/>
    </row>
    <row r="258" spans="1:3" x14ac:dyDescent="0.25">
      <c r="A258" s="37"/>
      <c r="B258" s="37"/>
      <c r="C258" s="37"/>
    </row>
    <row r="259" spans="1:3" x14ac:dyDescent="0.25">
      <c r="A259" s="37"/>
      <c r="B259" s="37"/>
      <c r="C259" s="37"/>
    </row>
    <row r="260" spans="1:3" x14ac:dyDescent="0.25">
      <c r="A260" s="37"/>
      <c r="B260" s="37"/>
      <c r="C260" s="37"/>
    </row>
    <row r="261" spans="1:3" x14ac:dyDescent="0.25">
      <c r="A261" s="37"/>
      <c r="B261" s="37"/>
      <c r="C261" s="37"/>
    </row>
    <row r="262" spans="1:3" x14ac:dyDescent="0.25">
      <c r="A262" s="37"/>
      <c r="B262" s="37"/>
      <c r="C262" s="37"/>
    </row>
    <row r="263" spans="1:3" x14ac:dyDescent="0.25">
      <c r="A263" s="37"/>
      <c r="B263" s="37"/>
      <c r="C263" s="37"/>
    </row>
    <row r="264" spans="1:3" x14ac:dyDescent="0.25">
      <c r="A264" s="37"/>
      <c r="B264" s="37"/>
      <c r="C264" s="37"/>
    </row>
    <row r="265" spans="1:3" x14ac:dyDescent="0.25">
      <c r="A265" s="37"/>
      <c r="B265" s="37"/>
      <c r="C265" s="37"/>
    </row>
    <row r="266" spans="1:3" x14ac:dyDescent="0.25">
      <c r="A266" s="37"/>
      <c r="B266" s="37"/>
      <c r="C266" s="37"/>
    </row>
    <row r="267" spans="1:3" x14ac:dyDescent="0.25">
      <c r="A267" s="37"/>
      <c r="B267" s="37"/>
      <c r="C267" s="37"/>
    </row>
    <row r="268" spans="1:3" x14ac:dyDescent="0.25">
      <c r="A268" s="37"/>
      <c r="B268" s="37"/>
      <c r="C268" s="37"/>
    </row>
    <row r="269" spans="1:3" x14ac:dyDescent="0.25">
      <c r="A269" s="37"/>
      <c r="B269" s="37"/>
      <c r="C269" s="37"/>
    </row>
    <row r="270" spans="1:3" x14ac:dyDescent="0.25">
      <c r="A270" s="37"/>
      <c r="B270" s="37"/>
      <c r="C270" s="37"/>
    </row>
    <row r="271" spans="1:3" x14ac:dyDescent="0.25">
      <c r="A271" s="37"/>
      <c r="B271" s="37"/>
      <c r="C271" s="37"/>
    </row>
    <row r="272" spans="1:3" x14ac:dyDescent="0.25">
      <c r="A272" s="37"/>
      <c r="B272" s="37"/>
      <c r="C272" s="37"/>
    </row>
    <row r="273" spans="1:3" x14ac:dyDescent="0.25">
      <c r="A273" s="37"/>
      <c r="B273" s="37"/>
      <c r="C273" s="37"/>
    </row>
    <row r="274" spans="1:3" x14ac:dyDescent="0.25">
      <c r="A274" s="37"/>
      <c r="B274" s="37"/>
      <c r="C274" s="37"/>
    </row>
    <row r="275" spans="1:3" x14ac:dyDescent="0.25">
      <c r="A275" s="37"/>
      <c r="B275" s="37"/>
      <c r="C275" s="37"/>
    </row>
    <row r="276" spans="1:3" x14ac:dyDescent="0.25">
      <c r="A276" s="37"/>
      <c r="B276" s="37"/>
      <c r="C276" s="37"/>
    </row>
    <row r="277" spans="1:3" x14ac:dyDescent="0.25">
      <c r="A277" s="37"/>
      <c r="B277" s="37"/>
      <c r="C277" s="37"/>
    </row>
    <row r="278" spans="1:3" x14ac:dyDescent="0.25">
      <c r="A278" s="37"/>
      <c r="B278" s="37"/>
      <c r="C278" s="37"/>
    </row>
    <row r="279" spans="1:3" x14ac:dyDescent="0.25">
      <c r="A279" s="37"/>
      <c r="B279" s="37"/>
      <c r="C279" s="37"/>
    </row>
    <row r="280" spans="1:3" x14ac:dyDescent="0.25">
      <c r="A280" s="37"/>
      <c r="B280" s="37"/>
      <c r="C280" s="37"/>
    </row>
    <row r="281" spans="1:3" x14ac:dyDescent="0.25">
      <c r="A281" s="37"/>
      <c r="B281" s="37"/>
      <c r="C281" s="37"/>
    </row>
    <row r="282" spans="1:3" x14ac:dyDescent="0.25">
      <c r="A282" s="37"/>
      <c r="B282" s="37"/>
      <c r="C282" s="37"/>
    </row>
    <row r="283" spans="1:3" x14ac:dyDescent="0.25">
      <c r="A283" s="37"/>
      <c r="B283" s="37"/>
      <c r="C283" s="37"/>
    </row>
    <row r="284" spans="1:3" x14ac:dyDescent="0.25">
      <c r="A284" s="37"/>
      <c r="B284" s="37"/>
      <c r="C284" s="37"/>
    </row>
    <row r="285" spans="1:3" x14ac:dyDescent="0.25">
      <c r="A285" s="37"/>
      <c r="B285" s="37"/>
      <c r="C285" s="37"/>
    </row>
    <row r="286" spans="1:3" x14ac:dyDescent="0.25">
      <c r="A286" s="37"/>
      <c r="B286" s="37"/>
      <c r="C286" s="37"/>
    </row>
    <row r="287" spans="1:3" x14ac:dyDescent="0.25">
      <c r="A287" s="37"/>
      <c r="B287" s="37"/>
      <c r="C287" s="37"/>
    </row>
    <row r="288" spans="1:3" x14ac:dyDescent="0.25">
      <c r="A288" s="37"/>
      <c r="B288" s="37"/>
      <c r="C288" s="37"/>
    </row>
    <row r="289" spans="1:3" x14ac:dyDescent="0.25">
      <c r="A289" s="37"/>
      <c r="B289" s="37"/>
      <c r="C289" s="37"/>
    </row>
    <row r="290" spans="1:3" x14ac:dyDescent="0.25">
      <c r="A290" s="37"/>
      <c r="B290" s="37"/>
      <c r="C290" s="37"/>
    </row>
    <row r="291" spans="1:3" x14ac:dyDescent="0.25">
      <c r="A291" s="37"/>
      <c r="B291" s="37"/>
      <c r="C291" s="37"/>
    </row>
    <row r="292" spans="1:3" x14ac:dyDescent="0.25">
      <c r="A292" s="37"/>
      <c r="B292" s="37"/>
      <c r="C292" s="37"/>
    </row>
    <row r="293" spans="1:3" x14ac:dyDescent="0.25">
      <c r="A293" s="37"/>
      <c r="B293" s="37"/>
      <c r="C293" s="37"/>
    </row>
    <row r="294" spans="1:3" x14ac:dyDescent="0.25">
      <c r="A294" s="37"/>
      <c r="B294" s="37"/>
      <c r="C294" s="37"/>
    </row>
    <row r="295" spans="1:3" x14ac:dyDescent="0.25">
      <c r="A295" s="37"/>
      <c r="B295" s="37"/>
      <c r="C295" s="37"/>
    </row>
    <row r="296" spans="1:3" x14ac:dyDescent="0.25">
      <c r="A296" s="37"/>
      <c r="B296" s="37"/>
      <c r="C296" s="37"/>
    </row>
  </sheetData>
  <sheetProtection algorithmName="SHA-512" hashValue="Xy6oco/vl8I6BGaaZdY4+rM9blYfBqWH4N+FWRz6vYXdijUDIxvuFurRtn5ry1E72CyVxNVgzXkmQQL6Vvoz9w==" saltValue="vETXXlRQL+Kf0LXEcUVb8g=="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85"/>
  <sheetViews>
    <sheetView workbookViewId="0">
      <selection activeCell="C23" sqref="C23"/>
    </sheetView>
  </sheetViews>
  <sheetFormatPr defaultRowHeight="15" x14ac:dyDescent="0.25"/>
  <cols>
    <col min="1" max="1" width="25.28515625" style="58" bestFit="1" customWidth="1"/>
    <col min="2" max="2" width="12" style="58" bestFit="1" customWidth="1"/>
    <col min="3" max="3" width="38.28515625" style="58" bestFit="1" customWidth="1"/>
    <col min="4" max="4" width="34.7109375" style="58" bestFit="1" customWidth="1"/>
    <col min="5" max="5" width="15.5703125" style="58" customWidth="1"/>
    <col min="6" max="6" width="35.28515625" style="58" bestFit="1" customWidth="1"/>
    <col min="7" max="7" width="18.42578125" style="58" bestFit="1" customWidth="1"/>
    <col min="8" max="8" width="1.140625" style="58" customWidth="1"/>
    <col min="9" max="14" width="9.28515625" style="37"/>
    <col min="15" max="26" width="9.28515625" style="58"/>
  </cols>
  <sheetData>
    <row r="1" spans="1:26" s="63" customFormat="1" ht="31.5" x14ac:dyDescent="0.25">
      <c r="A1" s="60" t="s">
        <v>101</v>
      </c>
      <c r="B1" s="60" t="s">
        <v>35</v>
      </c>
      <c r="C1" s="61" t="s">
        <v>10</v>
      </c>
      <c r="D1" s="64" t="s">
        <v>105</v>
      </c>
      <c r="E1" s="64" t="s">
        <v>106</v>
      </c>
      <c r="F1" s="60" t="s">
        <v>33</v>
      </c>
      <c r="G1" s="64" t="s">
        <v>107</v>
      </c>
      <c r="H1" s="62"/>
      <c r="I1" s="65"/>
      <c r="J1" s="65"/>
      <c r="K1" s="65"/>
      <c r="L1" s="65"/>
      <c r="M1" s="65"/>
      <c r="N1" s="65"/>
      <c r="O1" s="62"/>
      <c r="P1" s="62"/>
      <c r="Q1" s="62"/>
      <c r="R1" s="62"/>
      <c r="S1" s="62"/>
      <c r="T1" s="62"/>
      <c r="U1" s="62"/>
      <c r="V1" s="62"/>
      <c r="W1" s="62"/>
      <c r="X1" s="62"/>
      <c r="Y1" s="62"/>
      <c r="Z1" s="62"/>
    </row>
    <row r="2" spans="1:26" x14ac:dyDescent="0.25">
      <c r="A2" t="s">
        <v>127</v>
      </c>
      <c r="B2" t="s">
        <v>128</v>
      </c>
      <c r="C2" t="s">
        <v>129</v>
      </c>
      <c r="E2"/>
      <c r="F2" t="s">
        <v>131</v>
      </c>
      <c r="G2" s="77" t="s">
        <v>130</v>
      </c>
    </row>
    <row r="3" spans="1:26" ht="15.75" thickBot="1" x14ac:dyDescent="0.3">
      <c r="A3" s="78"/>
      <c r="B3" s="78"/>
      <c r="C3" s="78"/>
      <c r="D3" s="79"/>
      <c r="E3" s="78"/>
      <c r="F3" s="78"/>
      <c r="G3" s="80"/>
    </row>
    <row r="4" spans="1:26" x14ac:dyDescent="0.25">
      <c r="A4" s="81"/>
      <c r="B4" s="81"/>
      <c r="C4" s="81"/>
      <c r="D4" s="82"/>
      <c r="E4" s="81"/>
      <c r="F4" s="81"/>
      <c r="G4" s="80"/>
      <c r="I4" s="117" t="s">
        <v>122</v>
      </c>
      <c r="J4" s="118"/>
      <c r="K4" s="118"/>
      <c r="L4" s="118"/>
      <c r="M4" s="119"/>
    </row>
    <row r="5" spans="1:26" x14ac:dyDescent="0.25">
      <c r="A5" s="81"/>
      <c r="B5" s="81"/>
      <c r="C5" s="81"/>
      <c r="D5" s="82"/>
      <c r="E5" s="81"/>
      <c r="F5" s="81"/>
      <c r="G5" s="80"/>
      <c r="I5" s="120"/>
      <c r="J5" s="121"/>
      <c r="K5" s="121"/>
      <c r="L5" s="121"/>
      <c r="M5" s="122"/>
    </row>
    <row r="6" spans="1:26" x14ac:dyDescent="0.25">
      <c r="A6" s="81"/>
      <c r="B6" s="81"/>
      <c r="C6" s="81"/>
      <c r="D6" s="82"/>
      <c r="E6" s="81"/>
      <c r="F6" s="81"/>
      <c r="G6" s="80"/>
      <c r="I6" s="120"/>
      <c r="J6" s="121"/>
      <c r="K6" s="121"/>
      <c r="L6" s="121"/>
      <c r="M6" s="122"/>
    </row>
    <row r="7" spans="1:26" x14ac:dyDescent="0.25">
      <c r="A7" s="81"/>
      <c r="B7" s="81"/>
      <c r="C7" s="81"/>
      <c r="D7" s="82"/>
      <c r="E7" s="81"/>
      <c r="F7" s="81"/>
      <c r="G7" s="80"/>
      <c r="I7" s="120"/>
      <c r="J7" s="121"/>
      <c r="K7" s="121"/>
      <c r="L7" s="121"/>
      <c r="M7" s="122"/>
    </row>
    <row r="8" spans="1:26" x14ac:dyDescent="0.25">
      <c r="A8" s="81"/>
      <c r="B8" s="81"/>
      <c r="C8" s="81"/>
      <c r="D8" s="82"/>
      <c r="E8" s="81"/>
      <c r="F8" s="81"/>
      <c r="G8" s="80"/>
      <c r="I8" s="120"/>
      <c r="J8" s="121"/>
      <c r="K8" s="121"/>
      <c r="L8" s="121"/>
      <c r="M8" s="122"/>
    </row>
    <row r="9" spans="1:26" x14ac:dyDescent="0.25">
      <c r="A9" s="81"/>
      <c r="B9" s="81"/>
      <c r="C9" s="81"/>
      <c r="D9" s="82"/>
      <c r="E9" s="81"/>
      <c r="F9" s="81"/>
      <c r="G9" s="80"/>
      <c r="I9" s="120"/>
      <c r="J9" s="121"/>
      <c r="K9" s="121"/>
      <c r="L9" s="121"/>
      <c r="M9" s="122"/>
    </row>
    <row r="10" spans="1:26" x14ac:dyDescent="0.25">
      <c r="A10" s="81"/>
      <c r="B10" s="81"/>
      <c r="C10" s="81"/>
      <c r="D10" s="82"/>
      <c r="E10" s="81"/>
      <c r="F10" s="81"/>
      <c r="G10" s="80"/>
      <c r="I10" s="120"/>
      <c r="J10" s="121"/>
      <c r="K10" s="121"/>
      <c r="L10" s="121"/>
      <c r="M10" s="122"/>
    </row>
    <row r="11" spans="1:26" x14ac:dyDescent="0.25">
      <c r="A11" s="81"/>
      <c r="B11" s="81"/>
      <c r="C11" s="81"/>
      <c r="D11" s="82"/>
      <c r="E11" s="81"/>
      <c r="F11" s="81"/>
      <c r="G11" s="80"/>
      <c r="I11" s="120"/>
      <c r="J11" s="121"/>
      <c r="K11" s="121"/>
      <c r="L11" s="121"/>
      <c r="M11" s="122"/>
    </row>
    <row r="12" spans="1:26" ht="15.75" thickBot="1" x14ac:dyDescent="0.3">
      <c r="A12" s="81"/>
      <c r="B12" s="81"/>
      <c r="C12" s="81"/>
      <c r="D12" s="82"/>
      <c r="E12" s="81"/>
      <c r="F12" s="81"/>
      <c r="G12" s="80"/>
      <c r="I12" s="123"/>
      <c r="J12" s="124"/>
      <c r="K12" s="124"/>
      <c r="L12" s="124"/>
      <c r="M12" s="125"/>
    </row>
    <row r="13" spans="1:26" x14ac:dyDescent="0.25">
      <c r="A13" s="81"/>
      <c r="B13" s="81"/>
      <c r="C13" s="81"/>
      <c r="D13" s="82"/>
      <c r="E13" s="81"/>
      <c r="F13" s="81"/>
      <c r="G13" s="80"/>
    </row>
    <row r="14" spans="1:26" x14ac:dyDescent="0.25">
      <c r="A14" s="81"/>
      <c r="B14" s="81"/>
      <c r="C14" s="81"/>
      <c r="D14" s="82"/>
      <c r="E14" s="81"/>
      <c r="F14" s="81"/>
      <c r="G14" s="80"/>
    </row>
    <row r="15" spans="1:26" x14ac:dyDescent="0.25">
      <c r="A15" s="81"/>
      <c r="B15" s="81"/>
      <c r="C15" s="81"/>
      <c r="D15" s="82"/>
      <c r="E15" s="81"/>
      <c r="F15" s="81"/>
      <c r="G15" s="80"/>
    </row>
    <row r="16" spans="1:26" x14ac:dyDescent="0.25">
      <c r="A16" s="81"/>
      <c r="B16" s="81"/>
      <c r="C16" s="81"/>
      <c r="D16" s="82"/>
      <c r="E16" s="81"/>
      <c r="F16" s="81"/>
      <c r="G16" s="80"/>
    </row>
    <row r="17" spans="1:7" x14ac:dyDescent="0.25">
      <c r="A17" s="81"/>
      <c r="B17" s="81"/>
      <c r="C17" s="81"/>
      <c r="D17" s="82"/>
      <c r="E17" s="81"/>
      <c r="F17" s="81"/>
      <c r="G17" s="80"/>
    </row>
    <row r="18" spans="1:7" x14ac:dyDescent="0.25">
      <c r="A18" s="81"/>
      <c r="B18" s="81"/>
      <c r="C18" s="81"/>
      <c r="D18" s="82"/>
      <c r="E18" s="81"/>
      <c r="F18" s="81"/>
      <c r="G18" s="80"/>
    </row>
    <row r="19" spans="1:7" x14ac:dyDescent="0.25">
      <c r="A19" s="81"/>
      <c r="B19" s="81"/>
      <c r="C19" s="81"/>
      <c r="D19" s="82"/>
      <c r="E19" s="81"/>
      <c r="F19" s="81"/>
      <c r="G19" s="80"/>
    </row>
    <row r="20" spans="1:7" x14ac:dyDescent="0.25">
      <c r="A20" s="81"/>
      <c r="B20" s="81"/>
      <c r="C20" s="81"/>
      <c r="D20" s="82"/>
      <c r="E20" s="81"/>
      <c r="F20" s="81"/>
      <c r="G20" s="80"/>
    </row>
    <row r="21" spans="1:7" x14ac:dyDescent="0.25">
      <c r="A21" s="81"/>
      <c r="B21" s="81"/>
      <c r="C21" s="81"/>
      <c r="D21" s="82"/>
      <c r="E21" s="81"/>
      <c r="F21" s="81"/>
      <c r="G21" s="80"/>
    </row>
    <row r="22" spans="1:7" x14ac:dyDescent="0.25">
      <c r="A22" s="81"/>
      <c r="B22" s="81"/>
      <c r="C22" s="81"/>
      <c r="D22" s="82"/>
      <c r="E22" s="81"/>
      <c r="F22" s="81"/>
      <c r="G22" s="80"/>
    </row>
    <row r="23" spans="1:7" x14ac:dyDescent="0.25">
      <c r="A23" s="81"/>
      <c r="B23" s="81"/>
      <c r="C23" s="81"/>
      <c r="D23" s="82"/>
      <c r="E23" s="81"/>
      <c r="F23" s="81"/>
      <c r="G23" s="80"/>
    </row>
    <row r="24" spans="1:7" x14ac:dyDescent="0.25">
      <c r="A24" s="81"/>
      <c r="B24" s="81"/>
      <c r="C24" s="81"/>
      <c r="D24" s="82"/>
      <c r="E24" s="81"/>
      <c r="F24" s="81"/>
      <c r="G24" s="80"/>
    </row>
    <row r="25" spans="1:7" x14ac:dyDescent="0.25">
      <c r="A25" s="81"/>
      <c r="B25" s="81"/>
      <c r="C25" s="81"/>
      <c r="D25" s="82"/>
      <c r="E25" s="81"/>
      <c r="F25" s="81"/>
      <c r="G25" s="80"/>
    </row>
    <row r="26" spans="1:7" x14ac:dyDescent="0.25">
      <c r="A26" s="81"/>
      <c r="B26" s="81"/>
      <c r="C26" s="81"/>
      <c r="D26" s="82"/>
      <c r="E26" s="81"/>
      <c r="F26" s="81"/>
      <c r="G26" s="80"/>
    </row>
    <row r="27" spans="1:7" x14ac:dyDescent="0.25">
      <c r="A27" s="81"/>
      <c r="B27" s="81"/>
      <c r="C27" s="81"/>
      <c r="D27" s="82"/>
      <c r="E27" s="81"/>
      <c r="F27" s="81"/>
      <c r="G27" s="80"/>
    </row>
    <row r="28" spans="1:7" x14ac:dyDescent="0.25">
      <c r="A28" s="81"/>
      <c r="B28" s="81"/>
      <c r="C28" s="81"/>
      <c r="D28" s="82"/>
      <c r="E28" s="81"/>
      <c r="F28" s="81"/>
      <c r="G28" s="80"/>
    </row>
    <row r="29" spans="1:7" x14ac:dyDescent="0.25">
      <c r="A29" s="81"/>
      <c r="B29" s="81"/>
      <c r="C29" s="81"/>
      <c r="D29" s="82"/>
      <c r="E29" s="81"/>
      <c r="F29" s="81"/>
      <c r="G29" s="80"/>
    </row>
    <row r="30" spans="1:7" x14ac:dyDescent="0.25">
      <c r="A30" s="81"/>
      <c r="B30" s="81"/>
      <c r="C30" s="81"/>
      <c r="D30" s="82"/>
      <c r="E30" s="81"/>
      <c r="F30" s="81"/>
      <c r="G30" s="80"/>
    </row>
    <row r="31" spans="1:7" x14ac:dyDescent="0.25">
      <c r="A31" s="81"/>
      <c r="B31" s="81"/>
      <c r="C31" s="81"/>
      <c r="D31" s="82"/>
      <c r="E31" s="81"/>
      <c r="F31" s="81"/>
      <c r="G31" s="80"/>
    </row>
    <row r="32" spans="1:7" x14ac:dyDescent="0.25">
      <c r="A32" s="81"/>
      <c r="B32" s="81"/>
      <c r="C32" s="81"/>
      <c r="D32" s="82"/>
      <c r="E32" s="81"/>
      <c r="F32" s="81"/>
      <c r="G32" s="80"/>
    </row>
    <row r="33" spans="1:7" x14ac:dyDescent="0.25">
      <c r="A33" s="81"/>
      <c r="B33" s="81"/>
      <c r="C33" s="81"/>
      <c r="D33" s="82"/>
      <c r="E33" s="81"/>
      <c r="F33" s="81"/>
      <c r="G33" s="80"/>
    </row>
    <row r="34" spans="1:7" x14ac:dyDescent="0.25">
      <c r="A34" s="81"/>
      <c r="B34" s="81"/>
      <c r="C34" s="81"/>
      <c r="D34" s="82"/>
      <c r="E34" s="81"/>
      <c r="F34" s="81"/>
      <c r="G34" s="80"/>
    </row>
    <row r="35" spans="1:7" x14ac:dyDescent="0.25">
      <c r="A35" s="81"/>
      <c r="B35" s="81"/>
      <c r="C35" s="81"/>
      <c r="D35" s="82"/>
      <c r="E35" s="81"/>
      <c r="F35" s="81"/>
      <c r="G35" s="80"/>
    </row>
    <row r="36" spans="1:7" x14ac:dyDescent="0.25">
      <c r="A36" s="81"/>
      <c r="B36" s="81"/>
      <c r="C36" s="81"/>
      <c r="D36" s="82"/>
      <c r="E36" s="81"/>
      <c r="F36" s="81"/>
      <c r="G36" s="80"/>
    </row>
    <row r="37" spans="1:7" x14ac:dyDescent="0.25">
      <c r="A37" s="81"/>
      <c r="B37" s="81"/>
      <c r="C37" s="81"/>
      <c r="D37" s="82"/>
      <c r="E37" s="81"/>
      <c r="F37" s="81"/>
      <c r="G37" s="80"/>
    </row>
    <row r="38" spans="1:7" x14ac:dyDescent="0.25">
      <c r="A38" s="81"/>
      <c r="B38" s="81"/>
      <c r="C38" s="81"/>
      <c r="D38" s="82"/>
      <c r="E38" s="81"/>
      <c r="F38" s="81"/>
      <c r="G38" s="80"/>
    </row>
    <row r="39" spans="1:7" x14ac:dyDescent="0.25">
      <c r="A39" s="81"/>
      <c r="B39" s="81"/>
      <c r="C39" s="81"/>
      <c r="D39" s="82"/>
      <c r="E39" s="81"/>
      <c r="F39" s="81"/>
      <c r="G39" s="80"/>
    </row>
    <row r="40" spans="1:7" x14ac:dyDescent="0.25">
      <c r="A40" s="81"/>
      <c r="B40" s="81"/>
      <c r="C40" s="81"/>
      <c r="D40" s="82"/>
      <c r="E40" s="81"/>
      <c r="F40" s="81"/>
      <c r="G40" s="80"/>
    </row>
    <row r="41" spans="1:7" x14ac:dyDescent="0.25">
      <c r="A41" s="81"/>
      <c r="B41" s="81"/>
      <c r="C41" s="81"/>
      <c r="D41" s="82"/>
      <c r="E41" s="81"/>
      <c r="F41" s="81"/>
      <c r="G41" s="80"/>
    </row>
    <row r="42" spans="1:7" x14ac:dyDescent="0.25">
      <c r="A42" s="81"/>
      <c r="B42" s="81"/>
      <c r="C42" s="81"/>
      <c r="D42" s="82"/>
      <c r="E42" s="81"/>
      <c r="F42" s="81"/>
      <c r="G42" s="80"/>
    </row>
    <row r="43" spans="1:7" x14ac:dyDescent="0.25">
      <c r="A43" s="81"/>
      <c r="B43" s="81"/>
      <c r="C43" s="81"/>
      <c r="D43" s="82"/>
      <c r="E43" s="81"/>
      <c r="F43" s="81"/>
      <c r="G43" s="83"/>
    </row>
    <row r="44" spans="1:7" x14ac:dyDescent="0.25">
      <c r="A44" s="81"/>
      <c r="B44" s="81"/>
      <c r="C44" s="81"/>
      <c r="D44" s="82"/>
      <c r="E44" s="81"/>
      <c r="F44" s="81"/>
      <c r="G44" s="80"/>
    </row>
    <row r="45" spans="1:7" x14ac:dyDescent="0.25">
      <c r="A45" s="81"/>
      <c r="B45" s="81"/>
      <c r="C45" s="81"/>
      <c r="D45" s="82"/>
      <c r="E45" s="81"/>
      <c r="F45" s="81"/>
      <c r="G45" s="80"/>
    </row>
    <row r="46" spans="1:7" x14ac:dyDescent="0.25">
      <c r="A46" s="81"/>
      <c r="B46" s="81"/>
      <c r="C46" s="81"/>
      <c r="D46" s="82"/>
      <c r="E46" s="81"/>
      <c r="F46" s="81"/>
      <c r="G46" s="80"/>
    </row>
    <row r="47" spans="1:7" x14ac:dyDescent="0.25">
      <c r="A47" s="81"/>
      <c r="B47" s="81"/>
      <c r="C47" s="81"/>
      <c r="D47" s="82"/>
      <c r="E47" s="81"/>
      <c r="F47" s="81"/>
      <c r="G47" s="80"/>
    </row>
    <row r="48" spans="1:7" x14ac:dyDescent="0.25">
      <c r="A48" s="81"/>
      <c r="B48" s="81"/>
      <c r="C48" s="81"/>
      <c r="D48" s="82"/>
      <c r="E48" s="81"/>
      <c r="F48" s="81"/>
      <c r="G48" s="80"/>
    </row>
    <row r="49" spans="1:7" x14ac:dyDescent="0.25">
      <c r="A49" s="81"/>
      <c r="B49" s="81"/>
      <c r="C49" s="81"/>
      <c r="D49" s="82"/>
      <c r="E49" s="81"/>
      <c r="F49" s="81"/>
      <c r="G49" s="80"/>
    </row>
    <row r="50" spans="1:7" x14ac:dyDescent="0.25">
      <c r="A50" s="81"/>
      <c r="B50" s="81"/>
      <c r="C50" s="81"/>
      <c r="D50" s="82"/>
      <c r="E50" s="81"/>
      <c r="F50" s="81"/>
      <c r="G50" s="80"/>
    </row>
    <row r="51" spans="1:7" x14ac:dyDescent="0.25">
      <c r="A51" s="81"/>
      <c r="B51" s="81"/>
      <c r="C51" s="81"/>
      <c r="D51" s="82"/>
      <c r="E51" s="81"/>
      <c r="F51" s="81"/>
      <c r="G51" s="80"/>
    </row>
    <row r="52" spans="1:7" x14ac:dyDescent="0.25">
      <c r="A52" s="81"/>
      <c r="B52" s="81"/>
      <c r="C52" s="81"/>
      <c r="D52" s="82"/>
      <c r="E52" s="81"/>
      <c r="F52" s="81"/>
      <c r="G52" s="80"/>
    </row>
    <row r="53" spans="1:7" x14ac:dyDescent="0.25">
      <c r="A53" s="81"/>
      <c r="B53" s="81"/>
      <c r="C53" s="81"/>
      <c r="D53" s="82"/>
      <c r="E53" s="81"/>
      <c r="F53" s="81"/>
      <c r="G53" s="80"/>
    </row>
    <row r="54" spans="1:7" x14ac:dyDescent="0.25">
      <c r="A54" s="81"/>
      <c r="B54" s="81"/>
      <c r="C54" s="81"/>
      <c r="D54" s="82"/>
      <c r="E54" s="81"/>
      <c r="F54" s="81"/>
      <c r="G54" s="80"/>
    </row>
    <row r="55" spans="1:7" x14ac:dyDescent="0.25">
      <c r="A55" s="81"/>
      <c r="B55" s="81"/>
      <c r="C55" s="81"/>
      <c r="D55" s="82"/>
      <c r="E55" s="81"/>
      <c r="F55" s="81"/>
      <c r="G55" s="80"/>
    </row>
    <row r="56" spans="1:7" x14ac:dyDescent="0.25">
      <c r="A56" s="78"/>
      <c r="B56" s="78"/>
      <c r="C56" s="78"/>
      <c r="D56" s="79"/>
      <c r="E56" s="78"/>
      <c r="F56" s="78"/>
      <c r="G56" s="80"/>
    </row>
    <row r="57" spans="1:7" x14ac:dyDescent="0.25">
      <c r="A57" s="78"/>
      <c r="B57" s="78"/>
      <c r="C57" s="78"/>
      <c r="D57" s="79"/>
      <c r="E57" s="78"/>
      <c r="F57" s="78"/>
      <c r="G57" s="80"/>
    </row>
    <row r="58" spans="1:7" x14ac:dyDescent="0.25">
      <c r="A58" s="78"/>
      <c r="B58" s="78"/>
      <c r="C58" s="78"/>
      <c r="D58" s="79"/>
      <c r="E58" s="78"/>
      <c r="F58" s="78"/>
      <c r="G58" s="80"/>
    </row>
    <row r="59" spans="1:7" x14ac:dyDescent="0.25">
      <c r="A59" s="78"/>
      <c r="B59" s="78"/>
      <c r="C59" s="78"/>
      <c r="D59" s="79"/>
      <c r="E59" s="78"/>
      <c r="F59" s="78"/>
      <c r="G59" s="80"/>
    </row>
    <row r="60" spans="1:7" x14ac:dyDescent="0.25">
      <c r="A60" s="78"/>
      <c r="B60" s="78"/>
      <c r="C60" s="78"/>
      <c r="D60" s="79"/>
      <c r="E60" s="78"/>
      <c r="F60" s="78"/>
      <c r="G60" s="80"/>
    </row>
    <row r="61" spans="1:7" x14ac:dyDescent="0.25">
      <c r="A61" s="78"/>
      <c r="B61" s="78"/>
      <c r="C61" s="78"/>
      <c r="D61" s="79"/>
      <c r="E61" s="78"/>
      <c r="F61" s="78"/>
      <c r="G61" s="80"/>
    </row>
    <row r="62" spans="1:7" x14ac:dyDescent="0.25">
      <c r="A62" s="78"/>
      <c r="B62" s="78"/>
      <c r="C62" s="78"/>
      <c r="D62" s="79"/>
      <c r="E62" s="78"/>
      <c r="F62" s="78"/>
      <c r="G62" s="80"/>
    </row>
    <row r="63" spans="1:7" x14ac:dyDescent="0.25">
      <c r="A63" s="78"/>
      <c r="B63" s="78"/>
      <c r="C63" s="78"/>
      <c r="D63" s="79"/>
      <c r="E63" s="78"/>
      <c r="F63" s="78"/>
      <c r="G63" s="80"/>
    </row>
    <row r="64" spans="1:7" x14ac:dyDescent="0.25">
      <c r="A64" s="78"/>
      <c r="B64" s="78"/>
      <c r="C64" s="78"/>
      <c r="D64" s="79"/>
      <c r="E64" s="78"/>
      <c r="F64" s="78"/>
      <c r="G64" s="80"/>
    </row>
    <row r="65" spans="1:7" x14ac:dyDescent="0.25">
      <c r="A65" s="78"/>
      <c r="B65" s="78"/>
      <c r="C65" s="78"/>
      <c r="D65" s="79"/>
      <c r="E65" s="78"/>
      <c r="F65" s="78"/>
      <c r="G65" s="80"/>
    </row>
    <row r="66" spans="1:7" x14ac:dyDescent="0.25">
      <c r="A66" s="78"/>
      <c r="B66" s="78"/>
      <c r="C66" s="78"/>
      <c r="D66" s="79"/>
      <c r="E66" s="78"/>
      <c r="F66" s="78"/>
      <c r="G66" s="80"/>
    </row>
    <row r="67" spans="1:7" x14ac:dyDescent="0.25">
      <c r="A67" s="78"/>
      <c r="B67" s="78"/>
      <c r="C67" s="78"/>
      <c r="D67" s="79"/>
      <c r="E67" s="78"/>
      <c r="F67" s="78"/>
      <c r="G67" s="80"/>
    </row>
    <row r="68" spans="1:7" x14ac:dyDescent="0.25">
      <c r="A68" s="78"/>
      <c r="B68" s="78"/>
      <c r="C68" s="78"/>
      <c r="D68" s="79"/>
      <c r="E68" s="78"/>
      <c r="F68" s="78"/>
      <c r="G68" s="80"/>
    </row>
    <row r="69" spans="1:7" x14ac:dyDescent="0.25">
      <c r="A69" s="78"/>
      <c r="B69" s="78"/>
      <c r="C69" s="78"/>
      <c r="D69" s="79"/>
      <c r="E69" s="78"/>
      <c r="F69" s="78"/>
      <c r="G69" s="80"/>
    </row>
    <row r="70" spans="1:7" x14ac:dyDescent="0.25">
      <c r="A70" s="78"/>
      <c r="B70" s="78"/>
      <c r="C70" s="78"/>
      <c r="D70" s="79"/>
      <c r="E70" s="78"/>
      <c r="F70" s="78"/>
      <c r="G70" s="80"/>
    </row>
    <row r="71" spans="1:7" x14ac:dyDescent="0.25">
      <c r="A71" s="78"/>
      <c r="B71" s="78"/>
      <c r="C71" s="78"/>
      <c r="D71" s="79"/>
      <c r="E71" s="78"/>
      <c r="F71" s="78"/>
      <c r="G71" s="80"/>
    </row>
    <row r="72" spans="1:7" x14ac:dyDescent="0.25">
      <c r="A72" s="78"/>
      <c r="B72" s="78"/>
      <c r="C72" s="78"/>
      <c r="D72" s="79"/>
      <c r="E72" s="78"/>
      <c r="F72" s="78"/>
      <c r="G72" s="80"/>
    </row>
    <row r="73" spans="1:7" x14ac:dyDescent="0.25">
      <c r="A73" s="78"/>
      <c r="B73" s="78"/>
      <c r="C73" s="78"/>
      <c r="D73" s="79"/>
      <c r="E73" s="78"/>
      <c r="F73" s="78"/>
      <c r="G73" s="80"/>
    </row>
    <row r="74" spans="1:7" x14ac:dyDescent="0.25">
      <c r="A74" s="78"/>
      <c r="B74" s="78"/>
      <c r="C74" s="78"/>
      <c r="D74" s="79"/>
      <c r="E74" s="78"/>
      <c r="F74" s="78"/>
      <c r="G74" s="80"/>
    </row>
    <row r="75" spans="1:7" x14ac:dyDescent="0.25">
      <c r="A75" s="78"/>
      <c r="B75" s="78"/>
      <c r="C75" s="78"/>
      <c r="D75" s="79"/>
      <c r="E75" s="78"/>
      <c r="F75" s="78"/>
      <c r="G75" s="80"/>
    </row>
    <row r="76" spans="1:7" x14ac:dyDescent="0.25">
      <c r="A76" s="78"/>
      <c r="B76" s="78"/>
      <c r="C76" s="78"/>
      <c r="D76" s="79"/>
      <c r="E76" s="78"/>
      <c r="F76" s="78"/>
      <c r="G76" s="80"/>
    </row>
    <row r="77" spans="1:7" x14ac:dyDescent="0.25">
      <c r="A77" s="78"/>
      <c r="B77" s="78"/>
      <c r="C77" s="78"/>
      <c r="D77" s="79"/>
      <c r="E77" s="78"/>
      <c r="F77" s="78"/>
      <c r="G77" s="80"/>
    </row>
    <row r="78" spans="1:7" x14ac:dyDescent="0.25">
      <c r="A78" s="78"/>
      <c r="B78" s="78"/>
      <c r="C78" s="78"/>
      <c r="D78" s="79"/>
      <c r="E78" s="78"/>
      <c r="F78" s="78"/>
      <c r="G78" s="80"/>
    </row>
    <row r="79" spans="1:7" x14ac:dyDescent="0.25">
      <c r="A79" s="78"/>
      <c r="B79" s="78"/>
      <c r="C79" s="78"/>
      <c r="D79" s="79"/>
      <c r="E79" s="78"/>
      <c r="F79" s="78"/>
      <c r="G79" s="80"/>
    </row>
    <row r="80" spans="1:7" x14ac:dyDescent="0.25">
      <c r="A80" s="78"/>
      <c r="B80" s="78"/>
      <c r="C80" s="78"/>
      <c r="D80" s="79"/>
      <c r="E80" s="78"/>
      <c r="F80" s="78"/>
      <c r="G80" s="80"/>
    </row>
    <row r="81" spans="1:7" x14ac:dyDescent="0.25">
      <c r="A81" s="78"/>
      <c r="B81" s="78"/>
      <c r="C81" s="78"/>
      <c r="D81" s="79"/>
      <c r="E81" s="78"/>
      <c r="F81" s="78"/>
      <c r="G81" s="80"/>
    </row>
    <row r="82" spans="1:7" x14ac:dyDescent="0.25">
      <c r="A82" s="78"/>
      <c r="B82" s="78"/>
      <c r="C82" s="78"/>
      <c r="D82" s="79"/>
      <c r="E82" s="78"/>
      <c r="F82" s="78"/>
      <c r="G82" s="80"/>
    </row>
    <row r="83" spans="1:7" x14ac:dyDescent="0.25">
      <c r="A83" s="78"/>
      <c r="B83" s="78"/>
      <c r="C83" s="78"/>
      <c r="D83" s="79"/>
      <c r="E83" s="78"/>
      <c r="F83" s="78"/>
      <c r="G83" s="80"/>
    </row>
    <row r="84" spans="1:7" x14ac:dyDescent="0.25">
      <c r="A84" s="78"/>
      <c r="B84" s="78"/>
      <c r="C84" s="78"/>
      <c r="D84" s="79"/>
      <c r="E84" s="78"/>
      <c r="F84" s="78"/>
      <c r="G84" s="80"/>
    </row>
    <row r="85" spans="1:7" x14ac:dyDescent="0.25">
      <c r="A85" s="79"/>
      <c r="B85" s="79"/>
      <c r="C85" s="79"/>
      <c r="D85" s="79"/>
      <c r="E85" s="79"/>
      <c r="F85" s="79"/>
      <c r="G85" s="79"/>
    </row>
  </sheetData>
  <sortState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0"/>
  <sheetViews>
    <sheetView topLeftCell="A7" workbookViewId="0">
      <selection activeCell="M17" sqref="M17"/>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5" t="s">
        <v>92</v>
      </c>
      <c r="B1" s="36" t="s">
        <v>91</v>
      </c>
      <c r="C1" s="95" t="s">
        <v>152</v>
      </c>
      <c r="D1" s="95"/>
      <c r="E1" s="95"/>
      <c r="F1" s="95"/>
      <c r="G1" s="95"/>
      <c r="H1" s="95"/>
      <c r="I1" s="96"/>
      <c r="J1" s="37"/>
      <c r="K1" s="37"/>
      <c r="L1" t="s">
        <v>88</v>
      </c>
      <c r="M1" t="s">
        <v>117</v>
      </c>
    </row>
    <row r="2" spans="1:25" ht="15.75" thickBot="1" x14ac:dyDescent="0.3">
      <c r="A2" s="37"/>
      <c r="B2" s="37"/>
      <c r="C2" s="37"/>
      <c r="D2" s="37"/>
      <c r="E2" s="37"/>
      <c r="F2" s="37"/>
      <c r="G2" s="37"/>
      <c r="H2" s="37"/>
      <c r="I2" s="37"/>
      <c r="J2" s="37"/>
      <c r="K2" s="37"/>
      <c r="L2" t="s">
        <v>86</v>
      </c>
      <c r="M2" s="66" t="s">
        <v>118</v>
      </c>
      <c r="N2" s="66"/>
      <c r="O2" s="66"/>
      <c r="P2" s="66"/>
      <c r="Q2" s="66"/>
      <c r="R2" s="66"/>
      <c r="S2" s="66"/>
      <c r="T2" s="66"/>
      <c r="U2" s="66"/>
      <c r="V2" s="66"/>
      <c r="W2" s="66"/>
      <c r="X2" s="66"/>
      <c r="Y2" s="66"/>
    </row>
    <row r="3" spans="1:25" ht="15.75" thickBot="1" x14ac:dyDescent="0.3">
      <c r="A3" s="35" t="s">
        <v>93</v>
      </c>
      <c r="B3" s="38" t="s">
        <v>151</v>
      </c>
      <c r="C3" s="37"/>
      <c r="D3" s="37"/>
      <c r="E3" s="37"/>
      <c r="F3" s="37"/>
      <c r="G3" s="37"/>
      <c r="H3" s="37"/>
      <c r="I3" s="37"/>
      <c r="J3" s="37"/>
      <c r="K3" s="37"/>
      <c r="L3" t="s">
        <v>116</v>
      </c>
      <c r="M3" t="s">
        <v>120</v>
      </c>
    </row>
    <row r="4" spans="1:25" ht="15.75" thickBot="1" x14ac:dyDescent="0.3">
      <c r="A4" s="37"/>
      <c r="B4" s="37"/>
      <c r="C4" s="37"/>
      <c r="D4" s="37"/>
      <c r="E4" s="37"/>
      <c r="F4" s="37"/>
      <c r="G4" s="37"/>
      <c r="H4" s="37"/>
      <c r="I4" s="37"/>
      <c r="J4" s="37"/>
      <c r="K4" s="37"/>
      <c r="M4" t="s">
        <v>119</v>
      </c>
    </row>
    <row r="5" spans="1:25" ht="368.25" customHeight="1" x14ac:dyDescent="0.25">
      <c r="A5" s="39" t="s">
        <v>147</v>
      </c>
      <c r="B5" s="40" t="s">
        <v>87</v>
      </c>
      <c r="C5" s="126" t="s">
        <v>153</v>
      </c>
      <c r="D5" s="126"/>
      <c r="E5" s="126"/>
      <c r="F5" s="126"/>
      <c r="G5" s="126"/>
      <c r="H5" s="126"/>
      <c r="I5" s="127"/>
      <c r="J5" s="37"/>
      <c r="K5" s="37"/>
      <c r="M5" s="18" t="s">
        <v>121</v>
      </c>
    </row>
    <row r="6" spans="1:25" ht="75" x14ac:dyDescent="0.25">
      <c r="A6" s="41"/>
      <c r="B6" s="42" t="s">
        <v>88</v>
      </c>
      <c r="C6" s="128" t="s">
        <v>89</v>
      </c>
      <c r="D6" s="128"/>
      <c r="E6" s="128"/>
      <c r="F6" s="128"/>
      <c r="G6" s="128"/>
      <c r="H6" s="128"/>
      <c r="I6" s="129"/>
      <c r="J6" s="37"/>
      <c r="K6" s="37"/>
      <c r="L6" s="2" t="s">
        <v>135</v>
      </c>
      <c r="M6" s="18" t="s">
        <v>138</v>
      </c>
    </row>
    <row r="7" spans="1:25" ht="105.75" thickBot="1" x14ac:dyDescent="0.3">
      <c r="A7" s="43"/>
      <c r="B7" s="44" t="s">
        <v>90</v>
      </c>
      <c r="C7" s="130" t="s">
        <v>136</v>
      </c>
      <c r="D7" s="130"/>
      <c r="E7" s="130"/>
      <c r="F7" s="130"/>
      <c r="G7" s="130"/>
      <c r="H7" s="130"/>
      <c r="I7" s="131"/>
      <c r="J7" s="37"/>
      <c r="K7" s="37"/>
      <c r="L7" s="2" t="s">
        <v>137</v>
      </c>
      <c r="M7" s="18" t="s">
        <v>139</v>
      </c>
    </row>
    <row r="8" spans="1:25" ht="135.75" thickBot="1" x14ac:dyDescent="0.3">
      <c r="A8" s="37"/>
      <c r="B8" s="37"/>
      <c r="C8" s="37"/>
      <c r="D8" s="37"/>
      <c r="E8" s="37"/>
      <c r="F8" s="37"/>
      <c r="G8" s="37"/>
      <c r="H8" s="37"/>
      <c r="I8" s="37"/>
      <c r="J8" s="37"/>
      <c r="K8" s="37"/>
      <c r="L8" s="2" t="s">
        <v>140</v>
      </c>
      <c r="M8" s="18" t="s">
        <v>142</v>
      </c>
    </row>
    <row r="9" spans="1:25" ht="30.75" thickBot="1" x14ac:dyDescent="0.3">
      <c r="A9" s="35" t="s">
        <v>24</v>
      </c>
      <c r="B9" s="45" t="s">
        <v>21</v>
      </c>
      <c r="C9" s="36"/>
      <c r="D9" s="46" t="s">
        <v>25</v>
      </c>
      <c r="E9" s="47" t="s">
        <v>26</v>
      </c>
      <c r="F9" s="37"/>
      <c r="G9" s="37"/>
      <c r="H9" s="37"/>
      <c r="I9" s="37"/>
      <c r="J9" s="37"/>
      <c r="K9" s="37"/>
      <c r="L9" s="2" t="s">
        <v>146</v>
      </c>
      <c r="M9" s="18" t="s">
        <v>148</v>
      </c>
    </row>
    <row r="10" spans="1:25" ht="15.75" thickBot="1" x14ac:dyDescent="0.3">
      <c r="A10" s="37"/>
      <c r="B10" s="48"/>
      <c r="C10" s="37"/>
      <c r="D10" s="49"/>
      <c r="E10" s="50"/>
      <c r="F10" s="37"/>
      <c r="G10" s="37"/>
      <c r="H10" s="37"/>
      <c r="I10" s="37"/>
      <c r="J10" s="37"/>
      <c r="K10" s="37"/>
      <c r="L10" s="2" t="s">
        <v>149</v>
      </c>
      <c r="M10" s="18" t="s">
        <v>150</v>
      </c>
    </row>
    <row r="11" spans="1:25" ht="30" x14ac:dyDescent="0.25">
      <c r="A11" s="51" t="s">
        <v>37</v>
      </c>
      <c r="B11" s="52" t="s">
        <v>38</v>
      </c>
      <c r="C11" s="52"/>
      <c r="D11" s="52" t="s">
        <v>39</v>
      </c>
      <c r="E11" s="52" t="s">
        <v>40</v>
      </c>
      <c r="F11" s="52" t="s">
        <v>41</v>
      </c>
      <c r="G11" s="52" t="s">
        <v>42</v>
      </c>
      <c r="H11" s="52" t="s">
        <v>43</v>
      </c>
      <c r="I11" s="52" t="s">
        <v>44</v>
      </c>
      <c r="J11" s="52" t="s">
        <v>45</v>
      </c>
      <c r="K11" s="53"/>
      <c r="L11" s="2" t="s">
        <v>152</v>
      </c>
      <c r="M11" s="18" t="s">
        <v>154</v>
      </c>
    </row>
    <row r="12" spans="1:25" ht="15.75" thickBot="1" x14ac:dyDescent="0.3">
      <c r="A12" s="43"/>
      <c r="B12" s="44"/>
      <c r="C12" s="44"/>
      <c r="D12" s="44" t="s">
        <v>46</v>
      </c>
      <c r="E12" s="44" t="s">
        <v>47</v>
      </c>
      <c r="F12" s="44" t="s">
        <v>48</v>
      </c>
      <c r="G12" s="44" t="s">
        <v>49</v>
      </c>
      <c r="H12" s="44" t="s">
        <v>50</v>
      </c>
      <c r="I12" s="44" t="s">
        <v>51</v>
      </c>
      <c r="J12" s="44" t="s">
        <v>52</v>
      </c>
      <c r="K12" s="54"/>
    </row>
    <row r="13" spans="1:25" ht="15.75" thickBot="1" x14ac:dyDescent="0.3">
      <c r="A13" s="37"/>
      <c r="B13" s="37"/>
      <c r="C13" s="37"/>
      <c r="D13" s="37"/>
      <c r="E13" s="37"/>
      <c r="F13" s="37"/>
      <c r="G13" s="37"/>
      <c r="H13" s="37"/>
      <c r="I13" s="37"/>
      <c r="J13" s="37"/>
      <c r="K13" s="37"/>
    </row>
    <row r="14" spans="1:25" ht="15.75" thickBot="1" x14ac:dyDescent="0.3">
      <c r="A14" s="35" t="s">
        <v>81</v>
      </c>
      <c r="B14" s="55">
        <f>DATE(2023,1,1)</f>
        <v>44927</v>
      </c>
      <c r="C14" s="56">
        <f>DATE(2032,12,31)</f>
        <v>48579</v>
      </c>
      <c r="D14" s="37"/>
      <c r="E14" s="37"/>
      <c r="F14" s="37"/>
      <c r="G14" s="37"/>
      <c r="H14" s="37"/>
      <c r="I14" s="37"/>
      <c r="J14" s="37"/>
      <c r="K14" s="37"/>
    </row>
    <row r="15" spans="1:25" ht="15.75" thickBot="1" x14ac:dyDescent="0.3">
      <c r="A15" s="37"/>
      <c r="B15" s="37"/>
      <c r="C15" s="37"/>
      <c r="D15" s="37"/>
      <c r="E15" s="37"/>
      <c r="F15" s="37"/>
      <c r="G15" s="37"/>
      <c r="H15" s="37"/>
      <c r="I15" s="37"/>
      <c r="J15" s="37"/>
      <c r="K15" s="37"/>
    </row>
    <row r="16" spans="1:25" ht="15.75" thickBot="1" x14ac:dyDescent="0.3">
      <c r="A16" s="35" t="s">
        <v>96</v>
      </c>
      <c r="B16" s="36" t="str">
        <f ca="1">CONCATENATE(DEC2HEX(RANDBETWEEN(0,4294967295),8),"-", DEC2HEX(RANDBETWEEN(0,42949),4),"-",DEC2HEX(RANDBETWEEN(0,42949),4),"-", DEC2HEX(RANDBETWEEN(0,42949),4),"-",DEC2HEX(RANDBETWEEN(0,4294967295),8),"-",DEC2HEX(RANDBETWEEN(0,42949),4))</f>
        <v>FBF0F6F7-A366-71E3-A6EA-0661EAAC-0351</v>
      </c>
      <c r="C16" s="36"/>
      <c r="D16" s="38"/>
      <c r="E16" s="37"/>
      <c r="F16" s="37"/>
      <c r="G16" s="37"/>
      <c r="H16" s="37"/>
      <c r="I16" s="37"/>
      <c r="J16" s="37"/>
      <c r="K16" s="37"/>
    </row>
    <row r="17" spans="1:11" ht="15.75" thickBot="1" x14ac:dyDescent="0.3">
      <c r="A17" s="37"/>
      <c r="B17" s="37"/>
      <c r="C17" s="37"/>
      <c r="D17" s="37"/>
      <c r="E17" s="37"/>
      <c r="F17" s="37"/>
      <c r="G17" s="37"/>
      <c r="H17" s="37"/>
      <c r="I17" s="37"/>
      <c r="J17" s="37"/>
      <c r="K17" s="37"/>
    </row>
    <row r="18" spans="1:11" ht="15.75" thickBot="1" x14ac:dyDescent="0.3">
      <c r="A18" s="35" t="s">
        <v>97</v>
      </c>
      <c r="B18" s="36" t="str">
        <f ca="1">CONCATENATE("M",YEAR('Header Record'!B5),TEXT(MONTH('Header Record'!B5),"mm"),TEXT(DAY('Header Record'!B5),"dd"),"-",LEFT('Control Data (Hidden)'!B16,23))</f>
        <v>M20230123-FBF0F6F7-A366-71E3-A6EA</v>
      </c>
      <c r="C18" s="36"/>
      <c r="D18" s="38"/>
      <c r="E18" s="37"/>
      <c r="F18" s="37"/>
      <c r="G18" s="37"/>
      <c r="H18" s="37"/>
      <c r="I18" s="37"/>
      <c r="J18" s="37"/>
      <c r="K18" s="37"/>
    </row>
    <row r="19" spans="1:11" ht="15.75" thickBot="1" x14ac:dyDescent="0.3">
      <c r="A19" s="37"/>
      <c r="B19" s="37"/>
      <c r="C19" s="37"/>
      <c r="D19" s="37"/>
      <c r="E19" s="37"/>
      <c r="F19" s="37"/>
      <c r="G19" s="37"/>
      <c r="H19" s="37"/>
      <c r="I19" s="37"/>
      <c r="J19" s="37"/>
      <c r="K19" s="37"/>
    </row>
    <row r="20" spans="1:11" ht="15.75" thickBot="1" x14ac:dyDescent="0.3">
      <c r="A20" s="35" t="s">
        <v>100</v>
      </c>
      <c r="B20" s="36" t="str">
        <f ca="1">CONCATENATE("P",YEAR('Header Record'!B5),TEXT(MONTH('Header Record'!B5),"mm"),TEXT(DAY('Header Record'!B5),"dd"),"-",LEFT('Control Data (Hidden)'!B16,23))</f>
        <v>P20230123-FBF0F6F7-A366-71E3-A6EA</v>
      </c>
      <c r="C20" s="36"/>
      <c r="D20" s="38"/>
      <c r="E20" s="37"/>
      <c r="F20" s="37"/>
      <c r="G20" s="37"/>
      <c r="H20" s="37"/>
      <c r="I20" s="37"/>
      <c r="J20" s="37"/>
      <c r="K20" s="37"/>
    </row>
  </sheetData>
  <sheetProtection algorithmName="SHA-512" hashValue="nPMz+xR32lR9Va2a04A4MO/heDMIL6RcwyI9qie+U8kAAt7n5f9ttRoI6rvvKJmVLa/0ozMZNh4zLBhKeDQkTA==" saltValue="G95YMl7LDAlKLevD+rNAfA==" spinCount="100000" sheet="1" objects="1" scenarios="1"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Syncovery</cp:lastModifiedBy>
  <dcterms:created xsi:type="dcterms:W3CDTF">2020-09-21T07:24:46Z</dcterms:created>
  <dcterms:modified xsi:type="dcterms:W3CDTF">2023-09-23T08:59:28Z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